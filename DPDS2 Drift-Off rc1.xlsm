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450" yWindow="-15" windowWidth="12495" windowHeight="11985" tabRatio="679"/>
  </bookViews>
  <sheets>
    <sheet name="DriftOff" sheetId="18" r:id="rId1"/>
    <sheet name="RAOs" sheetId="29" state="hidden" r:id="rId2"/>
    <sheet name="WindCurrent" sheetId="27" state="hidden" r:id="rId3"/>
    <sheet name="Drifts" sheetId="30" state="hidden" r:id="rId4"/>
  </sheets>
  <functionGroups builtInGroupCount="17"/>
  <definedNames>
    <definedName name="_xlnm.Print_Area" localSheetId="0">DriftOff!$B$1:$O$159</definedName>
    <definedName name="_xlnm.Print_Area" localSheetId="3">Drifts!$A$1:$K$120</definedName>
    <definedName name="_xlnm.Print_Area" localSheetId="1">RAOs!$A$1:$N$360</definedName>
    <definedName name="Wind">#REF!</definedName>
  </definedNames>
  <calcPr calcId="145621"/>
</workbook>
</file>

<file path=xl/calcChain.xml><?xml version="1.0" encoding="utf-8"?>
<calcChain xmlns="http://schemas.openxmlformats.org/spreadsheetml/2006/main">
  <c r="T12" i="29" l="1"/>
  <c r="T5" i="29" l="1"/>
  <c r="A481" i="29" l="1"/>
  <c r="A441" i="29"/>
  <c r="A401" i="29"/>
  <c r="A361" i="29"/>
  <c r="A321" i="29"/>
  <c r="A281" i="29"/>
  <c r="A241" i="29"/>
  <c r="A201" i="29"/>
  <c r="A161" i="29"/>
  <c r="A121" i="29"/>
  <c r="A81" i="29"/>
  <c r="A41" i="29"/>
  <c r="A1" i="29"/>
  <c r="T13" i="29"/>
  <c r="T11" i="29"/>
  <c r="V11" i="29" s="1"/>
  <c r="T10" i="29"/>
  <c r="V10" i="29" s="1"/>
  <c r="T4" i="29"/>
  <c r="V12" i="29" l="1"/>
  <c r="M65" i="18"/>
  <c r="AD115" i="30" l="1"/>
  <c r="S115" i="30"/>
  <c r="AE115" i="30"/>
  <c r="AC115" i="30"/>
  <c r="AB115" i="30"/>
  <c r="AA115" i="30"/>
  <c r="Z115" i="30"/>
  <c r="Y115" i="30"/>
  <c r="X115" i="30"/>
  <c r="W115" i="30"/>
  <c r="V115" i="30"/>
  <c r="U115" i="30"/>
  <c r="T115" i="30"/>
  <c r="R115" i="30"/>
  <c r="Q115" i="30"/>
  <c r="AC114" i="30"/>
  <c r="Y114" i="30"/>
  <c r="Q114" i="30"/>
  <c r="AE114" i="30"/>
  <c r="AD114" i="30"/>
  <c r="AB114" i="30"/>
  <c r="AA114" i="30"/>
  <c r="Z114" i="30"/>
  <c r="X114" i="30"/>
  <c r="W114" i="30"/>
  <c r="V114" i="30"/>
  <c r="U114" i="30"/>
  <c r="T114" i="30"/>
  <c r="S114" i="30"/>
  <c r="R114" i="30"/>
  <c r="AE113" i="30"/>
  <c r="W113" i="30"/>
  <c r="S113" i="30"/>
  <c r="R113" i="30"/>
  <c r="AD113" i="30"/>
  <c r="AC113" i="30"/>
  <c r="AB113" i="30"/>
  <c r="AA113" i="30"/>
  <c r="Z113" i="30"/>
  <c r="Y113" i="30"/>
  <c r="X113" i="30"/>
  <c r="V113" i="30"/>
  <c r="U113" i="30"/>
  <c r="T113" i="30"/>
  <c r="Q113" i="30"/>
  <c r="AC112" i="30"/>
  <c r="U112" i="30"/>
  <c r="Q112" i="30"/>
  <c r="AE112" i="30"/>
  <c r="AD112" i="30"/>
  <c r="AB112" i="30"/>
  <c r="AA112" i="30"/>
  <c r="Z112" i="30"/>
  <c r="Y112" i="30"/>
  <c r="X112" i="30"/>
  <c r="W112" i="30"/>
  <c r="V112" i="30"/>
  <c r="T112" i="30"/>
  <c r="S112" i="30"/>
  <c r="R112" i="30"/>
  <c r="AE111" i="30"/>
  <c r="W111" i="30"/>
  <c r="S111" i="30"/>
  <c r="AD111" i="30"/>
  <c r="AC111" i="30"/>
  <c r="AB111" i="30"/>
  <c r="AA111" i="30"/>
  <c r="Z111" i="30"/>
  <c r="Y111" i="30"/>
  <c r="X111" i="30"/>
  <c r="V111" i="30"/>
  <c r="U111" i="30"/>
  <c r="T111" i="30"/>
  <c r="R111" i="30"/>
  <c r="Q111" i="30"/>
  <c r="AC110" i="30"/>
  <c r="AA110" i="30"/>
  <c r="Y110" i="30"/>
  <c r="S110" i="30"/>
  <c r="Q110" i="30"/>
  <c r="AE110" i="30"/>
  <c r="AD110" i="30"/>
  <c r="AB110" i="30"/>
  <c r="Z110" i="30"/>
  <c r="X110" i="30"/>
  <c r="W110" i="30"/>
  <c r="V110" i="30"/>
  <c r="U110" i="30"/>
  <c r="T110" i="30"/>
  <c r="R110" i="30"/>
  <c r="AE109" i="30"/>
  <c r="AA109" i="30"/>
  <c r="Y109" i="30"/>
  <c r="W109" i="30"/>
  <c r="AD109" i="30"/>
  <c r="AC109" i="30"/>
  <c r="AB109" i="30"/>
  <c r="Z109" i="30"/>
  <c r="X109" i="30"/>
  <c r="V109" i="30"/>
  <c r="U109" i="30"/>
  <c r="T109" i="30"/>
  <c r="S109" i="30"/>
  <c r="R109" i="30"/>
  <c r="Q109" i="30"/>
  <c r="Y108" i="30"/>
  <c r="X108" i="30"/>
  <c r="Q108" i="30"/>
  <c r="AE108" i="30"/>
  <c r="AD108" i="30"/>
  <c r="AC108" i="30"/>
  <c r="AB108" i="30"/>
  <c r="AA108" i="30"/>
  <c r="Z108" i="30"/>
  <c r="W108" i="30"/>
  <c r="V108" i="30"/>
  <c r="U108" i="30"/>
  <c r="T108" i="30"/>
  <c r="S108" i="30"/>
  <c r="R108" i="30"/>
  <c r="AA107" i="30"/>
  <c r="V107" i="30"/>
  <c r="S107" i="30"/>
  <c r="AE107" i="30"/>
  <c r="AD107" i="30"/>
  <c r="AC107" i="30"/>
  <c r="AB107" i="30"/>
  <c r="Z107" i="30"/>
  <c r="Y107" i="30"/>
  <c r="X107" i="30"/>
  <c r="W107" i="30"/>
  <c r="U107" i="30"/>
  <c r="T107" i="30"/>
  <c r="R107" i="30"/>
  <c r="Q107" i="30"/>
  <c r="S106" i="30"/>
  <c r="AE106" i="30"/>
  <c r="AD106" i="30"/>
  <c r="AC106" i="30"/>
  <c r="AB106" i="30"/>
  <c r="AA106" i="30"/>
  <c r="Z106" i="30"/>
  <c r="Y106" i="30"/>
  <c r="X106" i="30"/>
  <c r="W106" i="30"/>
  <c r="V106" i="30"/>
  <c r="U106" i="30"/>
  <c r="T106" i="30"/>
  <c r="R106" i="30"/>
  <c r="Q106" i="30"/>
  <c r="AE105" i="30"/>
  <c r="W105" i="30"/>
  <c r="S105" i="30"/>
  <c r="AD105" i="30"/>
  <c r="AC105" i="30"/>
  <c r="AB105" i="30"/>
  <c r="AA105" i="30"/>
  <c r="Z105" i="30"/>
  <c r="Y105" i="30"/>
  <c r="X105" i="30"/>
  <c r="V105" i="30"/>
  <c r="U105" i="30"/>
  <c r="T105" i="30"/>
  <c r="R105" i="30"/>
  <c r="Q105" i="30"/>
  <c r="AE104" i="30"/>
  <c r="U104" i="30"/>
  <c r="AD104" i="30"/>
  <c r="AC104" i="30"/>
  <c r="AB104" i="30"/>
  <c r="AA104" i="30"/>
  <c r="Z104" i="30"/>
  <c r="Y104" i="30"/>
  <c r="X104" i="30"/>
  <c r="W104" i="30"/>
  <c r="V104" i="30"/>
  <c r="T104" i="30"/>
  <c r="S104" i="30"/>
  <c r="R104" i="30"/>
  <c r="Q104" i="30"/>
  <c r="AE103" i="30"/>
  <c r="AA103" i="30"/>
  <c r="W103" i="30"/>
  <c r="S103" i="30"/>
  <c r="AD103" i="30"/>
  <c r="AC103" i="30"/>
  <c r="AB103" i="30"/>
  <c r="Z103" i="30"/>
  <c r="Y103" i="30"/>
  <c r="X103" i="30"/>
  <c r="V103" i="30"/>
  <c r="U103" i="30"/>
  <c r="T103" i="30"/>
  <c r="R103" i="30"/>
  <c r="Q103" i="30"/>
  <c r="AC102" i="30"/>
  <c r="U102" i="30"/>
  <c r="AE102" i="30"/>
  <c r="AD102" i="30"/>
  <c r="AB102" i="30"/>
  <c r="AA102" i="30"/>
  <c r="Z102" i="30"/>
  <c r="Y102" i="30"/>
  <c r="X102" i="30"/>
  <c r="W102" i="30"/>
  <c r="V102" i="30"/>
  <c r="T102" i="30"/>
  <c r="S102" i="30"/>
  <c r="R102" i="30"/>
  <c r="Q102" i="30"/>
  <c r="AE101" i="30"/>
  <c r="W101" i="30"/>
  <c r="S101" i="30"/>
  <c r="AD101" i="30"/>
  <c r="AC101" i="30"/>
  <c r="AB101" i="30"/>
  <c r="AA101" i="30"/>
  <c r="Z101" i="30"/>
  <c r="Y101" i="30"/>
  <c r="X101" i="30"/>
  <c r="V101" i="30"/>
  <c r="U101" i="30"/>
  <c r="T101" i="30"/>
  <c r="R101" i="30"/>
  <c r="Q101" i="30"/>
  <c r="W100" i="30"/>
  <c r="U100" i="30"/>
  <c r="AE100" i="30"/>
  <c r="AD100" i="30"/>
  <c r="AC100" i="30"/>
  <c r="AB100" i="30"/>
  <c r="AA100" i="30"/>
  <c r="Z100" i="30"/>
  <c r="Y100" i="30"/>
  <c r="X100" i="30"/>
  <c r="V100" i="30"/>
  <c r="T100" i="30"/>
  <c r="S100" i="30"/>
  <c r="R100" i="30"/>
  <c r="Q100" i="30"/>
  <c r="V99" i="30"/>
  <c r="U99" i="30"/>
  <c r="AE99" i="30"/>
  <c r="AD99" i="30"/>
  <c r="AC99" i="30"/>
  <c r="AB99" i="30"/>
  <c r="AA99" i="30"/>
  <c r="Z99" i="30"/>
  <c r="Y99" i="30"/>
  <c r="X99" i="30"/>
  <c r="W99" i="30"/>
  <c r="T99" i="30"/>
  <c r="S99" i="30"/>
  <c r="R99" i="30"/>
  <c r="Q99" i="30"/>
  <c r="Y98" i="30"/>
  <c r="Q98" i="30"/>
  <c r="AE98" i="30"/>
  <c r="AD98" i="30"/>
  <c r="AC98" i="30"/>
  <c r="AB98" i="30"/>
  <c r="AA98" i="30"/>
  <c r="Z98" i="30"/>
  <c r="X98" i="30"/>
  <c r="W98" i="30"/>
  <c r="V98" i="30"/>
  <c r="U98" i="30"/>
  <c r="T98" i="30"/>
  <c r="S98" i="30"/>
  <c r="R98" i="30"/>
  <c r="AE97" i="30"/>
  <c r="AA97" i="30"/>
  <c r="W97" i="30"/>
  <c r="S97" i="30"/>
  <c r="AD97" i="30"/>
  <c r="AC97" i="30"/>
  <c r="AB97" i="30"/>
  <c r="Z97" i="30"/>
  <c r="Y97" i="30"/>
  <c r="X97" i="30"/>
  <c r="V97" i="30"/>
  <c r="U97" i="30"/>
  <c r="T97" i="30"/>
  <c r="R97" i="30"/>
  <c r="Q97" i="30"/>
  <c r="X96" i="30"/>
  <c r="U96" i="30"/>
  <c r="AE96" i="30"/>
  <c r="AD96" i="30"/>
  <c r="AC96" i="30"/>
  <c r="AB96" i="30"/>
  <c r="AA96" i="30"/>
  <c r="Z96" i="30"/>
  <c r="Y96" i="30"/>
  <c r="W96" i="30"/>
  <c r="V96" i="30"/>
  <c r="T96" i="30"/>
  <c r="S96" i="30"/>
  <c r="R96" i="30"/>
  <c r="Q96" i="30"/>
  <c r="AC95" i="30"/>
  <c r="AE95" i="30"/>
  <c r="AD95" i="30"/>
  <c r="AB95" i="30"/>
  <c r="AA95" i="30"/>
  <c r="Z95" i="30"/>
  <c r="Y95" i="30"/>
  <c r="X95" i="30"/>
  <c r="W95" i="30"/>
  <c r="V95" i="30"/>
  <c r="U95" i="30"/>
  <c r="T95" i="30"/>
  <c r="S95" i="30"/>
  <c r="R95" i="30"/>
  <c r="Q95" i="30"/>
  <c r="AC94" i="30"/>
  <c r="Y94" i="30"/>
  <c r="U94" i="30"/>
  <c r="Q94" i="30"/>
  <c r="AE94" i="30"/>
  <c r="AD94" i="30"/>
  <c r="AB94" i="30"/>
  <c r="AA94" i="30"/>
  <c r="Z94" i="30"/>
  <c r="X94" i="30"/>
  <c r="W94" i="30"/>
  <c r="V94" i="30"/>
  <c r="T94" i="30"/>
  <c r="S94" i="30"/>
  <c r="R94" i="30"/>
  <c r="AE93" i="30"/>
  <c r="AD93" i="30"/>
  <c r="AC93" i="30"/>
  <c r="AB93" i="30"/>
  <c r="AA93" i="30"/>
  <c r="Z93" i="30"/>
  <c r="Y93" i="30"/>
  <c r="X93" i="30"/>
  <c r="W93" i="30"/>
  <c r="V93" i="30"/>
  <c r="U93" i="30"/>
  <c r="T93" i="30"/>
  <c r="S93" i="30"/>
  <c r="R93" i="30"/>
  <c r="Q93" i="30"/>
  <c r="U92" i="30"/>
  <c r="AE92" i="30"/>
  <c r="AD92" i="30"/>
  <c r="AC92" i="30"/>
  <c r="AB92" i="30"/>
  <c r="AA92" i="30"/>
  <c r="Z92" i="30"/>
  <c r="Y92" i="30"/>
  <c r="X92" i="30"/>
  <c r="W92" i="30"/>
  <c r="V92" i="30"/>
  <c r="T92" i="30"/>
  <c r="S92" i="30"/>
  <c r="R92" i="30"/>
  <c r="Q92" i="30"/>
  <c r="AC91" i="30"/>
  <c r="AE91" i="30"/>
  <c r="AD91" i="30"/>
  <c r="AB91" i="30"/>
  <c r="AA91" i="30"/>
  <c r="Z91" i="30"/>
  <c r="Y91" i="30"/>
  <c r="X91" i="30"/>
  <c r="W91" i="30"/>
  <c r="V91" i="30"/>
  <c r="U91" i="30"/>
  <c r="T91" i="30"/>
  <c r="S91" i="30"/>
  <c r="R91" i="30"/>
  <c r="Q91" i="30"/>
  <c r="AA90" i="30"/>
  <c r="S90" i="30"/>
  <c r="AE90" i="30"/>
  <c r="AD90" i="30"/>
  <c r="AC90" i="30"/>
  <c r="AB90" i="30"/>
  <c r="Z90" i="30"/>
  <c r="Y90" i="30"/>
  <c r="X90" i="30"/>
  <c r="W90" i="30"/>
  <c r="V90" i="30"/>
  <c r="U90" i="30"/>
  <c r="T90" i="30"/>
  <c r="R90" i="30"/>
  <c r="Q90" i="30"/>
  <c r="Z89" i="30"/>
  <c r="W89" i="30"/>
  <c r="R89" i="30"/>
  <c r="Q89" i="30"/>
  <c r="AE89" i="30"/>
  <c r="AD89" i="30"/>
  <c r="AC89" i="30"/>
  <c r="AB89" i="30"/>
  <c r="AA89" i="30"/>
  <c r="Y89" i="30"/>
  <c r="X89" i="30"/>
  <c r="V89" i="30"/>
  <c r="U89" i="30"/>
  <c r="T89" i="30"/>
  <c r="S89" i="30"/>
  <c r="AE88" i="30"/>
  <c r="X88" i="30"/>
  <c r="W88" i="30"/>
  <c r="U88" i="30"/>
  <c r="AD88" i="30"/>
  <c r="AC88" i="30"/>
  <c r="AB88" i="30"/>
  <c r="AA88" i="30"/>
  <c r="Z88" i="30"/>
  <c r="Y88" i="30"/>
  <c r="V88" i="30"/>
  <c r="T88" i="30"/>
  <c r="S88" i="30"/>
  <c r="R88" i="30"/>
  <c r="Q88" i="30"/>
  <c r="AA87" i="30"/>
  <c r="W87" i="30"/>
  <c r="U87" i="30"/>
  <c r="AE87" i="30"/>
  <c r="AD87" i="30"/>
  <c r="AC87" i="30"/>
  <c r="AB87" i="30"/>
  <c r="Z87" i="30"/>
  <c r="Y87" i="30"/>
  <c r="X87" i="30"/>
  <c r="V87" i="30"/>
  <c r="T87" i="30"/>
  <c r="S87" i="30"/>
  <c r="R87" i="30"/>
  <c r="Q87" i="30"/>
  <c r="U86" i="30"/>
  <c r="S86" i="30"/>
  <c r="Q86" i="30"/>
  <c r="AE86" i="30"/>
  <c r="AD86" i="30"/>
  <c r="AC86" i="30"/>
  <c r="AB86" i="30"/>
  <c r="AA86" i="30"/>
  <c r="Z86" i="30"/>
  <c r="Y86" i="30"/>
  <c r="X86" i="30"/>
  <c r="W86" i="30"/>
  <c r="V86" i="30"/>
  <c r="T86" i="30"/>
  <c r="R86" i="30"/>
  <c r="AB75" i="30"/>
  <c r="X75" i="30"/>
  <c r="AE75" i="30"/>
  <c r="AD75" i="30"/>
  <c r="AC75" i="30"/>
  <c r="AA75" i="30"/>
  <c r="Z75" i="30"/>
  <c r="Y75" i="30"/>
  <c r="W75" i="30"/>
  <c r="V75" i="30"/>
  <c r="U75" i="30"/>
  <c r="T75" i="30"/>
  <c r="S75" i="30"/>
  <c r="R75" i="30"/>
  <c r="Q75" i="30"/>
  <c r="AD74" i="30"/>
  <c r="Z74" i="30"/>
  <c r="AE74" i="30"/>
  <c r="AC74" i="30"/>
  <c r="AB74" i="30"/>
  <c r="AA74" i="30"/>
  <c r="Y74" i="30"/>
  <c r="X74" i="30"/>
  <c r="W74" i="30"/>
  <c r="V74" i="30"/>
  <c r="U74" i="30"/>
  <c r="T74" i="30"/>
  <c r="S74" i="30"/>
  <c r="R74" i="30"/>
  <c r="Q74" i="30"/>
  <c r="AD73" i="30"/>
  <c r="AB73" i="30"/>
  <c r="T73" i="30"/>
  <c r="AE73" i="30"/>
  <c r="AC73" i="30"/>
  <c r="AA73" i="30"/>
  <c r="Z73" i="30"/>
  <c r="Y73" i="30"/>
  <c r="X73" i="30"/>
  <c r="W73" i="30"/>
  <c r="V73" i="30"/>
  <c r="U73" i="30"/>
  <c r="S73" i="30"/>
  <c r="R73" i="30"/>
  <c r="Q73" i="30"/>
  <c r="Z72" i="30"/>
  <c r="U72" i="30"/>
  <c r="AE72" i="30"/>
  <c r="AD72" i="30"/>
  <c r="AC72" i="30"/>
  <c r="AB72" i="30"/>
  <c r="AA72" i="30"/>
  <c r="Y72" i="30"/>
  <c r="X72" i="30"/>
  <c r="W72" i="30"/>
  <c r="V72" i="30"/>
  <c r="T72" i="30"/>
  <c r="S72" i="30"/>
  <c r="R72" i="30"/>
  <c r="Q72" i="30"/>
  <c r="AB71" i="30"/>
  <c r="X71" i="30"/>
  <c r="T71" i="30"/>
  <c r="AE71" i="30"/>
  <c r="AD71" i="30"/>
  <c r="AC71" i="30"/>
  <c r="AA71" i="30"/>
  <c r="Z71" i="30"/>
  <c r="Y71" i="30"/>
  <c r="W71" i="30"/>
  <c r="V71" i="30"/>
  <c r="U71" i="30"/>
  <c r="S71" i="30"/>
  <c r="R71" i="30"/>
  <c r="Q71" i="30"/>
  <c r="AD70" i="30"/>
  <c r="V70" i="30"/>
  <c r="R70" i="30"/>
  <c r="AE70" i="30"/>
  <c r="AC70" i="30"/>
  <c r="AB70" i="30"/>
  <c r="AA70" i="30"/>
  <c r="Z70" i="30"/>
  <c r="Y70" i="30"/>
  <c r="X70" i="30"/>
  <c r="W70" i="30"/>
  <c r="U70" i="30"/>
  <c r="T70" i="30"/>
  <c r="S70" i="30"/>
  <c r="Q70" i="30"/>
  <c r="AE69" i="30"/>
  <c r="AB69" i="30"/>
  <c r="T69" i="30"/>
  <c r="AD69" i="30"/>
  <c r="AC69" i="30"/>
  <c r="AA69" i="30"/>
  <c r="Z69" i="30"/>
  <c r="Y69" i="30"/>
  <c r="X69" i="30"/>
  <c r="W69" i="30"/>
  <c r="V69" i="30"/>
  <c r="U69" i="30"/>
  <c r="S69" i="30"/>
  <c r="R69" i="30"/>
  <c r="Q69" i="30"/>
  <c r="AD68" i="30"/>
  <c r="Z68" i="30"/>
  <c r="V68" i="30"/>
  <c r="AE68" i="30"/>
  <c r="AC68" i="30"/>
  <c r="AB68" i="30"/>
  <c r="AA68" i="30"/>
  <c r="Y68" i="30"/>
  <c r="X68" i="30"/>
  <c r="W68" i="30"/>
  <c r="U68" i="30"/>
  <c r="T68" i="30"/>
  <c r="S68" i="30"/>
  <c r="R68" i="30"/>
  <c r="Q68" i="30"/>
  <c r="AE67" i="30"/>
  <c r="AD67" i="30"/>
  <c r="AC67" i="30"/>
  <c r="AB67" i="30"/>
  <c r="AA67" i="30"/>
  <c r="Z67" i="30"/>
  <c r="Y67" i="30"/>
  <c r="X67" i="30"/>
  <c r="W67" i="30"/>
  <c r="V67" i="30"/>
  <c r="U67" i="30"/>
  <c r="T67" i="30"/>
  <c r="S67" i="30"/>
  <c r="R67" i="30"/>
  <c r="Q67" i="30"/>
  <c r="AD66" i="30"/>
  <c r="Z66" i="30"/>
  <c r="R66" i="30"/>
  <c r="Q66" i="30"/>
  <c r="AE66" i="30"/>
  <c r="AC66" i="30"/>
  <c r="AB66" i="30"/>
  <c r="AA66" i="30"/>
  <c r="Y66" i="30"/>
  <c r="X66" i="30"/>
  <c r="W66" i="30"/>
  <c r="V66" i="30"/>
  <c r="U66" i="30"/>
  <c r="T66" i="30"/>
  <c r="S66" i="30"/>
  <c r="AE65" i="30"/>
  <c r="AD65" i="30"/>
  <c r="AC65" i="30"/>
  <c r="AB65" i="30"/>
  <c r="AA65" i="30"/>
  <c r="Z65" i="30"/>
  <c r="Y65" i="30"/>
  <c r="X65" i="30"/>
  <c r="W65" i="30"/>
  <c r="V65" i="30"/>
  <c r="U65" i="30"/>
  <c r="T65" i="30"/>
  <c r="S65" i="30"/>
  <c r="R65" i="30"/>
  <c r="Q65" i="30"/>
  <c r="AD64" i="30"/>
  <c r="Z64" i="30"/>
  <c r="R64" i="30"/>
  <c r="AE64" i="30"/>
  <c r="AC64" i="30"/>
  <c r="AB64" i="30"/>
  <c r="AA64" i="30"/>
  <c r="Y64" i="30"/>
  <c r="X64" i="30"/>
  <c r="W64" i="30"/>
  <c r="V64" i="30"/>
  <c r="U64" i="30"/>
  <c r="T64" i="30"/>
  <c r="S64" i="30"/>
  <c r="Q64" i="30"/>
  <c r="AB63" i="30"/>
  <c r="T63" i="30"/>
  <c r="AE63" i="30"/>
  <c r="AD63" i="30"/>
  <c r="AC63" i="30"/>
  <c r="AA63" i="30"/>
  <c r="Z63" i="30"/>
  <c r="Y63" i="30"/>
  <c r="X63" i="30"/>
  <c r="W63" i="30"/>
  <c r="V63" i="30"/>
  <c r="U63" i="30"/>
  <c r="S63" i="30"/>
  <c r="R63" i="30"/>
  <c r="Q63" i="30"/>
  <c r="AA62" i="30"/>
  <c r="T62" i="30"/>
  <c r="R62" i="30"/>
  <c r="AE62" i="30"/>
  <c r="AD62" i="30"/>
  <c r="AC62" i="30"/>
  <c r="AB62" i="30"/>
  <c r="Z62" i="30"/>
  <c r="Y62" i="30"/>
  <c r="X62" i="30"/>
  <c r="W62" i="30"/>
  <c r="V62" i="30"/>
  <c r="U62" i="30"/>
  <c r="S62" i="30"/>
  <c r="Q62" i="30"/>
  <c r="R61" i="30"/>
  <c r="AE61" i="30"/>
  <c r="AD61" i="30"/>
  <c r="AC61" i="30"/>
  <c r="AB61" i="30"/>
  <c r="AA61" i="30"/>
  <c r="Z61" i="30"/>
  <c r="Y61" i="30"/>
  <c r="X61" i="30"/>
  <c r="W61" i="30"/>
  <c r="V61" i="30"/>
  <c r="U61" i="30"/>
  <c r="T61" i="30"/>
  <c r="S61" i="30"/>
  <c r="Q61" i="30"/>
  <c r="X60" i="30"/>
  <c r="U60" i="30"/>
  <c r="AE60" i="30"/>
  <c r="AD60" i="30"/>
  <c r="AC60" i="30"/>
  <c r="AB60" i="30"/>
  <c r="AA60" i="30"/>
  <c r="Z60" i="30"/>
  <c r="Y60" i="30"/>
  <c r="W60" i="30"/>
  <c r="V60" i="30"/>
  <c r="T60" i="30"/>
  <c r="S60" i="30"/>
  <c r="R60" i="30"/>
  <c r="Q60" i="30"/>
  <c r="X59" i="30"/>
  <c r="V59" i="30"/>
  <c r="AE59" i="30"/>
  <c r="AD59" i="30"/>
  <c r="AC59" i="30"/>
  <c r="AB59" i="30"/>
  <c r="AA59" i="30"/>
  <c r="Z59" i="30"/>
  <c r="Y59" i="30"/>
  <c r="W59" i="30"/>
  <c r="U59" i="30"/>
  <c r="T59" i="30"/>
  <c r="S59" i="30"/>
  <c r="R59" i="30"/>
  <c r="Q59" i="30"/>
  <c r="AB58" i="30"/>
  <c r="S58" i="30"/>
  <c r="R58" i="30"/>
  <c r="AE58" i="30"/>
  <c r="AD58" i="30"/>
  <c r="AC58" i="30"/>
  <c r="AA58" i="30"/>
  <c r="Z58" i="30"/>
  <c r="Y58" i="30"/>
  <c r="X58" i="30"/>
  <c r="W58" i="30"/>
  <c r="V58" i="30"/>
  <c r="U58" i="30"/>
  <c r="T58" i="30"/>
  <c r="Q58" i="30"/>
  <c r="Z57" i="30"/>
  <c r="T57" i="30"/>
  <c r="AE57" i="30"/>
  <c r="AD57" i="30"/>
  <c r="AC57" i="30"/>
  <c r="AB57" i="30"/>
  <c r="AA57" i="30"/>
  <c r="Y57" i="30"/>
  <c r="X57" i="30"/>
  <c r="W57" i="30"/>
  <c r="V57" i="30"/>
  <c r="U57" i="30"/>
  <c r="S57" i="30"/>
  <c r="R57" i="30"/>
  <c r="Q57" i="30"/>
  <c r="V56" i="30"/>
  <c r="R56" i="30"/>
  <c r="AE56" i="30"/>
  <c r="AD56" i="30"/>
  <c r="AC56" i="30"/>
  <c r="AB56" i="30"/>
  <c r="AA56" i="30"/>
  <c r="Z56" i="30"/>
  <c r="Y56" i="30"/>
  <c r="X56" i="30"/>
  <c r="W56" i="30"/>
  <c r="U56" i="30"/>
  <c r="T56" i="30"/>
  <c r="S56" i="30"/>
  <c r="Q56" i="30"/>
  <c r="AD55" i="30"/>
  <c r="AC55" i="30"/>
  <c r="X55" i="30"/>
  <c r="U55" i="30"/>
  <c r="T55" i="30"/>
  <c r="AE55" i="30"/>
  <c r="AB55" i="30"/>
  <c r="AA55" i="30"/>
  <c r="Z55" i="30"/>
  <c r="Y55" i="30"/>
  <c r="W55" i="30"/>
  <c r="V55" i="30"/>
  <c r="S55" i="30"/>
  <c r="R55" i="30"/>
  <c r="Q55" i="30"/>
  <c r="AB54" i="30"/>
  <c r="V54" i="30"/>
  <c r="S54" i="30"/>
  <c r="Q54" i="30"/>
  <c r="AE54" i="30"/>
  <c r="AD54" i="30"/>
  <c r="AC54" i="30"/>
  <c r="AA54" i="30"/>
  <c r="Z54" i="30"/>
  <c r="Y54" i="30"/>
  <c r="X54" i="30"/>
  <c r="W54" i="30"/>
  <c r="U54" i="30"/>
  <c r="T54" i="30"/>
  <c r="R54" i="30"/>
  <c r="AE53" i="30"/>
  <c r="AB53" i="30"/>
  <c r="W53" i="30"/>
  <c r="T53" i="30"/>
  <c r="AD53" i="30"/>
  <c r="AC53" i="30"/>
  <c r="AA53" i="30"/>
  <c r="Z53" i="30"/>
  <c r="Y53" i="30"/>
  <c r="X53" i="30"/>
  <c r="V53" i="30"/>
  <c r="U53" i="30"/>
  <c r="S53" i="30"/>
  <c r="R53" i="30"/>
  <c r="Q53" i="30"/>
  <c r="AE52" i="30"/>
  <c r="Z52" i="30"/>
  <c r="X52" i="30"/>
  <c r="W52" i="30"/>
  <c r="U52" i="30"/>
  <c r="R52" i="30"/>
  <c r="AD52" i="30"/>
  <c r="AC52" i="30"/>
  <c r="AB52" i="30"/>
  <c r="AA52" i="30"/>
  <c r="Y52" i="30"/>
  <c r="V52" i="30"/>
  <c r="T52" i="30"/>
  <c r="S52" i="30"/>
  <c r="Q52" i="30"/>
  <c r="X51" i="30"/>
  <c r="U51" i="30"/>
  <c r="T51" i="30"/>
  <c r="AE51" i="30"/>
  <c r="AD51" i="30"/>
  <c r="AC51" i="30"/>
  <c r="AB51" i="30"/>
  <c r="AA51" i="30"/>
  <c r="Z51" i="30"/>
  <c r="Y51" i="30"/>
  <c r="W51" i="30"/>
  <c r="V51" i="30"/>
  <c r="S51" i="30"/>
  <c r="R51" i="30"/>
  <c r="Q51" i="30"/>
  <c r="V50" i="30"/>
  <c r="R50" i="30"/>
  <c r="AE50" i="30"/>
  <c r="AD50" i="30"/>
  <c r="AC50" i="30"/>
  <c r="AB50" i="30"/>
  <c r="AA50" i="30"/>
  <c r="Z50" i="30"/>
  <c r="Y50" i="30"/>
  <c r="X50" i="30"/>
  <c r="W50" i="30"/>
  <c r="U50" i="30"/>
  <c r="T50" i="30"/>
  <c r="S50" i="30"/>
  <c r="Q50" i="30"/>
  <c r="Z49" i="30"/>
  <c r="X49" i="30"/>
  <c r="R49" i="30"/>
  <c r="AE49" i="30"/>
  <c r="AD49" i="30"/>
  <c r="AC49" i="30"/>
  <c r="AB49" i="30"/>
  <c r="AA49" i="30"/>
  <c r="Y49" i="30"/>
  <c r="W49" i="30"/>
  <c r="V49" i="30"/>
  <c r="U49" i="30"/>
  <c r="T49" i="30"/>
  <c r="S49" i="30"/>
  <c r="Q49" i="30"/>
  <c r="AD48" i="30"/>
  <c r="V48" i="30"/>
  <c r="U48" i="30"/>
  <c r="AE48" i="30"/>
  <c r="AC48" i="30"/>
  <c r="AB48" i="30"/>
  <c r="AA48" i="30"/>
  <c r="Z48" i="30"/>
  <c r="Y48" i="30"/>
  <c r="X48" i="30"/>
  <c r="W48" i="30"/>
  <c r="T48" i="30"/>
  <c r="S48" i="30"/>
  <c r="R48" i="30"/>
  <c r="Q48" i="30"/>
  <c r="AA47" i="30"/>
  <c r="S47" i="30"/>
  <c r="Q47" i="30"/>
  <c r="AE47" i="30"/>
  <c r="AD47" i="30"/>
  <c r="AC47" i="30"/>
  <c r="AB47" i="30"/>
  <c r="Z47" i="30"/>
  <c r="Y47" i="30"/>
  <c r="X47" i="30"/>
  <c r="W47" i="30"/>
  <c r="V47" i="30"/>
  <c r="U47" i="30"/>
  <c r="T47" i="30"/>
  <c r="R47" i="30"/>
  <c r="AE46" i="30"/>
  <c r="AB46" i="30"/>
  <c r="V46" i="30"/>
  <c r="T46" i="30"/>
  <c r="Q46" i="30"/>
  <c r="AD46" i="30"/>
  <c r="AC46" i="30"/>
  <c r="AA46" i="30"/>
  <c r="Z46" i="30"/>
  <c r="Y46" i="30"/>
  <c r="X46" i="30"/>
  <c r="W46" i="30"/>
  <c r="U46" i="30"/>
  <c r="S46" i="30"/>
  <c r="R46" i="30"/>
  <c r="AD35" i="30"/>
  <c r="AA35" i="30"/>
  <c r="X35" i="30"/>
  <c r="U35" i="30"/>
  <c r="S35" i="30"/>
  <c r="AE35" i="30"/>
  <c r="AC35" i="30"/>
  <c r="AB35" i="30"/>
  <c r="Z35" i="30"/>
  <c r="Y35" i="30"/>
  <c r="W35" i="30"/>
  <c r="V35" i="30"/>
  <c r="T35" i="30"/>
  <c r="R35" i="30"/>
  <c r="Q35" i="30"/>
  <c r="AA34" i="30"/>
  <c r="Y34" i="30"/>
  <c r="AE34" i="30"/>
  <c r="AD34" i="30"/>
  <c r="AC34" i="30"/>
  <c r="AB34" i="30"/>
  <c r="Z34" i="30"/>
  <c r="X34" i="30"/>
  <c r="W34" i="30"/>
  <c r="V34" i="30"/>
  <c r="U34" i="30"/>
  <c r="T34" i="30"/>
  <c r="S34" i="30"/>
  <c r="R34" i="30"/>
  <c r="Q34" i="30"/>
  <c r="AE33" i="30"/>
  <c r="W33" i="30"/>
  <c r="T33" i="30"/>
  <c r="R33" i="30"/>
  <c r="Q33" i="30"/>
  <c r="AD33" i="30"/>
  <c r="AC33" i="30"/>
  <c r="AB33" i="30"/>
  <c r="AA33" i="30"/>
  <c r="Z33" i="30"/>
  <c r="Y33" i="30"/>
  <c r="X33" i="30"/>
  <c r="V33" i="30"/>
  <c r="U33" i="30"/>
  <c r="S33" i="30"/>
  <c r="AE32" i="30"/>
  <c r="Z32" i="30"/>
  <c r="X32" i="30"/>
  <c r="U32" i="30"/>
  <c r="R32" i="30"/>
  <c r="AD32" i="30"/>
  <c r="AC32" i="30"/>
  <c r="AB32" i="30"/>
  <c r="AA32" i="30"/>
  <c r="Y32" i="30"/>
  <c r="W32" i="30"/>
  <c r="V32" i="30"/>
  <c r="T32" i="30"/>
  <c r="S32" i="30"/>
  <c r="Q32" i="30"/>
  <c r="AD31" i="30"/>
  <c r="AA31" i="30"/>
  <c r="Y31" i="30"/>
  <c r="X31" i="30"/>
  <c r="V31" i="30"/>
  <c r="S31" i="30"/>
  <c r="Q31" i="30"/>
  <c r="AE31" i="30"/>
  <c r="AC31" i="30"/>
  <c r="AB31" i="30"/>
  <c r="Z31" i="30"/>
  <c r="W31" i="30"/>
  <c r="U31" i="30"/>
  <c r="T31" i="30"/>
  <c r="R31" i="30"/>
  <c r="AD30" i="30"/>
  <c r="AB30" i="30"/>
  <c r="Y30" i="30"/>
  <c r="T30" i="30"/>
  <c r="Q30" i="30"/>
  <c r="AE30" i="30"/>
  <c r="AC30" i="30"/>
  <c r="AA30" i="30"/>
  <c r="Z30" i="30"/>
  <c r="X30" i="30"/>
  <c r="W30" i="30"/>
  <c r="V30" i="30"/>
  <c r="U30" i="30"/>
  <c r="S30" i="30"/>
  <c r="R30" i="30"/>
  <c r="Z29" i="30"/>
  <c r="Y29" i="30"/>
  <c r="U29" i="30"/>
  <c r="R29" i="30"/>
  <c r="AE29" i="30"/>
  <c r="AD29" i="30"/>
  <c r="AC29" i="30"/>
  <c r="AB29" i="30"/>
  <c r="AA29" i="30"/>
  <c r="X29" i="30"/>
  <c r="W29" i="30"/>
  <c r="V29" i="30"/>
  <c r="T29" i="30"/>
  <c r="S29" i="30"/>
  <c r="Q29" i="30"/>
  <c r="AC28" i="30"/>
  <c r="X28" i="30"/>
  <c r="W28" i="30"/>
  <c r="AE28" i="30"/>
  <c r="AD28" i="30"/>
  <c r="AB28" i="30"/>
  <c r="AA28" i="30"/>
  <c r="Z28" i="30"/>
  <c r="Y28" i="30"/>
  <c r="V28" i="30"/>
  <c r="U28" i="30"/>
  <c r="T28" i="30"/>
  <c r="S28" i="30"/>
  <c r="R28" i="30"/>
  <c r="Q28" i="30"/>
  <c r="AC27" i="30"/>
  <c r="Z27" i="30"/>
  <c r="U27" i="30"/>
  <c r="R27" i="30"/>
  <c r="AE27" i="30"/>
  <c r="AD27" i="30"/>
  <c r="AB27" i="30"/>
  <c r="AA27" i="30"/>
  <c r="Y27" i="30"/>
  <c r="X27" i="30"/>
  <c r="W27" i="30"/>
  <c r="V27" i="30"/>
  <c r="T27" i="30"/>
  <c r="S27" i="30"/>
  <c r="Q27" i="30"/>
  <c r="Y26" i="30"/>
  <c r="AE26" i="30"/>
  <c r="AD26" i="30"/>
  <c r="AC26" i="30"/>
  <c r="AB26" i="30"/>
  <c r="AA26" i="30"/>
  <c r="Z26" i="30"/>
  <c r="X26" i="30"/>
  <c r="W26" i="30"/>
  <c r="V26" i="30"/>
  <c r="U26" i="30"/>
  <c r="T26" i="30"/>
  <c r="S26" i="30"/>
  <c r="R26" i="30"/>
  <c r="Q26" i="30"/>
  <c r="Y25" i="30"/>
  <c r="V25" i="30"/>
  <c r="Q25" i="30"/>
  <c r="AE25" i="30"/>
  <c r="AD25" i="30"/>
  <c r="AC25" i="30"/>
  <c r="AB25" i="30"/>
  <c r="AA25" i="30"/>
  <c r="Z25" i="30"/>
  <c r="X25" i="30"/>
  <c r="W25" i="30"/>
  <c r="U25" i="30"/>
  <c r="T25" i="30"/>
  <c r="S25" i="30"/>
  <c r="R25" i="30"/>
  <c r="AA24" i="30"/>
  <c r="T24" i="30"/>
  <c r="AE24" i="30"/>
  <c r="AD24" i="30"/>
  <c r="AC24" i="30"/>
  <c r="AB24" i="30"/>
  <c r="Z24" i="30"/>
  <c r="Y24" i="30"/>
  <c r="X24" i="30"/>
  <c r="W24" i="30"/>
  <c r="V24" i="30"/>
  <c r="U24" i="30"/>
  <c r="S24" i="30"/>
  <c r="R24" i="30"/>
  <c r="Q24" i="30"/>
  <c r="AC23" i="30"/>
  <c r="Z23" i="30"/>
  <c r="V23" i="30"/>
  <c r="R23" i="30"/>
  <c r="AE23" i="30"/>
  <c r="AD23" i="30"/>
  <c r="AB23" i="30"/>
  <c r="AA23" i="30"/>
  <c r="Y23" i="30"/>
  <c r="X23" i="30"/>
  <c r="W23" i="30"/>
  <c r="U23" i="30"/>
  <c r="T23" i="30"/>
  <c r="S23" i="30"/>
  <c r="Q23" i="30"/>
  <c r="AE22" i="30"/>
  <c r="W22" i="30"/>
  <c r="V22" i="30"/>
  <c r="AD22" i="30"/>
  <c r="AC22" i="30"/>
  <c r="AB22" i="30"/>
  <c r="AA22" i="30"/>
  <c r="Z22" i="30"/>
  <c r="Y22" i="30"/>
  <c r="X22" i="30"/>
  <c r="U22" i="30"/>
  <c r="T22" i="30"/>
  <c r="S22" i="30"/>
  <c r="R22" i="30"/>
  <c r="Q22" i="30"/>
  <c r="AE21" i="30"/>
  <c r="W21" i="30"/>
  <c r="V21" i="30"/>
  <c r="R21" i="30"/>
  <c r="AD21" i="30"/>
  <c r="AC21" i="30"/>
  <c r="AB21" i="30"/>
  <c r="AA21" i="30"/>
  <c r="Z21" i="30"/>
  <c r="Y21" i="30"/>
  <c r="X21" i="30"/>
  <c r="U21" i="30"/>
  <c r="T21" i="30"/>
  <c r="S21" i="30"/>
  <c r="Q21" i="30"/>
  <c r="AC20" i="30"/>
  <c r="AA20" i="30"/>
  <c r="Z20" i="30"/>
  <c r="S20" i="30"/>
  <c r="R20" i="30"/>
  <c r="AE20" i="30"/>
  <c r="AD20" i="30"/>
  <c r="AB20" i="30"/>
  <c r="Y20" i="30"/>
  <c r="X20" i="30"/>
  <c r="W20" i="30"/>
  <c r="V20" i="30"/>
  <c r="U20" i="30"/>
  <c r="T20" i="30"/>
  <c r="Q20" i="30"/>
  <c r="S19" i="30"/>
  <c r="Q19" i="30"/>
  <c r="AE19" i="30"/>
  <c r="AD19" i="30"/>
  <c r="AC19" i="30"/>
  <c r="AB19" i="30"/>
  <c r="AA19" i="30"/>
  <c r="Z19" i="30"/>
  <c r="Y19" i="30"/>
  <c r="X19" i="30"/>
  <c r="W19" i="30"/>
  <c r="V19" i="30"/>
  <c r="U19" i="30"/>
  <c r="T19" i="30"/>
  <c r="R19" i="30"/>
  <c r="AB18" i="30"/>
  <c r="Y18" i="30"/>
  <c r="W18" i="30"/>
  <c r="T18" i="30"/>
  <c r="Q18" i="30"/>
  <c r="AE18" i="30"/>
  <c r="AD18" i="30"/>
  <c r="AC18" i="30"/>
  <c r="AA18" i="30"/>
  <c r="Z18" i="30"/>
  <c r="X18" i="30"/>
  <c r="V18" i="30"/>
  <c r="U18" i="30"/>
  <c r="S18" i="30"/>
  <c r="R18" i="30"/>
  <c r="W17" i="30"/>
  <c r="V17" i="30"/>
  <c r="AE17" i="30"/>
  <c r="AD17" i="30"/>
  <c r="AC17" i="30"/>
  <c r="AB17" i="30"/>
  <c r="AA17" i="30"/>
  <c r="Z17" i="30"/>
  <c r="Y17" i="30"/>
  <c r="X17" i="30"/>
  <c r="U17" i="30"/>
  <c r="T17" i="30"/>
  <c r="S17" i="30"/>
  <c r="R17" i="30"/>
  <c r="Q17" i="30"/>
  <c r="AB16" i="30"/>
  <c r="V16" i="30"/>
  <c r="U16" i="30"/>
  <c r="T16" i="30"/>
  <c r="AE16" i="30"/>
  <c r="AD16" i="30"/>
  <c r="AC16" i="30"/>
  <c r="AA16" i="30"/>
  <c r="Z16" i="30"/>
  <c r="Y16" i="30"/>
  <c r="X16" i="30"/>
  <c r="W16" i="30"/>
  <c r="S16" i="30"/>
  <c r="R16" i="30"/>
  <c r="Q16" i="30"/>
  <c r="AA15" i="30"/>
  <c r="Z15" i="30"/>
  <c r="T15" i="30"/>
  <c r="R15" i="30"/>
  <c r="Q15" i="30"/>
  <c r="AE15" i="30"/>
  <c r="AD15" i="30"/>
  <c r="AC15" i="30"/>
  <c r="AB15" i="30"/>
  <c r="Y15" i="30"/>
  <c r="X15" i="30"/>
  <c r="W15" i="30"/>
  <c r="V15" i="30"/>
  <c r="U15" i="30"/>
  <c r="S15" i="30"/>
  <c r="Z14" i="30"/>
  <c r="X14" i="30"/>
  <c r="R14" i="30"/>
  <c r="Q14" i="30"/>
  <c r="AE14" i="30"/>
  <c r="AD14" i="30"/>
  <c r="AC14" i="30"/>
  <c r="AB14" i="30"/>
  <c r="AA14" i="30"/>
  <c r="Y14" i="30"/>
  <c r="W14" i="30"/>
  <c r="V14" i="30"/>
  <c r="U14" i="30"/>
  <c r="T14" i="30"/>
  <c r="S14" i="30"/>
  <c r="AC13" i="30"/>
  <c r="X13" i="30"/>
  <c r="U13" i="30"/>
  <c r="R13" i="30"/>
  <c r="AE13" i="30"/>
  <c r="AD13" i="30"/>
  <c r="AB13" i="30"/>
  <c r="AA13" i="30"/>
  <c r="Z13" i="30"/>
  <c r="Y13" i="30"/>
  <c r="W13" i="30"/>
  <c r="V13" i="30"/>
  <c r="T13" i="30"/>
  <c r="S13" i="30"/>
  <c r="Q13" i="30"/>
  <c r="AC12" i="30"/>
  <c r="X12" i="30"/>
  <c r="V12" i="30"/>
  <c r="U12" i="30"/>
  <c r="AE12" i="30"/>
  <c r="AD12" i="30"/>
  <c r="AB12" i="30"/>
  <c r="AA12" i="30"/>
  <c r="Z12" i="30"/>
  <c r="Y12" i="30"/>
  <c r="W12" i="30"/>
  <c r="T12" i="30"/>
  <c r="S12" i="30"/>
  <c r="R12" i="30"/>
  <c r="Q12" i="30"/>
  <c r="AD11" i="30"/>
  <c r="AB11" i="30"/>
  <c r="AA11" i="30"/>
  <c r="Y11" i="30"/>
  <c r="V11" i="30"/>
  <c r="S11" i="30"/>
  <c r="Q11" i="30"/>
  <c r="AE11" i="30"/>
  <c r="AC11" i="30"/>
  <c r="Z11" i="30"/>
  <c r="X11" i="30"/>
  <c r="W11" i="30"/>
  <c r="U11" i="30"/>
  <c r="T11" i="30"/>
  <c r="R11" i="30"/>
  <c r="Y10" i="30"/>
  <c r="X10" i="30"/>
  <c r="Q10" i="30"/>
  <c r="AE10" i="30"/>
  <c r="AD10" i="30"/>
  <c r="AC10" i="30"/>
  <c r="AB10" i="30"/>
  <c r="AA10" i="30"/>
  <c r="Z10" i="30"/>
  <c r="W10" i="30"/>
  <c r="V10" i="30"/>
  <c r="U10" i="30"/>
  <c r="T10" i="30"/>
  <c r="S10" i="30"/>
  <c r="R10" i="30"/>
  <c r="AD9" i="30"/>
  <c r="Z9" i="30"/>
  <c r="X9" i="30"/>
  <c r="V9" i="30"/>
  <c r="R9" i="30"/>
  <c r="AE9" i="30"/>
  <c r="AC9" i="30"/>
  <c r="AB9" i="30"/>
  <c r="AA9" i="30"/>
  <c r="Y9" i="30"/>
  <c r="W9" i="30"/>
  <c r="U9" i="30"/>
  <c r="T9" i="30"/>
  <c r="S9" i="30"/>
  <c r="Q9" i="30"/>
  <c r="AD8" i="30"/>
  <c r="AC8" i="30"/>
  <c r="AA8" i="30"/>
  <c r="V8" i="30"/>
  <c r="S8" i="30"/>
  <c r="AE8" i="30"/>
  <c r="AB8" i="30"/>
  <c r="Z8" i="30"/>
  <c r="Y8" i="30"/>
  <c r="X8" i="30"/>
  <c r="W8" i="30"/>
  <c r="U8" i="30"/>
  <c r="T8" i="30"/>
  <c r="R8" i="30"/>
  <c r="Q8" i="30"/>
  <c r="AD7" i="30"/>
  <c r="AB7" i="30"/>
  <c r="Z7" i="30"/>
  <c r="Y7" i="30"/>
  <c r="T7" i="30"/>
  <c r="S7" i="30"/>
  <c r="R7" i="30"/>
  <c r="Q7" i="30"/>
  <c r="AE7" i="30"/>
  <c r="AC7" i="30"/>
  <c r="AA7" i="30"/>
  <c r="X7" i="30"/>
  <c r="W7" i="30"/>
  <c r="V7" i="30"/>
  <c r="U7" i="30"/>
  <c r="AE6" i="30"/>
  <c r="Z6" i="30"/>
  <c r="W6" i="30"/>
  <c r="T6" i="30"/>
  <c r="R6" i="30"/>
  <c r="Q6" i="30"/>
  <c r="AD6" i="30"/>
  <c r="AC6" i="30"/>
  <c r="AB6" i="30"/>
  <c r="AA6" i="30"/>
  <c r="Y6" i="30"/>
  <c r="X6" i="30"/>
  <c r="V6" i="30"/>
  <c r="U6" i="30"/>
  <c r="S6" i="30"/>
  <c r="AE5" i="30"/>
  <c r="AC5" i="30"/>
  <c r="X5" i="30"/>
  <c r="U5" i="30"/>
  <c r="AB5" i="30"/>
  <c r="T5" i="30"/>
  <c r="V5" i="30" l="1"/>
  <c r="AD5" i="30"/>
  <c r="W5" i="30"/>
  <c r="Y5" i="30"/>
  <c r="Z5" i="30"/>
  <c r="S5" i="30"/>
  <c r="AA5" i="30"/>
  <c r="I21" i="18" l="1"/>
  <c r="AD460" i="18" l="1"/>
  <c r="AC460" i="18"/>
  <c r="AD459" i="18"/>
  <c r="AC459" i="18"/>
  <c r="AD458" i="18"/>
  <c r="AC458" i="18"/>
  <c r="AD457" i="18"/>
  <c r="AC457" i="18"/>
  <c r="AD456" i="18"/>
  <c r="AC456" i="18"/>
  <c r="AD455" i="18"/>
  <c r="AC455" i="18"/>
  <c r="AD454" i="18"/>
  <c r="AC454" i="18"/>
  <c r="AD453" i="18"/>
  <c r="AC453" i="18"/>
  <c r="AD452" i="18"/>
  <c r="AC452" i="18"/>
  <c r="AD451" i="18"/>
  <c r="AC451" i="18"/>
  <c r="AD450" i="18"/>
  <c r="AC450" i="18"/>
  <c r="AD449" i="18"/>
  <c r="AC449" i="18"/>
  <c r="AD448" i="18"/>
  <c r="AC448" i="18"/>
  <c r="AD447" i="18"/>
  <c r="AC447" i="18"/>
  <c r="AD446" i="18"/>
  <c r="AC446" i="18"/>
  <c r="AD445" i="18"/>
  <c r="AC445" i="18"/>
  <c r="AD444" i="18"/>
  <c r="AC444" i="18"/>
  <c r="AD443" i="18"/>
  <c r="AC443" i="18"/>
  <c r="AD442" i="18"/>
  <c r="AC442" i="18"/>
  <c r="AD441" i="18"/>
  <c r="AC441" i="18"/>
  <c r="AD440" i="18"/>
  <c r="AC440" i="18"/>
  <c r="AD439" i="18"/>
  <c r="AC439" i="18"/>
  <c r="AD438" i="18"/>
  <c r="AC438" i="18"/>
  <c r="AD437" i="18"/>
  <c r="AC437" i="18"/>
  <c r="AD436" i="18"/>
  <c r="AC436" i="18"/>
  <c r="AD435" i="18"/>
  <c r="AC435" i="18"/>
  <c r="AD434" i="18"/>
  <c r="AC434" i="18"/>
  <c r="AD433" i="18"/>
  <c r="AC433" i="18"/>
  <c r="AD432" i="18"/>
  <c r="AC432" i="18"/>
  <c r="AD431" i="18"/>
  <c r="AC431" i="18"/>
  <c r="AD430" i="18"/>
  <c r="AC430" i="18"/>
  <c r="AD429" i="18"/>
  <c r="AC429" i="18"/>
  <c r="AD428" i="18"/>
  <c r="AC428" i="18"/>
  <c r="AD427" i="18"/>
  <c r="AC427" i="18"/>
  <c r="AD426" i="18"/>
  <c r="AC426" i="18"/>
  <c r="AD425" i="18"/>
  <c r="AC425" i="18"/>
  <c r="AD424" i="18"/>
  <c r="AC424" i="18"/>
  <c r="AD423" i="18"/>
  <c r="AC423" i="18"/>
  <c r="AD422" i="18"/>
  <c r="AC422" i="18"/>
  <c r="AD421" i="18"/>
  <c r="AC421" i="18"/>
  <c r="AD420" i="18"/>
  <c r="AC420" i="18"/>
  <c r="AD419" i="18"/>
  <c r="AC419" i="18"/>
  <c r="AD418" i="18"/>
  <c r="AC418" i="18"/>
  <c r="AD417" i="18"/>
  <c r="AC417" i="18"/>
  <c r="AD416" i="18"/>
  <c r="AC416" i="18"/>
  <c r="AD415" i="18"/>
  <c r="AC415" i="18"/>
  <c r="AD414" i="18"/>
  <c r="AC414" i="18"/>
  <c r="AD413" i="18"/>
  <c r="AC413" i="18"/>
  <c r="AD412" i="18"/>
  <c r="AC412" i="18"/>
  <c r="AD411" i="18"/>
  <c r="AC411" i="18"/>
  <c r="AD410" i="18"/>
  <c r="AC410" i="18"/>
  <c r="AD409" i="18"/>
  <c r="AC409" i="18"/>
  <c r="AD408" i="18"/>
  <c r="AC408" i="18"/>
  <c r="AD407" i="18"/>
  <c r="AC407" i="18"/>
  <c r="AD406" i="18"/>
  <c r="AC406" i="18"/>
  <c r="AD405" i="18"/>
  <c r="AC405" i="18"/>
  <c r="AD404" i="18"/>
  <c r="AC404" i="18"/>
  <c r="AD403" i="18"/>
  <c r="AC403" i="18"/>
  <c r="AD402" i="18"/>
  <c r="AC402" i="18"/>
  <c r="AD401" i="18"/>
  <c r="AC401" i="18"/>
  <c r="AD400" i="18"/>
  <c r="AC400" i="18"/>
  <c r="AD399" i="18"/>
  <c r="AC399" i="18"/>
  <c r="AD398" i="18"/>
  <c r="AC398" i="18"/>
  <c r="AD397" i="18"/>
  <c r="AC397" i="18"/>
  <c r="AD396" i="18"/>
  <c r="AC396" i="18"/>
  <c r="AD395" i="18"/>
  <c r="AC395" i="18"/>
  <c r="AD394" i="18"/>
  <c r="AC394" i="18"/>
  <c r="AD393" i="18"/>
  <c r="AC393" i="18"/>
  <c r="AD392" i="18"/>
  <c r="AC392" i="18"/>
  <c r="AD391" i="18"/>
  <c r="AC391" i="18"/>
  <c r="AD390" i="18"/>
  <c r="AC390" i="18"/>
  <c r="AD389" i="18"/>
  <c r="AC389" i="18"/>
  <c r="AD388" i="18"/>
  <c r="AC388" i="18"/>
  <c r="AD387" i="18"/>
  <c r="AC387" i="18"/>
  <c r="AD386" i="18"/>
  <c r="AC386" i="18"/>
  <c r="AD385" i="18"/>
  <c r="AC385" i="18"/>
  <c r="AD384" i="18"/>
  <c r="AC384" i="18"/>
  <c r="AD383" i="18"/>
  <c r="AC383" i="18"/>
  <c r="AD382" i="18"/>
  <c r="AC382" i="18"/>
  <c r="AD381" i="18"/>
  <c r="AC381" i="18"/>
  <c r="AD380" i="18"/>
  <c r="AC380" i="18"/>
  <c r="AD379" i="18"/>
  <c r="AC379" i="18"/>
  <c r="AD378" i="18"/>
  <c r="AC378" i="18"/>
  <c r="AD377" i="18"/>
  <c r="AC377" i="18"/>
  <c r="AD376" i="18"/>
  <c r="AC376" i="18"/>
  <c r="AD375" i="18"/>
  <c r="AC375" i="18"/>
  <c r="AD374" i="18"/>
  <c r="AC374" i="18"/>
  <c r="AD373" i="18"/>
  <c r="AC373" i="18"/>
  <c r="AD372" i="18"/>
  <c r="AC372" i="18"/>
  <c r="AD371" i="18"/>
  <c r="AC371" i="18"/>
  <c r="AD370" i="18"/>
  <c r="AC370" i="18"/>
  <c r="AD369" i="18"/>
  <c r="AC369" i="18"/>
  <c r="AD368" i="18"/>
  <c r="AC368" i="18"/>
  <c r="AD367" i="18"/>
  <c r="AC367" i="18"/>
  <c r="AD366" i="18"/>
  <c r="AC366" i="18"/>
  <c r="AD365" i="18"/>
  <c r="AC365" i="18"/>
  <c r="AD364" i="18"/>
  <c r="AC364" i="18"/>
  <c r="AD363" i="18"/>
  <c r="AC363" i="18"/>
  <c r="AD362" i="18"/>
  <c r="AC362" i="18"/>
  <c r="AD361" i="18"/>
  <c r="AC361" i="18"/>
  <c r="AD360" i="18"/>
  <c r="AC360" i="18"/>
  <c r="AD359" i="18"/>
  <c r="AC359" i="18"/>
  <c r="AD358" i="18"/>
  <c r="AC358" i="18"/>
  <c r="AD357" i="18"/>
  <c r="AC357" i="18"/>
  <c r="AD356" i="18"/>
  <c r="AC356" i="18"/>
  <c r="AD355" i="18"/>
  <c r="AC355" i="18"/>
  <c r="AD354" i="18"/>
  <c r="AC354" i="18"/>
  <c r="AD353" i="18"/>
  <c r="AC353" i="18"/>
  <c r="AD352" i="18"/>
  <c r="AC352" i="18"/>
  <c r="AD351" i="18"/>
  <c r="AC351" i="18"/>
  <c r="AD350" i="18"/>
  <c r="AC350" i="18"/>
  <c r="AD349" i="18"/>
  <c r="AC349" i="18"/>
  <c r="AD348" i="18"/>
  <c r="AC348" i="18"/>
  <c r="AD347" i="18"/>
  <c r="AC347" i="18"/>
  <c r="AD346" i="18"/>
  <c r="AC346" i="18"/>
  <c r="AD345" i="18"/>
  <c r="AC345" i="18"/>
  <c r="AD344" i="18"/>
  <c r="AC344" i="18"/>
  <c r="AD343" i="18"/>
  <c r="AC343" i="18"/>
  <c r="AD342" i="18"/>
  <c r="AC342" i="18"/>
  <c r="AD341" i="18"/>
  <c r="AC341" i="18"/>
  <c r="AD340" i="18"/>
  <c r="AC340" i="18"/>
  <c r="AD339" i="18"/>
  <c r="AC339" i="18"/>
  <c r="AD338" i="18"/>
  <c r="AC338" i="18"/>
  <c r="AD337" i="18"/>
  <c r="AC337" i="18"/>
  <c r="AD336" i="18"/>
  <c r="AC336" i="18"/>
  <c r="AD335" i="18"/>
  <c r="AC335" i="18"/>
  <c r="AD334" i="18"/>
  <c r="AC334" i="18"/>
  <c r="AD333" i="18"/>
  <c r="AC333" i="18"/>
  <c r="AD332" i="18"/>
  <c r="AC332" i="18"/>
  <c r="AD331" i="18"/>
  <c r="AC331" i="18"/>
  <c r="AD330" i="18"/>
  <c r="AC330" i="18"/>
  <c r="AD329" i="18"/>
  <c r="AC329" i="18"/>
  <c r="AD328" i="18"/>
  <c r="AC328" i="18"/>
  <c r="AD327" i="18"/>
  <c r="AC327" i="18"/>
  <c r="AD326" i="18"/>
  <c r="AC326" i="18"/>
  <c r="AD325" i="18"/>
  <c r="AC325" i="18"/>
  <c r="AD324" i="18"/>
  <c r="AC324" i="18"/>
  <c r="AD323" i="18"/>
  <c r="AC323" i="18"/>
  <c r="AD322" i="18"/>
  <c r="AC322" i="18"/>
  <c r="AD321" i="18"/>
  <c r="AC321" i="18"/>
  <c r="AD320" i="18"/>
  <c r="AC320" i="18"/>
  <c r="AD319" i="18"/>
  <c r="AC319" i="18"/>
  <c r="AD318" i="18"/>
  <c r="AC318" i="18"/>
  <c r="AD317" i="18"/>
  <c r="AC317" i="18"/>
  <c r="AD316" i="18"/>
  <c r="AC316" i="18"/>
  <c r="AD315" i="18"/>
  <c r="AC315" i="18"/>
  <c r="AD314" i="18"/>
  <c r="AC314" i="18"/>
  <c r="AD313" i="18"/>
  <c r="AC313" i="18"/>
  <c r="AD312" i="18"/>
  <c r="AC312" i="18"/>
  <c r="AD311" i="18"/>
  <c r="AC311" i="18"/>
  <c r="AD310" i="18"/>
  <c r="AC310" i="18"/>
  <c r="AD309" i="18"/>
  <c r="AC309" i="18"/>
  <c r="AD308" i="18"/>
  <c r="AC308" i="18"/>
  <c r="AD307" i="18"/>
  <c r="AC307" i="18"/>
  <c r="AD306" i="18"/>
  <c r="AC306" i="18"/>
  <c r="AD305" i="18"/>
  <c r="AC305" i="18"/>
  <c r="AD304" i="18"/>
  <c r="AC304" i="18"/>
  <c r="AD303" i="18"/>
  <c r="AC303" i="18"/>
  <c r="AD302" i="18"/>
  <c r="AC302" i="18"/>
  <c r="AD301" i="18"/>
  <c r="AC301" i="18"/>
  <c r="AD300" i="18"/>
  <c r="AC300" i="18"/>
  <c r="AD299" i="18"/>
  <c r="AC299" i="18"/>
  <c r="AD298" i="18"/>
  <c r="AC298" i="18"/>
  <c r="AD297" i="18"/>
  <c r="AC297" i="18"/>
  <c r="AD296" i="18"/>
  <c r="AC296" i="18"/>
  <c r="AD295" i="18"/>
  <c r="AC295" i="18"/>
  <c r="AD294" i="18"/>
  <c r="AC294" i="18"/>
  <c r="AD293" i="18"/>
  <c r="AC293" i="18"/>
  <c r="AD292" i="18"/>
  <c r="AC292" i="18"/>
  <c r="AD291" i="18"/>
  <c r="AC291" i="18"/>
  <c r="AD290" i="18"/>
  <c r="AC290" i="18"/>
  <c r="AD289" i="18"/>
  <c r="AC289" i="18"/>
  <c r="AD288" i="18"/>
  <c r="AC288" i="18"/>
  <c r="AD287" i="18"/>
  <c r="AC287" i="18"/>
  <c r="AD286" i="18"/>
  <c r="AC286" i="18"/>
  <c r="AD285" i="18"/>
  <c r="AC285" i="18"/>
  <c r="AD284" i="18"/>
  <c r="AC284" i="18"/>
  <c r="AD283" i="18"/>
  <c r="AC283" i="18"/>
  <c r="AD282" i="18"/>
  <c r="AC282" i="18"/>
  <c r="AD281" i="18"/>
  <c r="AC281" i="18"/>
  <c r="AD280" i="18"/>
  <c r="AC280" i="18"/>
  <c r="AD279" i="18"/>
  <c r="AC279" i="18"/>
  <c r="AD278" i="18"/>
  <c r="AC278" i="18"/>
  <c r="AD277" i="18"/>
  <c r="AC277" i="18"/>
  <c r="AD276" i="18"/>
  <c r="AC276" i="18"/>
  <c r="AD275" i="18"/>
  <c r="AC275" i="18"/>
  <c r="AD274" i="18"/>
  <c r="AC274" i="18"/>
  <c r="AD273" i="18"/>
  <c r="AC273" i="18"/>
  <c r="AD272" i="18"/>
  <c r="AC272" i="18"/>
  <c r="AD271" i="18"/>
  <c r="AC271" i="18"/>
  <c r="AD270" i="18"/>
  <c r="AC270" i="18"/>
  <c r="AD269" i="18"/>
  <c r="AC269" i="18"/>
  <c r="AD268" i="18"/>
  <c r="AC268" i="18"/>
  <c r="AD267" i="18"/>
  <c r="AC267" i="18"/>
  <c r="AD266" i="18"/>
  <c r="AC266" i="18"/>
  <c r="AD265" i="18"/>
  <c r="AC265" i="18"/>
  <c r="AD264" i="18"/>
  <c r="AC264" i="18"/>
  <c r="AD263" i="18"/>
  <c r="AC263" i="18"/>
  <c r="AD262" i="18"/>
  <c r="AC262" i="18"/>
  <c r="AD261" i="18"/>
  <c r="AC261" i="18"/>
  <c r="N65" i="18" l="1"/>
  <c r="AT59" i="18" l="1"/>
  <c r="AG93" i="18" l="1"/>
  <c r="AY65" i="18" l="1"/>
  <c r="AY60" i="18"/>
  <c r="BA60" i="18"/>
  <c r="AQ67" i="18"/>
  <c r="BB60" i="18"/>
  <c r="AQ66" i="18" l="1"/>
  <c r="AQ68" i="18"/>
  <c r="AQ69" i="18" l="1"/>
  <c r="AQ65" i="18"/>
  <c r="AQ64" i="18" l="1"/>
  <c r="AQ70" i="18"/>
  <c r="AQ63" i="18" l="1"/>
  <c r="AQ71" i="18"/>
  <c r="H63" i="18" l="1"/>
  <c r="M64" i="18" l="1"/>
  <c r="AR59" i="18" s="1"/>
  <c r="AS59" i="18" s="1"/>
  <c r="AU59" i="18" s="1"/>
  <c r="AS61" i="18" l="1"/>
  <c r="AR61" i="18"/>
  <c r="AC259" i="18" l="1"/>
  <c r="AC260" i="18"/>
  <c r="AC257" i="18"/>
  <c r="AC258" i="18"/>
  <c r="AC255" i="18"/>
  <c r="AC256" i="18"/>
  <c r="AC253" i="18"/>
  <c r="AC254" i="18"/>
  <c r="AC251" i="18"/>
  <c r="AC252" i="18"/>
  <c r="AC249" i="18"/>
  <c r="AC250" i="18"/>
  <c r="AC247" i="18"/>
  <c r="AC248" i="18"/>
  <c r="AC245" i="18"/>
  <c r="AC246" i="18"/>
  <c r="AC243" i="18"/>
  <c r="AC244" i="18"/>
  <c r="AC241" i="18"/>
  <c r="AC242" i="18"/>
  <c r="AC239" i="18"/>
  <c r="AC240" i="18"/>
  <c r="AC237" i="18"/>
  <c r="AC238" i="18"/>
  <c r="AC235" i="18"/>
  <c r="AC236" i="18"/>
  <c r="AC233" i="18"/>
  <c r="AC234" i="18"/>
  <c r="AC231" i="18"/>
  <c r="AC232" i="18"/>
  <c r="AC229" i="18"/>
  <c r="AC230" i="18"/>
  <c r="AC227" i="18"/>
  <c r="AC228" i="18"/>
  <c r="AC225" i="18"/>
  <c r="AC226" i="18"/>
  <c r="AC223" i="18"/>
  <c r="AC224" i="18"/>
  <c r="AC221" i="18"/>
  <c r="AC222" i="18"/>
  <c r="AC219" i="18"/>
  <c r="AC220" i="18"/>
  <c r="AC217" i="18"/>
  <c r="AC218" i="18"/>
  <c r="AC215" i="18"/>
  <c r="AC216" i="18"/>
  <c r="AC213" i="18"/>
  <c r="AC214" i="18"/>
  <c r="AC211" i="18"/>
  <c r="AC212" i="18"/>
  <c r="AC209" i="18"/>
  <c r="AC210" i="18"/>
  <c r="AC207" i="18"/>
  <c r="AC208" i="18"/>
  <c r="AC205" i="18"/>
  <c r="AC206" i="18"/>
  <c r="AC203" i="18"/>
  <c r="AC204" i="18"/>
  <c r="AC201" i="18"/>
  <c r="AC202" i="18"/>
  <c r="AC199" i="18"/>
  <c r="AC200" i="18"/>
  <c r="AC197" i="18"/>
  <c r="AC198" i="18"/>
  <c r="AC195" i="18"/>
  <c r="AC196" i="18"/>
  <c r="AC193" i="18"/>
  <c r="AC194" i="18"/>
  <c r="AC191" i="18"/>
  <c r="AC192" i="18"/>
  <c r="AC189" i="18"/>
  <c r="AC190" i="18"/>
  <c r="AC187" i="18"/>
  <c r="AC188" i="18"/>
  <c r="AC185" i="18"/>
  <c r="AC186" i="18"/>
  <c r="AC183" i="18"/>
  <c r="AC184" i="18"/>
  <c r="AC181" i="18"/>
  <c r="AC182" i="18"/>
  <c r="AC179" i="18"/>
  <c r="AC180" i="18"/>
  <c r="AC177" i="18"/>
  <c r="AC178" i="18"/>
  <c r="AC175" i="18"/>
  <c r="AC176" i="18"/>
  <c r="AC173" i="18"/>
  <c r="AC174" i="18"/>
  <c r="AC171" i="18"/>
  <c r="AC172" i="18"/>
  <c r="AC169" i="18"/>
  <c r="AC170" i="18"/>
  <c r="AC167" i="18"/>
  <c r="AC168" i="18"/>
  <c r="AC165" i="18"/>
  <c r="AC166" i="18"/>
  <c r="AC163" i="18"/>
  <c r="AC164" i="18"/>
  <c r="AC161" i="18"/>
  <c r="AC162" i="18"/>
  <c r="AT61" i="18"/>
  <c r="AU61" i="18"/>
  <c r="AC159" i="18"/>
  <c r="AC153" i="18"/>
  <c r="AC147" i="18"/>
  <c r="AC141" i="18"/>
  <c r="AC135" i="18"/>
  <c r="AC129" i="18"/>
  <c r="AC123" i="18"/>
  <c r="AC117" i="18"/>
  <c r="AC111" i="18"/>
  <c r="AC105" i="18"/>
  <c r="AC99" i="18"/>
  <c r="AC93" i="18"/>
  <c r="AC87" i="18"/>
  <c r="AC81" i="18"/>
  <c r="AC75" i="18"/>
  <c r="AC69" i="18"/>
  <c r="AC63" i="18"/>
  <c r="AC132" i="18"/>
  <c r="AC78" i="18"/>
  <c r="AC149" i="18"/>
  <c r="AC107" i="18"/>
  <c r="AC71" i="18"/>
  <c r="AC112" i="18"/>
  <c r="AC67" i="18"/>
  <c r="AC150" i="18"/>
  <c r="AC144" i="18"/>
  <c r="AC120" i="18"/>
  <c r="AC102" i="18"/>
  <c r="AC72" i="18"/>
  <c r="AC95" i="18"/>
  <c r="AC100" i="18"/>
  <c r="AC158" i="18"/>
  <c r="AC152" i="18"/>
  <c r="AC146" i="18"/>
  <c r="AC140" i="18"/>
  <c r="AC134" i="18"/>
  <c r="AC128" i="18"/>
  <c r="AC122" i="18"/>
  <c r="AC116" i="18"/>
  <c r="AC110" i="18"/>
  <c r="AC104" i="18"/>
  <c r="AC98" i="18"/>
  <c r="AC92" i="18"/>
  <c r="AC86" i="18"/>
  <c r="AC80" i="18"/>
  <c r="AC74" i="18"/>
  <c r="AC68" i="18"/>
  <c r="AC62" i="18"/>
  <c r="AC85" i="18"/>
  <c r="AC61" i="18"/>
  <c r="AC96" i="18"/>
  <c r="AC125" i="18"/>
  <c r="AC77" i="18"/>
  <c r="AC130" i="18"/>
  <c r="AC64" i="18"/>
  <c r="AC73" i="18"/>
  <c r="AC90" i="18"/>
  <c r="AC113" i="18"/>
  <c r="AC160" i="18"/>
  <c r="AC142" i="18"/>
  <c r="AC124" i="18"/>
  <c r="AC82" i="18"/>
  <c r="AC157" i="18"/>
  <c r="AC151" i="18"/>
  <c r="AC145" i="18"/>
  <c r="AC139" i="18"/>
  <c r="AC133" i="18"/>
  <c r="AC127" i="18"/>
  <c r="AC121" i="18"/>
  <c r="AC115" i="18"/>
  <c r="AC109" i="18"/>
  <c r="AC103" i="18"/>
  <c r="AC97" i="18"/>
  <c r="AC91" i="18"/>
  <c r="AC79" i="18"/>
  <c r="AC114" i="18"/>
  <c r="AC66" i="18"/>
  <c r="AC155" i="18"/>
  <c r="AC143" i="18"/>
  <c r="AC137" i="18"/>
  <c r="AC119" i="18"/>
  <c r="AC89" i="18"/>
  <c r="AC65" i="18"/>
  <c r="AC148" i="18"/>
  <c r="AC106" i="18"/>
  <c r="AC88" i="18"/>
  <c r="AC70" i="18"/>
  <c r="AC156" i="18"/>
  <c r="AC138" i="18"/>
  <c r="AC126" i="18"/>
  <c r="AC108" i="18"/>
  <c r="AC84" i="18"/>
  <c r="AC60" i="18"/>
  <c r="AC131" i="18"/>
  <c r="AC101" i="18"/>
  <c r="AC83" i="18"/>
  <c r="AC154" i="18"/>
  <c r="AC136" i="18"/>
  <c r="AC118" i="18"/>
  <c r="AC94" i="18"/>
  <c r="AC76" i="18"/>
  <c r="N64" i="18"/>
  <c r="I49" i="18"/>
  <c r="I46" i="18"/>
  <c r="I45" i="18"/>
  <c r="I44" i="18"/>
  <c r="AY80" i="18"/>
  <c r="AY75" i="18"/>
  <c r="AY70" i="18"/>
  <c r="AF62" i="18"/>
  <c r="AF63" i="18" s="1"/>
  <c r="AF64" i="18" s="1"/>
  <c r="AF65" i="18" s="1"/>
  <c r="AF66" i="18" s="1"/>
  <c r="AF67" i="18" s="1"/>
  <c r="AF68" i="18" s="1"/>
  <c r="AF69" i="18" s="1"/>
  <c r="AF70" i="18" s="1"/>
  <c r="AF71" i="18" s="1"/>
  <c r="AF72" i="18" s="1"/>
  <c r="AF73" i="18" s="1"/>
  <c r="AF74" i="18" s="1"/>
  <c r="AF75" i="18" s="1"/>
  <c r="AF76" i="18" s="1"/>
  <c r="AF77" i="18" s="1"/>
  <c r="AF78" i="18" s="1"/>
  <c r="AF79" i="18" s="1"/>
  <c r="AF80" i="18" s="1"/>
  <c r="AF81" i="18" s="1"/>
  <c r="AF82" i="18" s="1"/>
  <c r="AF83" i="18" s="1"/>
  <c r="AF84" i="18" s="1"/>
  <c r="K24" i="18"/>
  <c r="K23" i="18"/>
  <c r="K21" i="18"/>
  <c r="I20" i="18"/>
  <c r="I13" i="18"/>
  <c r="AD260" i="18" l="1"/>
  <c r="AD259" i="18"/>
  <c r="AD258" i="18"/>
  <c r="AD257" i="18"/>
  <c r="AD256" i="18"/>
  <c r="AD255" i="18"/>
  <c r="AD254" i="18"/>
  <c r="AD253" i="18"/>
  <c r="AD252" i="18"/>
  <c r="AD251" i="18"/>
  <c r="AD250" i="18"/>
  <c r="AD249" i="18"/>
  <c r="AD248" i="18"/>
  <c r="AD247" i="18"/>
  <c r="AD246" i="18"/>
  <c r="AD245" i="18"/>
  <c r="AD244" i="18"/>
  <c r="AD243" i="18"/>
  <c r="AD242" i="18"/>
  <c r="AD241" i="18"/>
  <c r="AD240" i="18"/>
  <c r="AD239" i="18"/>
  <c r="AD238" i="18"/>
  <c r="AD237" i="18"/>
  <c r="AD236" i="18"/>
  <c r="AD235" i="18"/>
  <c r="AD234" i="18"/>
  <c r="AD233" i="18"/>
  <c r="AD232" i="18"/>
  <c r="AD231" i="18"/>
  <c r="AD230" i="18"/>
  <c r="AD229" i="18"/>
  <c r="AD228" i="18"/>
  <c r="AD227" i="18"/>
  <c r="AD226" i="18"/>
  <c r="AD225" i="18"/>
  <c r="AD224" i="18"/>
  <c r="AD223" i="18"/>
  <c r="AD222" i="18"/>
  <c r="AD221" i="18"/>
  <c r="AD220" i="18"/>
  <c r="AD219" i="18"/>
  <c r="AD218" i="18"/>
  <c r="AD217" i="18"/>
  <c r="AD216" i="18"/>
  <c r="AD215" i="18"/>
  <c r="AD214" i="18"/>
  <c r="AD213" i="18"/>
  <c r="AD212" i="18"/>
  <c r="AD211" i="18"/>
  <c r="AD210" i="18"/>
  <c r="AD209" i="18"/>
  <c r="AD208" i="18"/>
  <c r="AD207" i="18"/>
  <c r="AD206" i="18"/>
  <c r="AD205" i="18"/>
  <c r="AD204" i="18"/>
  <c r="AD203" i="18"/>
  <c r="AD202" i="18"/>
  <c r="AD201" i="18"/>
  <c r="AD200" i="18"/>
  <c r="AD199" i="18"/>
  <c r="AD198" i="18"/>
  <c r="AD197" i="18"/>
  <c r="AD196" i="18"/>
  <c r="AD195" i="18"/>
  <c r="AD194" i="18"/>
  <c r="AD193" i="18"/>
  <c r="AD192" i="18"/>
  <c r="AD191" i="18"/>
  <c r="AD190" i="18"/>
  <c r="AD189" i="18"/>
  <c r="AD188" i="18"/>
  <c r="AD187" i="18"/>
  <c r="AD186" i="18"/>
  <c r="AD185" i="18"/>
  <c r="AD184" i="18"/>
  <c r="AD183" i="18"/>
  <c r="AD182" i="18"/>
  <c r="AD181" i="18"/>
  <c r="AD180" i="18"/>
  <c r="AD179" i="18"/>
  <c r="AD178" i="18"/>
  <c r="AD177" i="18"/>
  <c r="AD176" i="18"/>
  <c r="AD175" i="18"/>
  <c r="AD174" i="18"/>
  <c r="AD173" i="18"/>
  <c r="AD172" i="18"/>
  <c r="AD171" i="18"/>
  <c r="AD170" i="18"/>
  <c r="AD169" i="18"/>
  <c r="AD168" i="18"/>
  <c r="AD167" i="18"/>
  <c r="AD166" i="18"/>
  <c r="AD165" i="18"/>
  <c r="AD164" i="18"/>
  <c r="AD163" i="18"/>
  <c r="AD162" i="18"/>
  <c r="AD161" i="18"/>
  <c r="AD149" i="18"/>
  <c r="AD119" i="18"/>
  <c r="AD95" i="18"/>
  <c r="AD83" i="18"/>
  <c r="AD124" i="18"/>
  <c r="AD64" i="18"/>
  <c r="AD159" i="18"/>
  <c r="AD147" i="18"/>
  <c r="AD123" i="18"/>
  <c r="AD99" i="18"/>
  <c r="AD87" i="18"/>
  <c r="AD63" i="18"/>
  <c r="AD158" i="18"/>
  <c r="AD152" i="18"/>
  <c r="AD146" i="18"/>
  <c r="AD140" i="18"/>
  <c r="AD134" i="18"/>
  <c r="AD128" i="18"/>
  <c r="AD122" i="18"/>
  <c r="AD116" i="18"/>
  <c r="AD110" i="18"/>
  <c r="AD104" i="18"/>
  <c r="AD98" i="18"/>
  <c r="AD92" i="18"/>
  <c r="AD86" i="18"/>
  <c r="AD80" i="18"/>
  <c r="AD74" i="18"/>
  <c r="AD68" i="18"/>
  <c r="AD62" i="18"/>
  <c r="AD127" i="18"/>
  <c r="AD109" i="18"/>
  <c r="AD91" i="18"/>
  <c r="AD73" i="18"/>
  <c r="AD61" i="18"/>
  <c r="AD132" i="18"/>
  <c r="AD102" i="18"/>
  <c r="AD72" i="18"/>
  <c r="AD107" i="18"/>
  <c r="AD160" i="18"/>
  <c r="AD142" i="18"/>
  <c r="AD112" i="18"/>
  <c r="AD76" i="18"/>
  <c r="AD141" i="18"/>
  <c r="AD105" i="18"/>
  <c r="AD81" i="18"/>
  <c r="AD145" i="18"/>
  <c r="AD121" i="18"/>
  <c r="AD103" i="18"/>
  <c r="AD85" i="18"/>
  <c r="AD67" i="18"/>
  <c r="AD126" i="18"/>
  <c r="AD96" i="18"/>
  <c r="AD66" i="18"/>
  <c r="AD155" i="18"/>
  <c r="AD125" i="18"/>
  <c r="AD89" i="18"/>
  <c r="AD118" i="18"/>
  <c r="AD70" i="18"/>
  <c r="AD129" i="18"/>
  <c r="AD69" i="18"/>
  <c r="AD157" i="18"/>
  <c r="AD151" i="18"/>
  <c r="AD139" i="18"/>
  <c r="AD133" i="18"/>
  <c r="AD115" i="18"/>
  <c r="AD97" i="18"/>
  <c r="AD79" i="18"/>
  <c r="AD114" i="18"/>
  <c r="AD84" i="18"/>
  <c r="AD60" i="18"/>
  <c r="AD143" i="18"/>
  <c r="AD131" i="18"/>
  <c r="AD101" i="18"/>
  <c r="AD77" i="18"/>
  <c r="AD148" i="18"/>
  <c r="AD94" i="18"/>
  <c r="AD153" i="18"/>
  <c r="AD117" i="18"/>
  <c r="AD75" i="18"/>
  <c r="AD108" i="18"/>
  <c r="AD78" i="18"/>
  <c r="AD113" i="18"/>
  <c r="AD71" i="18"/>
  <c r="AD136" i="18"/>
  <c r="AD106" i="18"/>
  <c r="AD88" i="18"/>
  <c r="AD111" i="18"/>
  <c r="AD156" i="18"/>
  <c r="AD150" i="18"/>
  <c r="AD144" i="18"/>
  <c r="AD138" i="18"/>
  <c r="AD120" i="18"/>
  <c r="AD90" i="18"/>
  <c r="AD137" i="18"/>
  <c r="AD65" i="18"/>
  <c r="AD154" i="18"/>
  <c r="AD130" i="18"/>
  <c r="AD100" i="18"/>
  <c r="AD82" i="18"/>
  <c r="AD135" i="18"/>
  <c r="AD93" i="18"/>
  <c r="I22" i="18"/>
  <c r="K22" i="18" s="1"/>
  <c r="H68" i="18"/>
  <c r="L20" i="18"/>
  <c r="L21" i="18"/>
  <c r="J63" i="18"/>
  <c r="AK88" i="18" s="1"/>
  <c r="L23" i="18"/>
  <c r="L24" i="18"/>
  <c r="K20" i="18"/>
  <c r="AK89" i="18" l="1"/>
  <c r="K63" i="18"/>
  <c r="M63" i="18"/>
  <c r="J67" i="18"/>
  <c r="AH96" i="18" s="1"/>
  <c r="AH97" i="18" s="1"/>
  <c r="AH98" i="18" s="1"/>
  <c r="J66" i="18"/>
  <c r="AY67" i="18"/>
  <c r="BA65" i="18" s="1"/>
  <c r="AY72" i="18"/>
  <c r="BB70" i="18" s="1"/>
  <c r="AY62" i="18"/>
  <c r="BA61" i="18" s="1"/>
  <c r="L22" i="18"/>
  <c r="H69" i="18"/>
  <c r="J69" i="18" s="1"/>
  <c r="M69" i="18" s="1"/>
  <c r="J68" i="18"/>
  <c r="M68" i="18" s="1"/>
  <c r="AG88" i="18"/>
  <c r="AY83" i="18"/>
  <c r="AY82" i="18"/>
  <c r="AY74" i="18"/>
  <c r="AY68" i="18"/>
  <c r="BB66" i="18" s="1"/>
  <c r="AG89" i="18"/>
  <c r="AG90" i="18" s="1"/>
  <c r="AY63" i="18"/>
  <c r="AY61" i="18" s="1"/>
  <c r="AY78" i="18"/>
  <c r="BB76" i="18" s="1"/>
  <c r="AY64" i="18"/>
  <c r="AY84" i="18"/>
  <c r="AY79" i="18"/>
  <c r="AY77" i="18"/>
  <c r="BB75" i="18" s="1"/>
  <c r="AY73" i="18"/>
  <c r="BB71" i="18" s="1"/>
  <c r="AY69" i="18"/>
  <c r="AP59" i="18"/>
  <c r="AU71" i="18" l="1"/>
  <c r="AU65" i="18"/>
  <c r="AS68" i="18"/>
  <c r="AU68" i="18"/>
  <c r="AS65" i="18"/>
  <c r="AR65" i="18"/>
  <c r="AS70" i="18"/>
  <c r="AT67" i="18"/>
  <c r="AT71" i="18"/>
  <c r="AT65" i="18"/>
  <c r="AR68" i="18"/>
  <c r="AT68" i="18"/>
  <c r="AU67" i="18"/>
  <c r="AR64" i="18"/>
  <c r="AR69" i="18"/>
  <c r="AU70" i="18"/>
  <c r="AU64" i="18"/>
  <c r="AS67" i="18"/>
  <c r="AT70" i="18"/>
  <c r="AT64" i="18"/>
  <c r="AR67" i="18"/>
  <c r="AU69" i="18"/>
  <c r="AS66" i="18"/>
  <c r="AT69" i="18"/>
  <c r="AR66" i="18"/>
  <c r="AS71" i="18"/>
  <c r="AR71" i="18"/>
  <c r="AS64" i="18"/>
  <c r="AR70" i="18"/>
  <c r="AS69" i="18"/>
  <c r="AU66" i="18"/>
  <c r="AT66" i="18"/>
  <c r="AR63" i="18"/>
  <c r="AS63" i="18"/>
  <c r="AU63" i="18"/>
  <c r="AT63" i="18"/>
  <c r="H67" i="18"/>
  <c r="AG96" i="18" s="1"/>
  <c r="AG98" i="18" s="1"/>
  <c r="AG99" i="18" s="1"/>
  <c r="M70" i="18"/>
  <c r="M71" i="18" s="1"/>
  <c r="H71" i="18" s="1"/>
  <c r="AP80" i="18"/>
  <c r="AP74" i="18"/>
  <c r="AP68" i="18"/>
  <c r="AP62" i="18"/>
  <c r="AO65" i="18"/>
  <c r="AP82" i="18"/>
  <c r="AO70" i="18"/>
  <c r="AO80" i="18"/>
  <c r="AO74" i="18"/>
  <c r="AO68" i="18"/>
  <c r="AO62" i="18"/>
  <c r="AO66" i="18"/>
  <c r="AP65" i="18"/>
  <c r="AP85" i="18"/>
  <c r="AP79" i="18"/>
  <c r="AP73" i="18"/>
  <c r="AP67" i="18"/>
  <c r="AO61" i="18"/>
  <c r="AO72" i="18"/>
  <c r="AP77" i="18"/>
  <c r="AO71" i="18"/>
  <c r="AP76" i="18"/>
  <c r="AO64" i="18"/>
  <c r="AP75" i="18"/>
  <c r="AO81" i="18"/>
  <c r="AO85" i="18"/>
  <c r="AO79" i="18"/>
  <c r="AO73" i="18"/>
  <c r="AO67" i="18"/>
  <c r="AP61" i="18"/>
  <c r="AO78" i="18"/>
  <c r="AP83" i="18"/>
  <c r="AP64" i="18"/>
  <c r="AO82" i="18"/>
  <c r="AP69" i="18"/>
  <c r="AO69" i="18"/>
  <c r="AP84" i="18"/>
  <c r="AP78" i="18"/>
  <c r="AP72" i="18"/>
  <c r="AP66" i="18"/>
  <c r="AO84" i="18"/>
  <c r="AP71" i="18"/>
  <c r="AP81" i="18"/>
  <c r="AO75" i="18"/>
  <c r="AO83" i="18"/>
  <c r="AO77" i="18"/>
  <c r="AP70" i="18"/>
  <c r="AO76" i="18"/>
  <c r="AP63" i="18"/>
  <c r="AO63" i="18"/>
  <c r="H66" i="18"/>
  <c r="AG104" i="18"/>
  <c r="AG106" i="18" s="1"/>
  <c r="AG107" i="18" s="1"/>
  <c r="AG100" i="18"/>
  <c r="L64" i="18"/>
  <c r="BB65" i="18"/>
  <c r="BA62" i="18"/>
  <c r="AH59" i="18"/>
  <c r="K68" i="18"/>
  <c r="K69" i="18"/>
  <c r="AJ59" i="18"/>
  <c r="BB80" i="18"/>
  <c r="BA80" i="18"/>
  <c r="BB81" i="18"/>
  <c r="BB84" i="18" s="1"/>
  <c r="AY81" i="18"/>
  <c r="BA83" i="18" s="1"/>
  <c r="BA81" i="18"/>
  <c r="BA84" i="18" s="1"/>
  <c r="BA70" i="18"/>
  <c r="AY76" i="18"/>
  <c r="BA76" i="18"/>
  <c r="BA79" i="18" s="1"/>
  <c r="BB79" i="18"/>
  <c r="BA75" i="18"/>
  <c r="N63" i="18"/>
  <c r="AH89" i="18"/>
  <c r="AH90" i="18" s="1"/>
  <c r="AH91" i="18" s="1"/>
  <c r="AY71" i="18"/>
  <c r="BA71" i="18"/>
  <c r="BA74" i="18" s="1"/>
  <c r="BB74" i="18"/>
  <c r="BB63" i="18"/>
  <c r="BB62" i="18"/>
  <c r="BA63" i="18"/>
  <c r="AY66" i="18"/>
  <c r="BA66" i="18"/>
  <c r="BA69" i="18" s="1"/>
  <c r="BB69" i="18"/>
  <c r="BB61" i="18"/>
  <c r="BB64" i="18" s="1"/>
  <c r="BA64" i="18"/>
  <c r="H70" i="18" l="1"/>
  <c r="J70" i="18" s="1"/>
  <c r="N71" i="18"/>
  <c r="J71" i="18"/>
  <c r="AH112" i="18"/>
  <c r="AH113" i="18" s="1"/>
  <c r="AH114" i="18" s="1"/>
  <c r="AH108" i="18"/>
  <c r="AH109" i="18" s="1"/>
  <c r="AH110" i="18" s="1"/>
  <c r="N70" i="18"/>
  <c r="AH92" i="18"/>
  <c r="AH93" i="18" s="1"/>
  <c r="AH94" i="18" s="1"/>
  <c r="N69" i="18"/>
  <c r="AH104" i="18"/>
  <c r="AH105" i="18" s="1"/>
  <c r="AH106" i="18" s="1"/>
  <c r="N68" i="18"/>
  <c r="AH100" i="18"/>
  <c r="AI65" i="18"/>
  <c r="AI73" i="18"/>
  <c r="AJ62" i="18"/>
  <c r="AJ66" i="18"/>
  <c r="AJ70" i="18"/>
  <c r="AJ74" i="18"/>
  <c r="AJ78" i="18"/>
  <c r="AJ82" i="18"/>
  <c r="AI61" i="18"/>
  <c r="AI63" i="18"/>
  <c r="AI67" i="18"/>
  <c r="AI71" i="18"/>
  <c r="AI75" i="18"/>
  <c r="AI79" i="18"/>
  <c r="AI83" i="18"/>
  <c r="AJ63" i="18"/>
  <c r="AJ67" i="18"/>
  <c r="AJ71" i="18"/>
  <c r="AJ75" i="18"/>
  <c r="AJ79" i="18"/>
  <c r="AJ83" i="18"/>
  <c r="AI64" i="18"/>
  <c r="AI68" i="18"/>
  <c r="AI72" i="18"/>
  <c r="AI76" i="18"/>
  <c r="AI80" i="18"/>
  <c r="AI84" i="18"/>
  <c r="AJ64" i="18"/>
  <c r="AJ68" i="18"/>
  <c r="AJ72" i="18"/>
  <c r="AJ76" i="18"/>
  <c r="AJ80" i="18"/>
  <c r="AJ84" i="18"/>
  <c r="AI69" i="18"/>
  <c r="AI77" i="18"/>
  <c r="AI81" i="18"/>
  <c r="AI85" i="18"/>
  <c r="AI74" i="18"/>
  <c r="AJ77" i="18"/>
  <c r="AI62" i="18"/>
  <c r="AI78" i="18"/>
  <c r="AJ65" i="18"/>
  <c r="AJ81" i="18"/>
  <c r="AI66" i="18"/>
  <c r="AI82" i="18"/>
  <c r="AJ69" i="18"/>
  <c r="AJ85" i="18"/>
  <c r="AI70" i="18"/>
  <c r="AJ61" i="18"/>
  <c r="AJ73" i="18"/>
  <c r="AH71" i="18"/>
  <c r="AH65" i="18"/>
  <c r="AH69" i="18"/>
  <c r="AH73" i="18"/>
  <c r="AH77" i="18"/>
  <c r="AH81" i="18"/>
  <c r="AH85" i="18"/>
  <c r="AG62" i="18"/>
  <c r="AG66" i="18"/>
  <c r="AG70" i="18"/>
  <c r="AG74" i="18"/>
  <c r="AG78" i="18"/>
  <c r="AG82" i="18"/>
  <c r="AH61" i="18"/>
  <c r="AH62" i="18"/>
  <c r="AH66" i="18"/>
  <c r="AH70" i="18"/>
  <c r="AH74" i="18"/>
  <c r="AH78" i="18"/>
  <c r="AH82" i="18"/>
  <c r="AG61" i="18"/>
  <c r="AG63" i="18"/>
  <c r="AG67" i="18"/>
  <c r="AG71" i="18"/>
  <c r="AG75" i="18"/>
  <c r="AG79" i="18"/>
  <c r="AG83" i="18"/>
  <c r="AH63" i="18"/>
  <c r="AH67" i="18"/>
  <c r="AH75" i="18"/>
  <c r="AH79" i="18"/>
  <c r="AH83" i="18"/>
  <c r="AG64" i="18"/>
  <c r="AG65" i="18"/>
  <c r="AH76" i="18"/>
  <c r="AG68" i="18"/>
  <c r="AG77" i="18"/>
  <c r="AH68" i="18"/>
  <c r="AG80" i="18"/>
  <c r="AG69" i="18"/>
  <c r="AH80" i="18"/>
  <c r="AG72" i="18"/>
  <c r="AG81" i="18"/>
  <c r="AH72" i="18"/>
  <c r="AG84" i="18"/>
  <c r="AG73" i="18"/>
  <c r="AH84" i="18"/>
  <c r="AH64" i="18"/>
  <c r="AG76" i="18"/>
  <c r="AG85" i="18"/>
  <c r="BB73" i="18"/>
  <c r="BB72" i="18"/>
  <c r="BB77" i="18"/>
  <c r="BB78" i="18"/>
  <c r="BB68" i="18"/>
  <c r="BB67" i="18"/>
  <c r="BA82" i="18"/>
  <c r="BB83" i="18"/>
  <c r="BB82" i="18"/>
  <c r="BA78" i="18"/>
  <c r="BA77" i="18"/>
  <c r="BA67" i="18"/>
  <c r="BA68" i="18"/>
  <c r="BA72" i="18"/>
  <c r="BA73" i="18"/>
  <c r="K70" i="18" l="1"/>
  <c r="AL59" i="18"/>
  <c r="AL75" i="18" s="1"/>
  <c r="AG108" i="18"/>
  <c r="AG110" i="18" s="1"/>
  <c r="AG111" i="18" s="1"/>
  <c r="AN59" i="18"/>
  <c r="AG112" i="18"/>
  <c r="AG114" i="18" s="1"/>
  <c r="AG115" i="18" s="1"/>
  <c r="K71" i="18"/>
  <c r="AG92" i="18"/>
  <c r="AG94" i="18" s="1"/>
  <c r="AG95" i="18" s="1"/>
  <c r="K67" i="18"/>
  <c r="AG102" i="18"/>
  <c r="AG103" i="18" s="1"/>
  <c r="K66" i="18"/>
  <c r="AK61" i="18" l="1"/>
  <c r="AL67" i="18"/>
  <c r="AL73" i="18"/>
  <c r="AL79" i="18"/>
  <c r="AL85" i="18"/>
  <c r="AK64" i="18"/>
  <c r="AL82" i="18"/>
  <c r="AK83" i="18"/>
  <c r="AL83" i="18"/>
  <c r="AK68" i="18"/>
  <c r="AL68" i="18"/>
  <c r="AK81" i="18"/>
  <c r="AK82" i="18"/>
  <c r="AL74" i="18"/>
  <c r="AK63" i="18"/>
  <c r="AL69" i="18"/>
  <c r="AK76" i="18"/>
  <c r="AL70" i="18"/>
  <c r="AK65" i="18"/>
  <c r="AL65" i="18"/>
  <c r="AL61" i="18"/>
  <c r="AK66" i="18"/>
  <c r="AK72" i="18"/>
  <c r="AK78" i="18"/>
  <c r="AK84" i="18"/>
  <c r="AL81" i="18"/>
  <c r="AL76" i="18"/>
  <c r="AK71" i="18"/>
  <c r="AL77" i="18"/>
  <c r="AL66" i="18"/>
  <c r="AL72" i="18"/>
  <c r="AL78" i="18"/>
  <c r="AL84" i="18"/>
  <c r="AK74" i="18"/>
  <c r="AL62" i="18"/>
  <c r="AK69" i="18"/>
  <c r="AK70" i="18"/>
  <c r="AL64" i="18"/>
  <c r="AK77" i="18"/>
  <c r="AL71" i="18"/>
  <c r="AK67" i="18"/>
  <c r="AK73" i="18"/>
  <c r="AK79" i="18"/>
  <c r="AK85" i="18"/>
  <c r="AK80" i="18"/>
  <c r="AL80" i="18"/>
  <c r="AK75" i="18"/>
  <c r="AK62" i="18"/>
  <c r="AL63" i="18"/>
  <c r="AM80" i="18"/>
  <c r="AM74" i="18"/>
  <c r="AM68" i="18"/>
  <c r="AM62" i="18"/>
  <c r="AM84" i="18"/>
  <c r="AM66" i="18"/>
  <c r="AN83" i="18"/>
  <c r="AN65" i="18"/>
  <c r="AM83" i="18"/>
  <c r="AN64" i="18"/>
  <c r="AM82" i="18"/>
  <c r="AN75" i="18"/>
  <c r="AM75" i="18"/>
  <c r="AN74" i="18"/>
  <c r="AN85" i="18"/>
  <c r="AN79" i="18"/>
  <c r="AN73" i="18"/>
  <c r="AN67" i="18"/>
  <c r="AN61" i="18"/>
  <c r="AM78" i="18"/>
  <c r="AN77" i="18"/>
  <c r="AM71" i="18"/>
  <c r="AN70" i="18"/>
  <c r="AM64" i="18"/>
  <c r="AN69" i="18"/>
  <c r="AN62" i="18"/>
  <c r="AM85" i="18"/>
  <c r="AM79" i="18"/>
  <c r="AM73" i="18"/>
  <c r="AM67" i="18"/>
  <c r="AM61" i="18"/>
  <c r="AM72" i="18"/>
  <c r="AM65" i="18"/>
  <c r="AN82" i="18"/>
  <c r="AM76" i="18"/>
  <c r="AN81" i="18"/>
  <c r="AM81" i="18"/>
  <c r="AN84" i="18"/>
  <c r="AN78" i="18"/>
  <c r="AN72" i="18"/>
  <c r="AN66" i="18"/>
  <c r="AN71" i="18"/>
  <c r="AM77" i="18"/>
  <c r="AN76" i="18"/>
  <c r="AM70" i="18"/>
  <c r="AM69" i="18"/>
  <c r="AN80" i="18"/>
  <c r="AN63" i="18"/>
  <c r="AM63" i="18"/>
  <c r="AN68" i="18"/>
  <c r="AH101" i="18"/>
  <c r="AH102" i="18" s="1"/>
</calcChain>
</file>

<file path=xl/comments1.xml><?xml version="1.0" encoding="utf-8"?>
<comments xmlns="http://schemas.openxmlformats.org/spreadsheetml/2006/main">
  <authors>
    <author>Bill Ambrose</author>
  </authors>
  <commentList>
    <comment ref="K48" authorId="0">
      <text>
        <r>
          <rPr>
            <sz val="9"/>
            <color indexed="81"/>
            <rFont val="Tahoma"/>
            <family val="2"/>
          </rPr>
          <t>Typical Values based on Region of Operation:
GOMEX = 1.0 (Hs &lt;= 6.5m)
Brazil = 1.9
West Africa = 1.5
North Sea = 3.3</t>
        </r>
      </text>
    </comment>
    <comment ref="K51" authorId="0">
      <text>
        <r>
          <rPr>
            <sz val="9"/>
            <color indexed="81"/>
            <rFont val="Tahoma"/>
            <family val="2"/>
          </rPr>
          <t>Typical Value 7.0</t>
        </r>
      </text>
    </comment>
  </commentList>
</comments>
</file>

<file path=xl/sharedStrings.xml><?xml version="1.0" encoding="utf-8"?>
<sst xmlns="http://schemas.openxmlformats.org/spreadsheetml/2006/main" count="754" uniqueCount="181">
  <si>
    <t>AMP</t>
  </si>
  <si>
    <t>PHASE</t>
  </si>
  <si>
    <t>Surge</t>
  </si>
  <si>
    <t>Sway</t>
  </si>
  <si>
    <t>Yaw</t>
  </si>
  <si>
    <t>Motion RAOs</t>
  </si>
  <si>
    <t>SURGE</t>
  </si>
  <si>
    <t>SWAY</t>
  </si>
  <si>
    <t>HEAVE</t>
  </si>
  <si>
    <t>ROLL</t>
  </si>
  <si>
    <t>PITCH</t>
  </si>
  <si>
    <t>YAW</t>
  </si>
  <si>
    <t>Period</t>
  </si>
  <si>
    <t>Heading</t>
  </si>
  <si>
    <t>(sec)</t>
  </si>
  <si>
    <t>(deg)</t>
  </si>
  <si>
    <t>Wave Drift Force Coefficients</t>
  </si>
  <si>
    <t>Freq.</t>
  </si>
  <si>
    <t>(rad/s)</t>
  </si>
  <si>
    <t>(m/m)</t>
  </si>
  <si>
    <t>(deg/m)</t>
  </si>
  <si>
    <r>
      <t>kN/m</t>
    </r>
    <r>
      <rPr>
        <vertAlign val="superscript"/>
        <sz val="10"/>
        <rFont val="Arial"/>
        <family val="2"/>
      </rPr>
      <t>2</t>
    </r>
  </si>
  <si>
    <r>
      <t>kN-m/m</t>
    </r>
    <r>
      <rPr>
        <vertAlign val="superscript"/>
        <sz val="10"/>
        <rFont val="Arial"/>
        <family val="2"/>
      </rPr>
      <t>2</t>
    </r>
  </si>
  <si>
    <t>Wind</t>
  </si>
  <si>
    <t>Current</t>
  </si>
  <si>
    <t>CCW towards</t>
  </si>
  <si>
    <t>Fx, fwd +</t>
  </si>
  <si>
    <t>Fy, port +</t>
  </si>
  <si>
    <t>Mz, ccw +</t>
  </si>
  <si>
    <t>deg</t>
  </si>
  <si>
    <t>kN/(m/s)²</t>
  </si>
  <si>
    <t>kNm/(m/s)²</t>
  </si>
  <si>
    <t>Added Mass</t>
  </si>
  <si>
    <t>Wave</t>
  </si>
  <si>
    <t>Swell</t>
  </si>
  <si>
    <t>x</t>
  </si>
  <si>
    <t>y</t>
  </si>
  <si>
    <t>Vessel Heading</t>
  </si>
  <si>
    <t>tip length</t>
  </si>
  <si>
    <t>base</t>
  </si>
  <si>
    <t>tip loc</t>
  </si>
  <si>
    <t>tip width</t>
  </si>
  <si>
    <t xml:space="preserve">Wind </t>
  </si>
  <si>
    <t>Time</t>
  </si>
  <si>
    <t>Vessel Type</t>
  </si>
  <si>
    <t>Operating Draft</t>
  </si>
  <si>
    <t>m</t>
  </si>
  <si>
    <r>
      <t xml:space="preserve">(This program is </t>
    </r>
    <r>
      <rPr>
        <b/>
        <u/>
        <sz val="10"/>
        <rFont val="Tahoma"/>
        <family val="2"/>
      </rPr>
      <t>only</t>
    </r>
    <r>
      <rPr>
        <sz val="10"/>
        <rFont val="Tahoma"/>
        <family val="2"/>
      </rPr>
      <t xml:space="preserve"> to be used for specified vessel above)</t>
    </r>
  </si>
  <si>
    <t>Site Information</t>
  </si>
  <si>
    <r>
      <t xml:space="preserve">(Items in </t>
    </r>
    <r>
      <rPr>
        <b/>
        <sz val="10"/>
        <color indexed="12"/>
        <rFont val="Tahoma"/>
        <family val="2"/>
      </rPr>
      <t>BLUE</t>
    </r>
    <r>
      <rPr>
        <sz val="10"/>
        <rFont val="Tahoma"/>
        <family val="2"/>
      </rPr>
      <t xml:space="preserve"> need to be updated for each new well)</t>
    </r>
  </si>
  <si>
    <t>Region of Operation:</t>
  </si>
  <si>
    <t>(GOMEX, Brazil, West Africa, North Sea, etc.)</t>
  </si>
  <si>
    <t>Well Name/Number:</t>
  </si>
  <si>
    <t>Operator:</t>
  </si>
  <si>
    <t xml:space="preserve">Spud Date: </t>
  </si>
  <si>
    <t>Water Depth:</t>
  </si>
  <si>
    <t>Riser System &amp; EDS Parameters</t>
  </si>
  <si>
    <t>Riser Point of Disconnect Offset Limits</t>
  </si>
  <si>
    <t>Parameter</t>
  </si>
  <si>
    <t>Allowed Value</t>
  </si>
  <si>
    <t>Offset from Well Center at Which Limit Occurs</t>
  </si>
  <si>
    <t>WD</t>
  </si>
  <si>
    <t>ft</t>
  </si>
  <si>
    <t xml:space="preserve">Active Emergency Disconnect Sequence </t>
  </si>
  <si>
    <t>Sequence</t>
  </si>
  <si>
    <t>Description</t>
  </si>
  <si>
    <t>Duration</t>
  </si>
  <si>
    <t>Active Seq.</t>
  </si>
  <si>
    <t>sec</t>
  </si>
  <si>
    <t>Rig Heading Set Point Towards:</t>
  </si>
  <si>
    <t>deg TN</t>
  </si>
  <si>
    <t>kN</t>
  </si>
  <si>
    <t>Last Update [Date/Time] :</t>
  </si>
  <si>
    <t>Wind (10m, 1-min mean)</t>
  </si>
  <si>
    <t>m/s</t>
  </si>
  <si>
    <t xml:space="preserve">Current </t>
  </si>
  <si>
    <t>Seas Sig. Wave Height (Hs)</t>
  </si>
  <si>
    <t xml:space="preserve">m </t>
  </si>
  <si>
    <t>Tp, seas</t>
  </si>
  <si>
    <t>Wave Spectrum:</t>
  </si>
  <si>
    <t xml:space="preserve">Gamma: </t>
  </si>
  <si>
    <t>Swell Sig. Wave Height (Hsw)</t>
  </si>
  <si>
    <t>Tp, swell</t>
  </si>
  <si>
    <t>Watch Circle and Reaction Time</t>
  </si>
  <si>
    <t>Distance from DP Set Point to Disconnect Point</t>
  </si>
  <si>
    <t>Drift Time:</t>
  </si>
  <si>
    <t xml:space="preserve">EDS Sequence Duration </t>
  </si>
  <si>
    <t>Zero Lines</t>
  </si>
  <si>
    <t>POD Circle</t>
  </si>
  <si>
    <t>Angle</t>
  </si>
  <si>
    <t>Radius =</t>
  </si>
  <si>
    <t>Environmental and Vessel Heading Plot</t>
  </si>
  <si>
    <t>2-D Plot Lines</t>
  </si>
  <si>
    <t>POD</t>
  </si>
  <si>
    <t>Drift off Path</t>
  </si>
  <si>
    <t>[sec]</t>
  </si>
  <si>
    <t>[m]</t>
  </si>
  <si>
    <t>[deg]</t>
  </si>
  <si>
    <t>Vessel Particular</t>
  </si>
  <si>
    <t>JONSWAP</t>
  </si>
  <si>
    <t>YawRate</t>
  </si>
  <si>
    <t>Radius from WC</t>
  </si>
  <si>
    <t>Velocity</t>
  </si>
  <si>
    <t>slug2mt</t>
  </si>
  <si>
    <t>mT</t>
  </si>
  <si>
    <t>slug</t>
  </si>
  <si>
    <t>Time Duration / Step</t>
  </si>
  <si>
    <t>slug=lb*s/ft^2</t>
  </si>
  <si>
    <t>slug-ft^2</t>
  </si>
  <si>
    <t>mT-m^2</t>
  </si>
  <si>
    <t>lb-ft2kNm</t>
  </si>
  <si>
    <t>kN-m/(radians/s)^2</t>
  </si>
  <si>
    <t>[% WD]</t>
  </si>
  <si>
    <t>Brazil</t>
  </si>
  <si>
    <t>Generic</t>
  </si>
  <si>
    <t>lb-ft/(radians/s)^2</t>
  </si>
  <si>
    <t>Yawmass</t>
  </si>
  <si>
    <t>Total force</t>
  </si>
  <si>
    <t>Mass</t>
  </si>
  <si>
    <t>DP Vessel Drift-off and Watch Circle</t>
  </si>
  <si>
    <t>Radius from SP</t>
  </si>
  <si>
    <t>Pipe Shear</t>
  </si>
  <si>
    <t>Casing Shear</t>
  </si>
  <si>
    <t>Other</t>
  </si>
  <si>
    <t>Stroke-out (mean) for reference</t>
  </si>
  <si>
    <t>Upper Flex Joint Angle (max) for reference</t>
  </si>
  <si>
    <t>Lower Flex Joint Angle (max) for reference</t>
  </si>
  <si>
    <t>Maximum allowable offset limit for this evaluation</t>
  </si>
  <si>
    <t>Maximum allowable offset from Drift-off Analysis*</t>
  </si>
  <si>
    <t>m North (+)</t>
  </si>
  <si>
    <t>m East (+)</t>
  </si>
  <si>
    <t>Expected Max Motions</t>
  </si>
  <si>
    <t>deg Roll</t>
  </si>
  <si>
    <t>deg Pitch</t>
  </si>
  <si>
    <t>Rig Heading &amp; Environments</t>
  </si>
  <si>
    <t xml:space="preserve">  Rig Thruster Force:</t>
  </si>
  <si>
    <t>Using Thruster for calculations  [Y/N]</t>
  </si>
  <si>
    <t>N</t>
  </si>
  <si>
    <t xml:space="preserve">from: </t>
  </si>
  <si>
    <t xml:space="preserve">toward: </t>
  </si>
  <si>
    <t>* Values should be obtained from riser analysis conducted by Engineering</t>
  </si>
  <si>
    <t>Well Position UTM coordination</t>
  </si>
  <si>
    <t>Semi Yellow</t>
  </si>
  <si>
    <t>Semi Red</t>
  </si>
  <si>
    <t>Current Position:</t>
  </si>
  <si>
    <t>DP Set Point:</t>
  </si>
  <si>
    <t>Red</t>
  </si>
  <si>
    <t>Yellow</t>
  </si>
  <si>
    <t>Semi</t>
  </si>
  <si>
    <t>[m/s]</t>
  </si>
  <si>
    <t xml:space="preserve">Yellow </t>
  </si>
  <si>
    <t xml:space="preserve">Red </t>
  </si>
  <si>
    <t>Operation Manual</t>
  </si>
  <si>
    <t>Red Watch Circle (Op Manual)</t>
  </si>
  <si>
    <t>Yellow Watch Circle (Op Manual)</t>
  </si>
  <si>
    <r>
      <t xml:space="preserve">Red Watch Circle Radius </t>
    </r>
    <r>
      <rPr>
        <sz val="10"/>
        <rFont val="Tahoma"/>
        <family val="2"/>
      </rPr>
      <t>(Op. Manual)</t>
    </r>
  </si>
  <si>
    <r>
      <t xml:space="preserve">Yellow Watch Circle Radius </t>
    </r>
    <r>
      <rPr>
        <sz val="10"/>
        <rFont val="Tahoma"/>
        <family val="2"/>
      </rPr>
      <t>(Op. Manual)</t>
    </r>
  </si>
  <si>
    <r>
      <t xml:space="preserve">Red Watch Circle Radius </t>
    </r>
    <r>
      <rPr>
        <sz val="10"/>
        <rFont val="Tahoma"/>
        <family val="2"/>
      </rPr>
      <t>(By POD)</t>
    </r>
  </si>
  <si>
    <t>Radius from CP</t>
  </si>
  <si>
    <t>YD</t>
  </si>
  <si>
    <t>RD</t>
  </si>
  <si>
    <t>Center</t>
  </si>
  <si>
    <r>
      <t xml:space="preserve">Yellow Watch Circle Radius </t>
    </r>
    <r>
      <rPr>
        <sz val="10"/>
        <rFont val="Tahoma"/>
        <family val="2"/>
      </rPr>
      <t>(By POD)</t>
    </r>
  </si>
  <si>
    <t>Red Watch Circle (by POD)</t>
  </si>
  <si>
    <t>Yellow Watch Circle (by POD)</t>
  </si>
  <si>
    <t>Reaction Time from Yellow to Red</t>
  </si>
  <si>
    <t>*</t>
  </si>
  <si>
    <t>Reaction Time from Yellow To Red</t>
  </si>
  <si>
    <r>
      <t xml:space="preserve">Semi Yellow </t>
    </r>
    <r>
      <rPr>
        <sz val="10"/>
        <rFont val="Tahoma"/>
        <family val="2"/>
      </rPr>
      <t>(centered at SP - Reaction - EDS)</t>
    </r>
  </si>
  <si>
    <r>
      <t xml:space="preserve">Semi Red </t>
    </r>
    <r>
      <rPr>
        <sz val="10"/>
        <rFont val="Tahoma"/>
        <family val="2"/>
      </rPr>
      <t>(centered at Yellow+ EDS)</t>
    </r>
  </si>
  <si>
    <t>ft2m</t>
  </si>
  <si>
    <t>WCHead</t>
  </si>
  <si>
    <t>lb2kN</t>
  </si>
  <si>
    <t>Driftperiod</t>
  </si>
  <si>
    <t>DriftHead</t>
  </si>
  <si>
    <t>Paragon DPDS3</t>
  </si>
  <si>
    <t>Nperiod</t>
  </si>
  <si>
    <t>Nhead</t>
  </si>
  <si>
    <t>Paragon DPDS2</t>
  </si>
  <si>
    <t>Revision C1</t>
  </si>
  <si>
    <t>(February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</si>
</sst>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
    <numFmt numFmtId="165" formatCode="0.000"/>
    <numFmt numFmtId="166" formatCode="0.000E+00"/>
    <numFmt numFmtId="167" formatCode="0.0%"/>
    <numFmt numFmtId="168" formatCode="0.0E+00"/>
    <numFmt numFmtId="169" formatCode="dd\-mmm\ yyyy"/>
    <numFmt numFmtId="170" formatCode="0&quot; ft&quot;"/>
    <numFmt numFmtId="171" formatCode="00.0&quot; m&quot;"/>
    <numFmt numFmtId="172" formatCode="0.00&quot; kts&quot;"/>
    <numFmt numFmtId="173" formatCode="0.0&quot; ft&quot;"/>
    <numFmt numFmtId="174" formatCode="0&quot; sec&quot;"/>
    <numFmt numFmtId="175" formatCode="0.0&quot; m&quot;"/>
    <numFmt numFmtId="176" formatCode="\(0.0&quot; min)&quot;"/>
    <numFmt numFmtId="177" formatCode="0.00&quot; ft&quot;"/>
    <numFmt numFmtId="178" formatCode="[$-409]mmmm\ d\,\ yyyy;@"/>
    <numFmt numFmtId="179" formatCode="h:mm;@"/>
    <numFmt numFmtId="180" formatCode="0.0000"/>
  </numFmts>
  <fonts count="40" x14ac:knownFonts="1">
    <font>
      <sz val="10"/>
      <name val="Times New Roman"/>
      <family val="1"/>
    </font>
    <font>
      <b/>
      <sz val="12"/>
      <name val="Arial"/>
      <family val="2"/>
    </font>
    <font>
      <sz val="10"/>
      <name val="Arial"/>
      <family val="2"/>
    </font>
    <font>
      <b/>
      <sz val="14"/>
      <name val="Arial"/>
      <family val="2"/>
    </font>
    <font>
      <sz val="10"/>
      <color indexed="18"/>
      <name val="Arial"/>
      <family val="2"/>
    </font>
    <font>
      <vertAlign val="superscript"/>
      <sz val="10"/>
      <name val="Arial"/>
      <family val="2"/>
    </font>
    <font>
      <sz val="10"/>
      <name val="Tahoma"/>
      <family val="2"/>
    </font>
    <font>
      <sz val="10"/>
      <color indexed="12"/>
      <name val="Arial"/>
      <family val="2"/>
    </font>
    <font>
      <b/>
      <sz val="10"/>
      <name val="Arial"/>
      <family val="2"/>
    </font>
    <font>
      <b/>
      <sz val="10"/>
      <name val="Tahoma"/>
      <family val="2"/>
    </font>
    <font>
      <b/>
      <sz val="16"/>
      <name val="Tahoma"/>
      <family val="2"/>
    </font>
    <font>
      <b/>
      <sz val="12"/>
      <name val="Tahoma"/>
      <family val="2"/>
    </font>
    <font>
      <sz val="11"/>
      <name val="Tahoma"/>
      <family val="2"/>
    </font>
    <font>
      <b/>
      <sz val="11"/>
      <color indexed="10"/>
      <name val="Tahoma"/>
      <family val="2"/>
    </font>
    <font>
      <b/>
      <u/>
      <sz val="10"/>
      <name val="Tahoma"/>
      <family val="2"/>
    </font>
    <font>
      <b/>
      <sz val="11"/>
      <name val="Tahoma"/>
      <family val="2"/>
    </font>
    <font>
      <b/>
      <sz val="10"/>
      <color indexed="12"/>
      <name val="Tahoma"/>
      <family val="2"/>
    </font>
    <font>
      <sz val="10"/>
      <color indexed="12"/>
      <name val="Tahoma"/>
      <family val="2"/>
    </font>
    <font>
      <i/>
      <sz val="10"/>
      <name val="Tahoma"/>
      <family val="2"/>
    </font>
    <font>
      <i/>
      <sz val="9.5"/>
      <name val="Tahoma"/>
      <family val="2"/>
    </font>
    <font>
      <b/>
      <sz val="11"/>
      <color indexed="12"/>
      <name val="Tahoma"/>
      <family val="2"/>
    </font>
    <font>
      <b/>
      <sz val="10"/>
      <color indexed="10"/>
      <name val="Tahoma"/>
      <family val="2"/>
    </font>
    <font>
      <b/>
      <sz val="10"/>
      <color indexed="22"/>
      <name val="Tahoma"/>
      <family val="2"/>
    </font>
    <font>
      <sz val="10"/>
      <color rgb="FF3333FF"/>
      <name val="Tahoma"/>
      <family val="2"/>
    </font>
    <font>
      <sz val="10"/>
      <color indexed="10"/>
      <name val="Tahoma"/>
      <family val="2"/>
    </font>
    <font>
      <sz val="9"/>
      <color indexed="81"/>
      <name val="Tahoma"/>
      <family val="2"/>
    </font>
    <font>
      <b/>
      <sz val="9.5"/>
      <color rgb="FF0000FF"/>
      <name val="Arial"/>
      <family val="2"/>
    </font>
    <font>
      <sz val="10"/>
      <color theme="0" tint="-0.249977111117893"/>
      <name val="Tahoma"/>
      <family val="2"/>
    </font>
    <font>
      <sz val="10"/>
      <color theme="0" tint="-0.249977111117893"/>
      <name val="Arial"/>
      <family val="2"/>
    </font>
    <font>
      <sz val="11"/>
      <name val="Arial"/>
      <family val="2"/>
    </font>
    <font>
      <b/>
      <sz val="12"/>
      <color rgb="FFFF0000"/>
      <name val="Tahoma"/>
      <family val="2"/>
    </font>
    <font>
      <sz val="10"/>
      <color rgb="FFFF0000"/>
      <name val="Tahoma"/>
      <family val="2"/>
    </font>
    <font>
      <sz val="10"/>
      <color theme="0"/>
      <name val="Tahoma"/>
      <family val="2"/>
    </font>
    <font>
      <b/>
      <sz val="10"/>
      <color rgb="FFC00000"/>
      <name val="Tahoma"/>
      <family val="2"/>
    </font>
    <font>
      <b/>
      <sz val="10"/>
      <color rgb="FFFF0000"/>
      <name val="Tahoma"/>
      <family val="2"/>
    </font>
    <font>
      <sz val="10"/>
      <color theme="9" tint="-0.249977111117893"/>
      <name val="Tahoma"/>
      <family val="2"/>
    </font>
    <font>
      <b/>
      <sz val="10"/>
      <color rgb="FFFF0000"/>
      <name val="Arial"/>
      <family val="2"/>
    </font>
    <font>
      <sz val="10"/>
      <color theme="0" tint="-0.499984740745262"/>
      <name val="Arial"/>
      <family val="2"/>
    </font>
    <font>
      <sz val="10"/>
      <color theme="0" tint="-0.499984740745262"/>
      <name val="Tahoma"/>
      <family val="2"/>
    </font>
    <font>
      <b/>
      <sz val="10"/>
      <color theme="0" tint="-0.499984740745262"/>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CCFFCC"/>
        <bgColor indexed="64"/>
      </patternFill>
    </fill>
    <fill>
      <patternFill patternType="solid">
        <fgColor rgb="FFCCECFF"/>
        <bgColor indexed="64"/>
      </patternFill>
    </fill>
    <fill>
      <patternFill patternType="solid">
        <fgColor theme="0" tint="-0.249977111117893"/>
        <bgColor indexed="64"/>
      </patternFill>
    </fill>
  </fills>
  <borders count="43">
    <border>
      <left/>
      <right/>
      <top/>
      <bottom/>
      <diagonal/>
    </border>
    <border>
      <left/>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double">
        <color indexed="64"/>
      </bottom>
      <diagonal/>
    </border>
  </borders>
  <cellStyleXfs count="3">
    <xf numFmtId="0" fontId="0" fillId="0" borderId="0"/>
    <xf numFmtId="0" fontId="2" fillId="0" borderId="0">
      <alignment vertical="center"/>
    </xf>
    <xf numFmtId="0" fontId="2" fillId="0" borderId="0"/>
  </cellStyleXfs>
  <cellXfs count="351">
    <xf numFmtId="0" fontId="0" fillId="0" borderId="0" xfId="0"/>
    <xf numFmtId="0" fontId="2" fillId="0" borderId="0" xfId="0" applyFont="1"/>
    <xf numFmtId="0" fontId="2" fillId="0" borderId="3" xfId="0" applyFont="1" applyBorder="1" applyAlignment="1">
      <alignment horizontal="center" vertical="center"/>
    </xf>
    <xf numFmtId="0" fontId="2" fillId="0" borderId="5" xfId="0" applyFont="1" applyBorder="1" applyAlignment="1">
      <alignment horizontal="center" vertical="center"/>
    </xf>
    <xf numFmtId="164" fontId="2" fillId="0" borderId="6" xfId="0" applyNumberFormat="1" applyFont="1" applyBorder="1" applyAlignment="1">
      <alignment horizontal="center" vertical="center"/>
    </xf>
    <xf numFmtId="164" fontId="2" fillId="0" borderId="4" xfId="0" applyNumberFormat="1" applyFont="1" applyBorder="1" applyAlignment="1">
      <alignment horizontal="center" vertical="center"/>
    </xf>
    <xf numFmtId="164" fontId="2" fillId="0" borderId="7" xfId="0" applyNumberFormat="1" applyFont="1" applyBorder="1" applyAlignment="1">
      <alignment horizontal="center" vertical="center"/>
    </xf>
    <xf numFmtId="164" fontId="2" fillId="0" borderId="4" xfId="0" applyNumberFormat="1" applyFont="1" applyBorder="1" applyAlignment="1">
      <alignment horizontal="right" vertical="center"/>
    </xf>
    <xf numFmtId="0" fontId="2" fillId="0" borderId="4" xfId="0" applyFont="1" applyBorder="1" applyAlignment="1">
      <alignment horizontal="right" vertical="center"/>
    </xf>
    <xf numFmtId="0" fontId="2" fillId="0" borderId="4" xfId="0" applyFont="1" applyBorder="1" applyAlignment="1">
      <alignment vertical="center"/>
    </xf>
    <xf numFmtId="164" fontId="2" fillId="0" borderId="3" xfId="0" applyNumberFormat="1" applyFont="1" applyBorder="1" applyAlignment="1">
      <alignment horizontal="center" vertical="center"/>
    </xf>
    <xf numFmtId="0" fontId="2" fillId="0" borderId="5" xfId="0" applyFont="1" applyBorder="1" applyAlignment="1">
      <alignment vertical="center"/>
    </xf>
    <xf numFmtId="165" fontId="2" fillId="0" borderId="3" xfId="0" applyNumberFormat="1" applyFont="1" applyBorder="1" applyAlignment="1">
      <alignment horizontal="center" vertical="center"/>
    </xf>
    <xf numFmtId="2" fontId="2" fillId="0" borderId="5" xfId="0" applyNumberFormat="1" applyFont="1" applyBorder="1" applyAlignment="1">
      <alignment horizontal="center" vertical="center"/>
    </xf>
    <xf numFmtId="0" fontId="2" fillId="0" borderId="0" xfId="0" applyFont="1" applyAlignment="1">
      <alignment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66" fontId="2" fillId="0" borderId="7" xfId="0" applyNumberFormat="1" applyFont="1" applyBorder="1" applyAlignment="1">
      <alignment horizontal="center" vertical="center"/>
    </xf>
    <xf numFmtId="166" fontId="2" fillId="0" borderId="11" xfId="0" applyNumberFormat="1" applyFont="1" applyBorder="1" applyAlignment="1">
      <alignment horizontal="center" vertical="center"/>
    </xf>
    <xf numFmtId="166" fontId="2" fillId="0" borderId="4" xfId="0" applyNumberFormat="1" applyFont="1" applyBorder="1" applyAlignment="1">
      <alignment horizontal="center" vertical="center"/>
    </xf>
    <xf numFmtId="166" fontId="2" fillId="0" borderId="3" xfId="0" applyNumberFormat="1" applyFont="1" applyBorder="1" applyAlignment="1">
      <alignment horizontal="center" vertical="center"/>
    </xf>
    <xf numFmtId="166" fontId="2" fillId="0" borderId="12" xfId="0" applyNumberFormat="1" applyFont="1" applyBorder="1" applyAlignment="1">
      <alignment horizontal="center" vertical="center"/>
    </xf>
    <xf numFmtId="166" fontId="2" fillId="0" borderId="5" xfId="0" applyNumberFormat="1" applyFont="1" applyBorder="1" applyAlignment="1">
      <alignment horizontal="center" vertical="center"/>
    </xf>
    <xf numFmtId="0" fontId="2" fillId="0" borderId="0" xfId="2" applyFill="1" applyAlignment="1" applyProtection="1">
      <alignment vertical="center"/>
    </xf>
    <xf numFmtId="0" fontId="6" fillId="0" borderId="0" xfId="2" applyFont="1" applyFill="1" applyAlignment="1" applyProtection="1">
      <alignment vertical="center"/>
    </xf>
    <xf numFmtId="0" fontId="11" fillId="0" borderId="0" xfId="2" applyFont="1" applyFill="1" applyAlignment="1" applyProtection="1">
      <alignment vertical="center"/>
    </xf>
    <xf numFmtId="0" fontId="12" fillId="0" borderId="0" xfId="2" applyFont="1" applyFill="1" applyAlignment="1" applyProtection="1">
      <alignment vertical="center"/>
    </xf>
    <xf numFmtId="0" fontId="6" fillId="0" borderId="0" xfId="2" applyFont="1" applyFill="1" applyBorder="1" applyAlignment="1" applyProtection="1">
      <alignment horizontal="center" vertical="center"/>
    </xf>
    <xf numFmtId="169" fontId="13" fillId="0" borderId="0" xfId="2" applyNumberFormat="1" applyFont="1" applyFill="1" applyAlignment="1" applyProtection="1">
      <alignment horizontal="left" vertical="center"/>
    </xf>
    <xf numFmtId="0" fontId="15" fillId="2" borderId="26" xfId="2" applyFont="1" applyFill="1" applyBorder="1" applyAlignment="1" applyProtection="1">
      <alignment vertical="center"/>
    </xf>
    <xf numFmtId="0" fontId="15" fillId="2" borderId="27" xfId="2" applyFont="1" applyFill="1" applyBorder="1" applyAlignment="1" applyProtection="1">
      <alignment vertical="center"/>
    </xf>
    <xf numFmtId="0" fontId="6" fillId="2" borderId="27" xfId="2" applyFont="1" applyFill="1" applyBorder="1" applyAlignment="1" applyProtection="1">
      <alignment vertical="center"/>
    </xf>
    <xf numFmtId="0" fontId="12" fillId="2" borderId="27" xfId="2" applyFont="1" applyFill="1" applyBorder="1" applyAlignment="1" applyProtection="1">
      <alignment vertical="center"/>
    </xf>
    <xf numFmtId="0" fontId="12" fillId="2" borderId="28" xfId="2" applyFont="1" applyFill="1" applyBorder="1" applyAlignment="1" applyProtection="1">
      <alignment vertical="center"/>
    </xf>
    <xf numFmtId="0" fontId="6" fillId="0" borderId="22" xfId="2" applyFont="1" applyFill="1" applyBorder="1" applyAlignment="1" applyProtection="1">
      <alignment vertical="center"/>
    </xf>
    <xf numFmtId="0" fontId="6" fillId="0" borderId="0" xfId="2" applyFont="1" applyFill="1" applyBorder="1" applyAlignment="1" applyProtection="1">
      <alignment vertical="center"/>
    </xf>
    <xf numFmtId="0" fontId="6" fillId="0" borderId="23" xfId="2" applyFont="1" applyFill="1" applyBorder="1" applyAlignment="1" applyProtection="1">
      <alignment vertical="center"/>
    </xf>
    <xf numFmtId="0" fontId="6" fillId="0" borderId="22" xfId="2" applyFont="1" applyFill="1" applyBorder="1" applyAlignment="1" applyProtection="1">
      <alignment horizontal="left" vertical="center"/>
    </xf>
    <xf numFmtId="0" fontId="17" fillId="3" borderId="29" xfId="2" applyFont="1" applyFill="1" applyBorder="1" applyAlignment="1" applyProtection="1">
      <alignment horizontal="left" vertical="center"/>
      <protection locked="0"/>
    </xf>
    <xf numFmtId="0" fontId="6" fillId="3" borderId="30" xfId="2" applyFont="1" applyFill="1" applyBorder="1" applyAlignment="1" applyProtection="1">
      <alignment vertical="center"/>
    </xf>
    <xf numFmtId="0" fontId="6" fillId="3" borderId="31" xfId="2" applyFont="1" applyFill="1" applyBorder="1" applyAlignment="1" applyProtection="1">
      <alignment vertical="center"/>
    </xf>
    <xf numFmtId="0" fontId="6" fillId="0" borderId="0" xfId="2" applyFont="1" applyFill="1" applyBorder="1" applyAlignment="1" applyProtection="1">
      <alignment horizontal="right" vertical="center"/>
    </xf>
    <xf numFmtId="0" fontId="6" fillId="0" borderId="24" xfId="2" applyFont="1" applyFill="1" applyBorder="1" applyAlignment="1" applyProtection="1">
      <alignment vertical="center"/>
    </xf>
    <xf numFmtId="0" fontId="6" fillId="0" borderId="1" xfId="2" applyFont="1" applyFill="1" applyBorder="1" applyAlignment="1" applyProtection="1">
      <alignment vertical="center"/>
    </xf>
    <xf numFmtId="0" fontId="6" fillId="0" borderId="25" xfId="2" applyFont="1" applyFill="1" applyBorder="1" applyAlignment="1" applyProtection="1">
      <alignment vertical="center"/>
    </xf>
    <xf numFmtId="0" fontId="9" fillId="0" borderId="0" xfId="2" applyFont="1" applyFill="1" applyBorder="1" applyAlignment="1" applyProtection="1">
      <alignment horizontal="left" vertical="center"/>
    </xf>
    <xf numFmtId="0" fontId="9" fillId="0" borderId="22" xfId="2" applyFont="1" applyFill="1" applyBorder="1" applyAlignment="1" applyProtection="1">
      <alignment vertical="center"/>
    </xf>
    <xf numFmtId="0" fontId="6" fillId="0" borderId="20" xfId="2" applyFont="1" applyFill="1" applyBorder="1" applyAlignment="1" applyProtection="1">
      <alignment vertical="center"/>
    </xf>
    <xf numFmtId="0" fontId="6" fillId="0" borderId="33" xfId="2" applyFont="1" applyFill="1" applyBorder="1" applyAlignment="1" applyProtection="1">
      <alignment vertical="center"/>
    </xf>
    <xf numFmtId="10" fontId="6" fillId="4" borderId="20" xfId="2" applyNumberFormat="1" applyFont="1" applyFill="1" applyBorder="1" applyAlignment="1" applyProtection="1">
      <alignment vertical="center"/>
    </xf>
    <xf numFmtId="0" fontId="17" fillId="3" borderId="34" xfId="2" applyFont="1" applyFill="1" applyBorder="1" applyAlignment="1" applyProtection="1">
      <alignment vertical="center"/>
      <protection locked="0"/>
    </xf>
    <xf numFmtId="0" fontId="6" fillId="0" borderId="34" xfId="2" applyFont="1" applyFill="1" applyBorder="1" applyAlignment="1" applyProtection="1">
      <alignment vertical="center"/>
    </xf>
    <xf numFmtId="0" fontId="6" fillId="0" borderId="35" xfId="2" applyFont="1" applyFill="1" applyBorder="1" applyAlignment="1" applyProtection="1">
      <alignment vertical="center"/>
    </xf>
    <xf numFmtId="167" fontId="17" fillId="3" borderId="20" xfId="2" applyNumberFormat="1" applyFont="1" applyFill="1" applyBorder="1" applyAlignment="1" applyProtection="1">
      <alignment vertical="center"/>
      <protection locked="0"/>
    </xf>
    <xf numFmtId="0" fontId="19" fillId="0" borderId="0" xfId="2" applyFont="1" applyFill="1" applyBorder="1" applyAlignment="1" applyProtection="1">
      <alignment vertical="center"/>
    </xf>
    <xf numFmtId="1" fontId="6" fillId="0" borderId="34" xfId="2" applyNumberFormat="1" applyFont="1" applyFill="1" applyBorder="1" applyAlignment="1" applyProtection="1">
      <alignment vertical="center"/>
    </xf>
    <xf numFmtId="1" fontId="17" fillId="3" borderId="32" xfId="2" applyNumberFormat="1" applyFont="1" applyFill="1" applyBorder="1" applyAlignment="1" applyProtection="1">
      <alignment vertical="center"/>
      <protection locked="0"/>
    </xf>
    <xf numFmtId="0" fontId="21" fillId="0" borderId="0" xfId="2" applyFont="1" applyFill="1" applyBorder="1" applyAlignment="1" applyProtection="1">
      <alignment vertical="center"/>
    </xf>
    <xf numFmtId="0" fontId="22" fillId="0" borderId="22" xfId="2" applyFont="1" applyFill="1" applyBorder="1" applyAlignment="1" applyProtection="1">
      <alignment horizontal="left" vertical="center" indent="1"/>
    </xf>
    <xf numFmtId="164" fontId="17" fillId="3" borderId="32" xfId="2" applyNumberFormat="1" applyFont="1" applyFill="1" applyBorder="1" applyAlignment="1" applyProtection="1">
      <alignment vertical="center"/>
      <protection locked="0"/>
    </xf>
    <xf numFmtId="0" fontId="6" fillId="0" borderId="22" xfId="2" applyFont="1" applyFill="1" applyBorder="1" applyAlignment="1" applyProtection="1">
      <alignment horizontal="left" vertical="center" indent="1"/>
    </xf>
    <xf numFmtId="0" fontId="9" fillId="0" borderId="0" xfId="2" applyFont="1" applyFill="1" applyBorder="1" applyAlignment="1" applyProtection="1">
      <alignment vertical="center"/>
    </xf>
    <xf numFmtId="0" fontId="17" fillId="3" borderId="32" xfId="2" applyFont="1" applyFill="1" applyBorder="1" applyAlignment="1" applyProtection="1">
      <alignment vertical="center"/>
      <protection locked="0"/>
    </xf>
    <xf numFmtId="2" fontId="17" fillId="3" borderId="32" xfId="2" applyNumberFormat="1" applyFont="1" applyFill="1" applyBorder="1" applyAlignment="1" applyProtection="1">
      <alignment vertical="center"/>
      <protection locked="0"/>
    </xf>
    <xf numFmtId="0" fontId="6" fillId="0" borderId="0" xfId="2" applyFont="1" applyFill="1" applyBorder="1" applyAlignment="1" applyProtection="1">
      <alignment horizontal="left" vertical="center" indent="1"/>
    </xf>
    <xf numFmtId="164" fontId="17" fillId="3" borderId="32" xfId="2" applyNumberFormat="1" applyFont="1" applyFill="1" applyBorder="1" applyAlignment="1" applyProtection="1">
      <alignment horizontal="right" vertical="center"/>
      <protection locked="0"/>
    </xf>
    <xf numFmtId="0" fontId="2" fillId="0" borderId="0" xfId="2" applyFill="1" applyBorder="1" applyAlignment="1" applyProtection="1">
      <alignment vertical="center"/>
    </xf>
    <xf numFmtId="0" fontId="9" fillId="0" borderId="1" xfId="2" applyFont="1" applyFill="1" applyBorder="1" applyAlignment="1" applyProtection="1">
      <alignment vertical="center"/>
    </xf>
    <xf numFmtId="1" fontId="2" fillId="0" borderId="0" xfId="2" applyNumberFormat="1" applyFill="1" applyAlignment="1" applyProtection="1">
      <alignment vertical="center"/>
    </xf>
    <xf numFmtId="165" fontId="17" fillId="3" borderId="32" xfId="2" applyNumberFormat="1" applyFont="1" applyFill="1" applyBorder="1" applyAlignment="1" applyProtection="1">
      <alignment vertical="center"/>
      <protection locked="0"/>
    </xf>
    <xf numFmtId="2" fontId="2" fillId="0" borderId="0" xfId="2" applyNumberFormat="1" applyFill="1" applyAlignment="1" applyProtection="1">
      <alignment vertical="center"/>
    </xf>
    <xf numFmtId="2" fontId="6" fillId="0" borderId="0" xfId="2" applyNumberFormat="1" applyFont="1" applyFill="1" applyAlignment="1" applyProtection="1">
      <alignment vertical="center"/>
    </xf>
    <xf numFmtId="164" fontId="2" fillId="0" borderId="0" xfId="2" applyNumberFormat="1" applyFill="1" applyAlignment="1" applyProtection="1">
      <alignment vertical="center"/>
    </xf>
    <xf numFmtId="164" fontId="6" fillId="0" borderId="0" xfId="2" applyNumberFormat="1" applyFont="1" applyFill="1" applyAlignment="1" applyProtection="1">
      <alignment vertical="center"/>
    </xf>
    <xf numFmtId="2" fontId="6" fillId="0" borderId="0" xfId="2" applyNumberFormat="1" applyFont="1" applyFill="1" applyAlignment="1" applyProtection="1">
      <alignment horizontal="center" vertical="center"/>
      <protection locked="0"/>
    </xf>
    <xf numFmtId="0" fontId="6" fillId="0" borderId="29" xfId="2" applyFont="1" applyFill="1" applyBorder="1" applyAlignment="1" applyProtection="1">
      <alignment horizontal="left" vertical="center"/>
    </xf>
    <xf numFmtId="0" fontId="6" fillId="0" borderId="30" xfId="2" applyFont="1" applyFill="1" applyBorder="1" applyAlignment="1" applyProtection="1">
      <alignment vertical="center"/>
    </xf>
    <xf numFmtId="0" fontId="6" fillId="0" borderId="31" xfId="2" applyFont="1" applyFill="1" applyBorder="1" applyAlignment="1" applyProtection="1">
      <alignment vertical="center"/>
    </xf>
    <xf numFmtId="0" fontId="6" fillId="0" borderId="40" xfId="2" applyFont="1" applyFill="1" applyBorder="1" applyAlignment="1" applyProtection="1">
      <alignment vertical="center"/>
    </xf>
    <xf numFmtId="0" fontId="6" fillId="0" borderId="37" xfId="2" applyFont="1" applyFill="1" applyBorder="1" applyAlignment="1" applyProtection="1">
      <alignment vertical="center"/>
    </xf>
    <xf numFmtId="0" fontId="6" fillId="0" borderId="29" xfId="2" applyFont="1" applyFill="1" applyBorder="1" applyAlignment="1" applyProtection="1">
      <alignment vertical="center"/>
    </xf>
    <xf numFmtId="0" fontId="6" fillId="0" borderId="36" xfId="2" applyFont="1" applyFill="1" applyBorder="1" applyAlignment="1" applyProtection="1">
      <alignment vertical="center"/>
    </xf>
    <xf numFmtId="164" fontId="6" fillId="4" borderId="32" xfId="2" applyNumberFormat="1" applyFont="1" applyFill="1" applyBorder="1" applyAlignment="1" applyProtection="1">
      <alignment vertical="center"/>
    </xf>
    <xf numFmtId="2" fontId="15" fillId="0" borderId="0" xfId="2" applyNumberFormat="1" applyFont="1" applyFill="1" applyBorder="1" applyAlignment="1" applyProtection="1">
      <alignment vertical="center"/>
    </xf>
    <xf numFmtId="1" fontId="12" fillId="0" borderId="0" xfId="2" applyNumberFormat="1" applyFont="1" applyFill="1" applyAlignment="1" applyProtection="1">
      <alignment vertical="center"/>
    </xf>
    <xf numFmtId="2" fontId="12" fillId="0" borderId="36" xfId="2" applyNumberFormat="1" applyFont="1" applyFill="1" applyBorder="1" applyAlignment="1" applyProtection="1">
      <alignment vertical="center"/>
    </xf>
    <xf numFmtId="0" fontId="12" fillId="0" borderId="40" xfId="2" applyFont="1" applyFill="1" applyBorder="1" applyAlignment="1" applyProtection="1">
      <alignment vertical="center"/>
    </xf>
    <xf numFmtId="1" fontId="12" fillId="0" borderId="40" xfId="2" applyNumberFormat="1" applyFont="1" applyFill="1" applyBorder="1" applyAlignment="1" applyProtection="1">
      <alignment vertical="center"/>
    </xf>
    <xf numFmtId="2" fontId="12" fillId="0" borderId="38" xfId="2" applyNumberFormat="1" applyFont="1" applyFill="1" applyBorder="1" applyAlignment="1" applyProtection="1">
      <alignment vertical="center"/>
    </xf>
    <xf numFmtId="0" fontId="12" fillId="0" borderId="0" xfId="2" applyFont="1" applyFill="1" applyBorder="1" applyAlignment="1" applyProtection="1">
      <alignment vertical="center"/>
    </xf>
    <xf numFmtId="1" fontId="12" fillId="0" borderId="0" xfId="2" applyNumberFormat="1" applyFont="1" applyFill="1" applyBorder="1" applyAlignment="1" applyProtection="1">
      <alignment vertical="center"/>
    </xf>
    <xf numFmtId="11" fontId="12" fillId="0" borderId="0" xfId="2" applyNumberFormat="1" applyFont="1" applyFill="1" applyBorder="1" applyAlignment="1" applyProtection="1">
      <alignment vertical="center"/>
    </xf>
    <xf numFmtId="11" fontId="29" fillId="0" borderId="0" xfId="2" applyNumberFormat="1" applyFont="1" applyFill="1" applyBorder="1" applyAlignment="1" applyProtection="1">
      <alignment vertical="center"/>
    </xf>
    <xf numFmtId="168" fontId="12" fillId="0" borderId="0" xfId="2" applyNumberFormat="1" applyFont="1" applyFill="1" applyBorder="1" applyAlignment="1" applyProtection="1">
      <alignment vertical="center"/>
    </xf>
    <xf numFmtId="2" fontId="12" fillId="0" borderId="35" xfId="2" applyNumberFormat="1" applyFont="1" applyFill="1" applyBorder="1" applyAlignment="1" applyProtection="1">
      <alignment vertical="center"/>
    </xf>
    <xf numFmtId="168" fontId="12" fillId="0" borderId="20" xfId="2" applyNumberFormat="1" applyFont="1" applyFill="1" applyBorder="1" applyAlignment="1" applyProtection="1">
      <alignment vertical="center"/>
    </xf>
    <xf numFmtId="0" fontId="2" fillId="0" borderId="0" xfId="0" applyFont="1" applyFill="1"/>
    <xf numFmtId="2" fontId="12" fillId="0" borderId="29" xfId="2" applyNumberFormat="1" applyFont="1" applyFill="1" applyBorder="1" applyAlignment="1" applyProtection="1">
      <alignment vertical="center"/>
    </xf>
    <xf numFmtId="2" fontId="12" fillId="0" borderId="30" xfId="2" applyNumberFormat="1" applyFont="1" applyFill="1" applyBorder="1" applyAlignment="1" applyProtection="1">
      <alignment vertical="center"/>
    </xf>
    <xf numFmtId="0" fontId="18" fillId="0" borderId="0" xfId="2" applyFont="1" applyFill="1" applyBorder="1" applyAlignment="1" applyProtection="1">
      <alignment vertical="center"/>
    </xf>
    <xf numFmtId="0" fontId="27" fillId="0" borderId="0" xfId="2" applyFont="1" applyFill="1" applyAlignment="1" applyProtection="1">
      <alignment vertical="center"/>
    </xf>
    <xf numFmtId="1" fontId="6" fillId="0" borderId="0" xfId="2" applyNumberFormat="1" applyFont="1" applyFill="1" applyAlignment="1" applyProtection="1">
      <alignment vertical="center"/>
    </xf>
    <xf numFmtId="2" fontId="2" fillId="0" borderId="36" xfId="1" applyNumberFormat="1" applyFont="1" applyFill="1" applyBorder="1" applyAlignment="1">
      <alignment vertical="center"/>
    </xf>
    <xf numFmtId="0" fontId="2" fillId="0" borderId="36" xfId="1" applyFont="1" applyFill="1" applyBorder="1" applyAlignment="1">
      <alignment vertical="center"/>
    </xf>
    <xf numFmtId="2" fontId="2" fillId="0" borderId="38" xfId="1" applyNumberFormat="1" applyFont="1" applyFill="1" applyBorder="1" applyAlignment="1">
      <alignment vertical="center"/>
    </xf>
    <xf numFmtId="2" fontId="2" fillId="0" borderId="35" xfId="1" applyNumberFormat="1" applyFont="1" applyFill="1" applyBorder="1" applyAlignment="1">
      <alignment vertical="center"/>
    </xf>
    <xf numFmtId="0" fontId="2" fillId="0" borderId="41" xfId="1" applyFont="1" applyFill="1" applyBorder="1" applyAlignment="1">
      <alignment vertical="center"/>
    </xf>
    <xf numFmtId="0" fontId="2" fillId="0" borderId="37" xfId="1" applyFont="1" applyFill="1" applyBorder="1" applyAlignment="1">
      <alignment vertical="center"/>
    </xf>
    <xf numFmtId="1" fontId="2" fillId="0" borderId="11" xfId="1" applyNumberFormat="1" applyFont="1" applyFill="1" applyBorder="1" applyAlignment="1">
      <alignment vertical="center"/>
    </xf>
    <xf numFmtId="175" fontId="2" fillId="0" borderId="33" xfId="1" applyNumberFormat="1" applyFont="1" applyFill="1" applyBorder="1" applyAlignment="1">
      <alignment vertical="center"/>
    </xf>
    <xf numFmtId="175" fontId="8" fillId="0" borderId="33" xfId="1" applyNumberFormat="1" applyFont="1" applyFill="1" applyBorder="1" applyAlignment="1">
      <alignment vertical="center"/>
    </xf>
    <xf numFmtId="2" fontId="6" fillId="0" borderId="35" xfId="2" applyNumberFormat="1" applyFont="1" applyFill="1" applyBorder="1" applyAlignment="1" applyProtection="1">
      <alignment vertical="center"/>
    </xf>
    <xf numFmtId="1" fontId="8" fillId="0" borderId="0" xfId="1" applyNumberFormat="1" applyFont="1" applyFill="1" applyAlignment="1">
      <alignment horizontal="left" vertical="center"/>
    </xf>
    <xf numFmtId="2" fontId="4" fillId="0" borderId="0" xfId="1" applyNumberFormat="1" applyFont="1" applyFill="1" applyAlignment="1">
      <alignment horizontal="center" vertical="center"/>
    </xf>
    <xf numFmtId="0" fontId="4" fillId="0" borderId="0" xfId="1" applyFont="1" applyFill="1" applyAlignment="1">
      <alignment horizontal="center" vertical="center"/>
    </xf>
    <xf numFmtId="2" fontId="6" fillId="0" borderId="29" xfId="2" applyNumberFormat="1" applyFont="1" applyFill="1" applyBorder="1" applyAlignment="1" applyProtection="1">
      <alignment vertical="center"/>
    </xf>
    <xf numFmtId="1" fontId="4" fillId="0" borderId="0" xfId="1" applyNumberFormat="1" applyFont="1" applyFill="1" applyAlignment="1">
      <alignment horizontal="center" vertical="center"/>
    </xf>
    <xf numFmtId="0" fontId="4" fillId="0" borderId="36" xfId="1" applyFont="1" applyFill="1" applyBorder="1" applyAlignment="1">
      <alignment horizontal="center" vertical="center"/>
    </xf>
    <xf numFmtId="0" fontId="4" fillId="0" borderId="37" xfId="1" applyFont="1" applyFill="1" applyBorder="1" applyAlignment="1">
      <alignment horizontal="center" vertical="center"/>
    </xf>
    <xf numFmtId="0" fontId="2" fillId="0" borderId="11" xfId="1" applyFont="1" applyFill="1" applyBorder="1" applyAlignment="1">
      <alignment vertical="center"/>
    </xf>
    <xf numFmtId="165" fontId="2" fillId="0" borderId="38" xfId="1" applyNumberFormat="1" applyFont="1" applyFill="1" applyBorder="1" applyAlignment="1">
      <alignment vertical="center"/>
    </xf>
    <xf numFmtId="165" fontId="2" fillId="0" borderId="39" xfId="1" applyNumberFormat="1" applyFont="1" applyFill="1" applyBorder="1" applyAlignment="1">
      <alignment vertical="center"/>
    </xf>
    <xf numFmtId="1" fontId="2" fillId="0" borderId="36" xfId="1" applyNumberFormat="1" applyFont="1" applyFill="1" applyBorder="1" applyAlignment="1">
      <alignment horizontal="left" vertical="center"/>
    </xf>
    <xf numFmtId="2" fontId="2" fillId="0" borderId="40" xfId="1" applyNumberFormat="1" applyFont="1" applyFill="1" applyBorder="1" applyAlignment="1">
      <alignment horizontal="left" vertical="center"/>
    </xf>
    <xf numFmtId="0" fontId="2" fillId="0" borderId="40" xfId="1" applyFont="1" applyFill="1" applyBorder="1" applyAlignment="1">
      <alignment horizontal="left" vertical="center"/>
    </xf>
    <xf numFmtId="2" fontId="2" fillId="0" borderId="36" xfId="1" applyNumberFormat="1" applyFont="1" applyFill="1" applyBorder="1" applyAlignment="1">
      <alignment horizontal="left" vertical="center"/>
    </xf>
    <xf numFmtId="2" fontId="2" fillId="0" borderId="37" xfId="1" applyNumberFormat="1" applyFont="1" applyFill="1" applyBorder="1" applyAlignment="1">
      <alignment horizontal="left" vertical="center"/>
    </xf>
    <xf numFmtId="1" fontId="2" fillId="0" borderId="38" xfId="1" applyNumberFormat="1" applyFont="1" applyFill="1" applyBorder="1" applyAlignment="1">
      <alignment horizontal="left" vertical="center"/>
    </xf>
    <xf numFmtId="2" fontId="2" fillId="0" borderId="0" xfId="1" applyNumberFormat="1" applyFont="1" applyFill="1" applyBorder="1" applyAlignment="1">
      <alignment horizontal="left" vertical="center"/>
    </xf>
    <xf numFmtId="0" fontId="2" fillId="0" borderId="0" xfId="1" applyFont="1" applyFill="1" applyBorder="1" applyAlignment="1">
      <alignment horizontal="left" vertical="center"/>
    </xf>
    <xf numFmtId="2" fontId="2" fillId="0" borderId="38" xfId="1" applyNumberFormat="1" applyFont="1" applyFill="1" applyBorder="1" applyAlignment="1">
      <alignment horizontal="left" vertical="center"/>
    </xf>
    <xf numFmtId="2" fontId="2" fillId="0" borderId="39" xfId="1" applyNumberFormat="1" applyFont="1" applyFill="1" applyBorder="1" applyAlignment="1">
      <alignment horizontal="left" vertical="center"/>
    </xf>
    <xf numFmtId="2" fontId="7" fillId="0" borderId="0" xfId="1" applyNumberFormat="1" applyFont="1" applyFill="1" applyBorder="1" applyAlignment="1">
      <alignment horizontal="left" vertical="center"/>
    </xf>
    <xf numFmtId="1" fontId="2" fillId="0" borderId="35" xfId="1" applyNumberFormat="1" applyFont="1" applyFill="1" applyBorder="1" applyAlignment="1">
      <alignment horizontal="left" vertical="center"/>
    </xf>
    <xf numFmtId="2" fontId="2" fillId="0" borderId="20" xfId="1" applyNumberFormat="1" applyFont="1" applyFill="1" applyBorder="1" applyAlignment="1">
      <alignment horizontal="left" vertical="center"/>
    </xf>
    <xf numFmtId="2" fontId="7" fillId="0" borderId="20" xfId="1" applyNumberFormat="1" applyFont="1" applyFill="1" applyBorder="1" applyAlignment="1">
      <alignment horizontal="left" vertical="center"/>
    </xf>
    <xf numFmtId="0" fontId="2" fillId="0" borderId="20" xfId="1" applyFont="1" applyFill="1" applyBorder="1" applyAlignment="1">
      <alignment horizontal="left" vertical="center"/>
    </xf>
    <xf numFmtId="2" fontId="2" fillId="0" borderId="35" xfId="1" applyNumberFormat="1" applyFont="1" applyFill="1" applyBorder="1" applyAlignment="1">
      <alignment horizontal="left" vertical="center"/>
    </xf>
    <xf numFmtId="2" fontId="2" fillId="0" borderId="33" xfId="1" applyNumberFormat="1" applyFont="1" applyFill="1" applyBorder="1" applyAlignment="1">
      <alignment horizontal="left" vertical="center"/>
    </xf>
    <xf numFmtId="0" fontId="2" fillId="0" borderId="34" xfId="1" applyFont="1" applyFill="1" applyBorder="1" applyAlignment="1">
      <alignment vertical="center"/>
    </xf>
    <xf numFmtId="165" fontId="2" fillId="0" borderId="35" xfId="1" applyNumberFormat="1" applyFont="1" applyFill="1" applyBorder="1" applyAlignment="1">
      <alignment vertical="center"/>
    </xf>
    <xf numFmtId="165" fontId="2" fillId="0" borderId="33" xfId="1" applyNumberFormat="1" applyFont="1" applyFill="1" applyBorder="1" applyAlignment="1">
      <alignment vertical="center"/>
    </xf>
    <xf numFmtId="0" fontId="2" fillId="0" borderId="36" xfId="2" applyFill="1" applyBorder="1" applyAlignment="1" applyProtection="1">
      <alignment vertical="center"/>
    </xf>
    <xf numFmtId="0" fontId="2" fillId="0" borderId="40" xfId="2" applyFill="1" applyBorder="1" applyAlignment="1" applyProtection="1">
      <alignment vertical="center"/>
    </xf>
    <xf numFmtId="0" fontId="2" fillId="0" borderId="37" xfId="2" applyFill="1" applyBorder="1" applyAlignment="1" applyProtection="1">
      <alignment vertical="center"/>
    </xf>
    <xf numFmtId="10" fontId="2" fillId="0" borderId="40" xfId="2" applyNumberFormat="1" applyFill="1" applyBorder="1" applyAlignment="1" applyProtection="1">
      <alignment vertical="center"/>
    </xf>
    <xf numFmtId="0" fontId="2" fillId="0" borderId="35" xfId="2" applyFill="1" applyBorder="1" applyAlignment="1" applyProtection="1">
      <alignment vertical="center"/>
    </xf>
    <xf numFmtId="10" fontId="2" fillId="0" borderId="20" xfId="2" applyNumberFormat="1" applyFill="1" applyBorder="1" applyAlignment="1" applyProtection="1">
      <alignment vertical="center"/>
    </xf>
    <xf numFmtId="174" fontId="2" fillId="0" borderId="33" xfId="2" applyNumberFormat="1" applyFill="1" applyBorder="1" applyAlignment="1" applyProtection="1">
      <alignment vertical="center"/>
    </xf>
    <xf numFmtId="2" fontId="9" fillId="0" borderId="1" xfId="2" applyNumberFormat="1" applyFont="1" applyFill="1" applyBorder="1" applyAlignment="1" applyProtection="1">
      <alignment vertical="center"/>
    </xf>
    <xf numFmtId="0" fontId="6" fillId="0" borderId="0" xfId="2" applyFont="1" applyFill="1" applyAlignment="1" applyProtection="1">
      <alignment horizontal="center" vertical="center"/>
      <protection locked="0"/>
    </xf>
    <xf numFmtId="164" fontId="6" fillId="0" borderId="0" xfId="2" applyNumberFormat="1" applyFont="1" applyFill="1" applyAlignment="1" applyProtection="1">
      <alignment horizontal="center" vertical="center"/>
      <protection locked="0"/>
    </xf>
    <xf numFmtId="1" fontId="6" fillId="0" borderId="0" xfId="2" applyNumberFormat="1" applyFont="1" applyFill="1" applyAlignment="1" applyProtection="1">
      <alignment horizontal="center" vertical="center"/>
      <protection locked="0"/>
    </xf>
    <xf numFmtId="0" fontId="2" fillId="0" borderId="0" xfId="2" applyFill="1" applyAlignment="1" applyProtection="1">
      <alignment horizontal="center" vertical="center"/>
    </xf>
    <xf numFmtId="164" fontId="2" fillId="0" borderId="0" xfId="2" applyNumberFormat="1" applyFill="1" applyAlignment="1" applyProtection="1">
      <alignment horizontal="center" vertical="center"/>
    </xf>
    <xf numFmtId="2" fontId="2" fillId="0" borderId="0" xfId="2" applyNumberFormat="1" applyFill="1" applyAlignment="1" applyProtection="1">
      <alignment horizontal="center" vertical="center"/>
    </xf>
    <xf numFmtId="0" fontId="2" fillId="0" borderId="32" xfId="0" applyFont="1" applyBorder="1"/>
    <xf numFmtId="2" fontId="6" fillId="0" borderId="1" xfId="2" applyNumberFormat="1" applyFont="1" applyFill="1" applyBorder="1" applyAlignment="1" applyProtection="1">
      <alignment vertical="center"/>
    </xf>
    <xf numFmtId="2" fontId="28" fillId="0" borderId="0" xfId="2" applyNumberFormat="1" applyFont="1" applyFill="1" applyBorder="1" applyAlignment="1" applyProtection="1">
      <alignment vertical="center"/>
    </xf>
    <xf numFmtId="2" fontId="2" fillId="0" borderId="0" xfId="2" applyNumberFormat="1" applyFill="1" applyBorder="1" applyAlignment="1" applyProtection="1">
      <alignment vertical="center"/>
    </xf>
    <xf numFmtId="1" fontId="2" fillId="0" borderId="0" xfId="2" applyNumberFormat="1" applyFill="1" applyBorder="1" applyAlignment="1" applyProtection="1">
      <alignment vertical="center"/>
    </xf>
    <xf numFmtId="2" fontId="9" fillId="0" borderId="0" xfId="2" applyNumberFormat="1" applyFont="1" applyFill="1" applyBorder="1" applyAlignment="1" applyProtection="1">
      <alignment vertical="center"/>
    </xf>
    <xf numFmtId="1" fontId="6" fillId="0" borderId="0" xfId="2" applyNumberFormat="1" applyFont="1" applyFill="1" applyBorder="1" applyAlignment="1" applyProtection="1">
      <alignment vertical="center"/>
    </xf>
    <xf numFmtId="0" fontId="9" fillId="0" borderId="0" xfId="2" applyFont="1" applyFill="1" applyBorder="1" applyAlignment="1" applyProtection="1">
      <alignment horizontal="center" vertical="center"/>
    </xf>
    <xf numFmtId="2" fontId="6" fillId="0" borderId="0" xfId="2" applyNumberFormat="1" applyFont="1" applyFill="1" applyBorder="1" applyAlignment="1" applyProtection="1">
      <alignment horizontal="center" vertical="center"/>
    </xf>
    <xf numFmtId="1" fontId="6" fillId="0" borderId="0" xfId="2" applyNumberFormat="1" applyFont="1" applyFill="1" applyBorder="1" applyAlignment="1" applyProtection="1">
      <alignment horizontal="center" vertical="center"/>
    </xf>
    <xf numFmtId="2" fontId="6" fillId="0" borderId="0" xfId="2" applyNumberFormat="1" applyFont="1" applyFill="1" applyBorder="1" applyAlignment="1" applyProtection="1">
      <alignment horizontal="center" vertical="center"/>
      <protection locked="0"/>
    </xf>
    <xf numFmtId="2" fontId="6" fillId="0" borderId="30" xfId="2" applyNumberFormat="1" applyFont="1" applyFill="1" applyBorder="1" applyAlignment="1" applyProtection="1">
      <alignment vertical="center"/>
    </xf>
    <xf numFmtId="0" fontId="30" fillId="0" borderId="0" xfId="2" applyFont="1" applyFill="1" applyAlignment="1" applyProtection="1">
      <alignment vertical="center"/>
    </xf>
    <xf numFmtId="0" fontId="29" fillId="0" borderId="40" xfId="2" applyFont="1" applyFill="1" applyBorder="1" applyAlignment="1" applyProtection="1">
      <alignment vertical="center"/>
    </xf>
    <xf numFmtId="0" fontId="29" fillId="0" borderId="37" xfId="2" applyFont="1" applyFill="1" applyBorder="1" applyAlignment="1" applyProtection="1">
      <alignment vertical="center"/>
    </xf>
    <xf numFmtId="0" fontId="29" fillId="0" borderId="0" xfId="2" applyFont="1" applyFill="1" applyBorder="1" applyAlignment="1" applyProtection="1">
      <alignment vertical="center"/>
    </xf>
    <xf numFmtId="0" fontId="29" fillId="0" borderId="39" xfId="2" applyFont="1" applyFill="1" applyBorder="1" applyAlignment="1" applyProtection="1">
      <alignment vertical="center"/>
    </xf>
    <xf numFmtId="0" fontId="12" fillId="0" borderId="39" xfId="2" applyFont="1" applyFill="1" applyBorder="1" applyAlignment="1" applyProtection="1">
      <alignment vertical="center"/>
    </xf>
    <xf numFmtId="0" fontId="12" fillId="0" borderId="37" xfId="2" applyFont="1" applyFill="1" applyBorder="1" applyAlignment="1" applyProtection="1">
      <alignment vertical="center"/>
    </xf>
    <xf numFmtId="2" fontId="12" fillId="0" borderId="0" xfId="2" applyNumberFormat="1" applyFont="1" applyFill="1" applyBorder="1" applyAlignment="1" applyProtection="1">
      <alignment vertical="center"/>
    </xf>
    <xf numFmtId="2" fontId="12" fillId="0" borderId="20" xfId="2" applyNumberFormat="1" applyFont="1" applyFill="1" applyBorder="1" applyAlignment="1" applyProtection="1">
      <alignment vertical="center"/>
    </xf>
    <xf numFmtId="0" fontId="12" fillId="0" borderId="20" xfId="2" applyFont="1" applyFill="1" applyBorder="1" applyAlignment="1" applyProtection="1">
      <alignment vertical="center"/>
    </xf>
    <xf numFmtId="0" fontId="12" fillId="0" borderId="33" xfId="2" applyFont="1" applyFill="1" applyBorder="1" applyAlignment="1" applyProtection="1">
      <alignment vertical="center"/>
    </xf>
    <xf numFmtId="0" fontId="12" fillId="0" borderId="30" xfId="2" applyFont="1" applyFill="1" applyBorder="1" applyAlignment="1" applyProtection="1">
      <alignment vertical="center"/>
    </xf>
    <xf numFmtId="1" fontId="6" fillId="0" borderId="32" xfId="2" applyNumberFormat="1" applyFont="1" applyFill="1" applyBorder="1" applyAlignment="1" applyProtection="1">
      <alignment vertical="center"/>
    </xf>
    <xf numFmtId="0" fontId="17" fillId="0" borderId="30" xfId="2" applyFont="1" applyFill="1" applyBorder="1" applyAlignment="1" applyProtection="1">
      <alignment vertical="center"/>
      <protection locked="0"/>
    </xf>
    <xf numFmtId="1" fontId="17" fillId="3" borderId="29" xfId="2" applyNumberFormat="1" applyFont="1" applyFill="1" applyBorder="1" applyAlignment="1" applyProtection="1">
      <alignment vertical="center"/>
      <protection locked="0"/>
    </xf>
    <xf numFmtId="1" fontId="17" fillId="3" borderId="30" xfId="2" applyNumberFormat="1" applyFont="1" applyFill="1" applyBorder="1" applyAlignment="1" applyProtection="1">
      <alignment vertical="center"/>
      <protection locked="0"/>
    </xf>
    <xf numFmtId="1" fontId="17" fillId="3" borderId="31" xfId="2" applyNumberFormat="1" applyFont="1" applyFill="1" applyBorder="1" applyAlignment="1" applyProtection="1">
      <alignment vertical="center"/>
      <protection locked="0"/>
    </xf>
    <xf numFmtId="1" fontId="17" fillId="0" borderId="30" xfId="2" applyNumberFormat="1" applyFont="1" applyFill="1" applyBorder="1" applyAlignment="1" applyProtection="1">
      <alignment vertical="center"/>
    </xf>
    <xf numFmtId="0" fontId="31" fillId="0" borderId="35" xfId="2" applyFont="1" applyFill="1" applyBorder="1" applyAlignment="1" applyProtection="1">
      <alignment vertical="center"/>
    </xf>
    <xf numFmtId="0" fontId="31" fillId="0" borderId="20" xfId="2" applyFont="1" applyFill="1" applyBorder="1" applyAlignment="1" applyProtection="1">
      <alignment vertical="center"/>
    </xf>
    <xf numFmtId="0" fontId="31" fillId="0" borderId="30" xfId="2" applyFont="1" applyFill="1" applyBorder="1" applyAlignment="1" applyProtection="1">
      <alignment vertical="center"/>
      <protection locked="0"/>
    </xf>
    <xf numFmtId="0" fontId="31" fillId="0" borderId="33" xfId="2" applyFont="1" applyFill="1" applyBorder="1" applyAlignment="1" applyProtection="1">
      <alignment vertical="center"/>
    </xf>
    <xf numFmtId="167" fontId="16" fillId="3" borderId="32" xfId="2" applyNumberFormat="1" applyFont="1" applyFill="1" applyBorder="1" applyAlignment="1" applyProtection="1">
      <alignment vertical="center"/>
      <protection locked="0"/>
    </xf>
    <xf numFmtId="0" fontId="6" fillId="0" borderId="32" xfId="2" applyFont="1" applyFill="1" applyBorder="1" applyAlignment="1" applyProtection="1">
      <alignment vertical="center"/>
    </xf>
    <xf numFmtId="10" fontId="6" fillId="4" borderId="30" xfId="2" applyNumberFormat="1" applyFont="1" applyFill="1" applyBorder="1" applyAlignment="1" applyProtection="1">
      <alignment vertical="center"/>
    </xf>
    <xf numFmtId="0" fontId="20" fillId="3" borderId="32" xfId="2" applyFont="1" applyFill="1" applyBorder="1" applyAlignment="1" applyProtection="1">
      <alignment horizontal="center" vertical="center"/>
      <protection locked="0"/>
    </xf>
    <xf numFmtId="0" fontId="6" fillId="0" borderId="35" xfId="2" applyFont="1" applyFill="1" applyBorder="1" applyAlignment="1" applyProtection="1">
      <alignment horizontal="center" vertical="center"/>
    </xf>
    <xf numFmtId="0" fontId="6" fillId="0" borderId="29" xfId="2" applyFont="1" applyFill="1" applyBorder="1" applyAlignment="1" applyProtection="1">
      <alignment horizontal="center" vertical="center"/>
    </xf>
    <xf numFmtId="0" fontId="6" fillId="0" borderId="41" xfId="2" applyFont="1" applyFill="1" applyBorder="1" applyAlignment="1" applyProtection="1">
      <alignment vertical="center"/>
    </xf>
    <xf numFmtId="0" fontId="9" fillId="0" borderId="29" xfId="2" applyFont="1" applyFill="1" applyBorder="1" applyAlignment="1" applyProtection="1">
      <alignment vertical="center"/>
    </xf>
    <xf numFmtId="172" fontId="6" fillId="0" borderId="30" xfId="2" applyNumberFormat="1" applyFont="1" applyFill="1" applyBorder="1" applyAlignment="1" applyProtection="1">
      <alignment vertical="center"/>
    </xf>
    <xf numFmtId="0" fontId="6" fillId="0" borderId="30" xfId="2" applyFont="1" applyFill="1" applyBorder="1" applyAlignment="1" applyProtection="1">
      <alignment horizontal="center" vertical="center"/>
    </xf>
    <xf numFmtId="177" fontId="6" fillId="0" borderId="30" xfId="2" applyNumberFormat="1" applyFont="1" applyFill="1" applyBorder="1" applyAlignment="1" applyProtection="1">
      <alignment vertical="center"/>
    </xf>
    <xf numFmtId="0" fontId="6" fillId="0" borderId="29" xfId="2" applyFont="1" applyFill="1" applyBorder="1" applyAlignment="1" applyProtection="1">
      <alignment horizontal="left" vertical="center" indent="1"/>
    </xf>
    <xf numFmtId="173" fontId="6" fillId="0" borderId="30" xfId="2" applyNumberFormat="1" applyFont="1" applyFill="1" applyBorder="1" applyAlignment="1" applyProtection="1">
      <alignment vertical="center"/>
    </xf>
    <xf numFmtId="0" fontId="6" fillId="0" borderId="30" xfId="2" applyFont="1" applyFill="1" applyBorder="1" applyAlignment="1" applyProtection="1">
      <alignment horizontal="right" vertical="center"/>
    </xf>
    <xf numFmtId="0" fontId="17" fillId="0" borderId="32" xfId="2" applyFont="1" applyFill="1" applyBorder="1" applyAlignment="1" applyProtection="1">
      <alignment vertical="center"/>
    </xf>
    <xf numFmtId="2" fontId="9" fillId="0" borderId="30" xfId="2" applyNumberFormat="1" applyFont="1" applyFill="1" applyBorder="1" applyAlignment="1" applyProtection="1">
      <alignment vertical="center"/>
    </xf>
    <xf numFmtId="0" fontId="6" fillId="0" borderId="40" xfId="2" applyFont="1" applyFill="1" applyBorder="1" applyAlignment="1" applyProtection="1">
      <alignment horizontal="left" vertical="center" indent="1"/>
    </xf>
    <xf numFmtId="0" fontId="9" fillId="0" borderId="29" xfId="2" applyFont="1" applyFill="1" applyBorder="1" applyAlignment="1" applyProtection="1">
      <alignment horizontal="left" vertical="center"/>
    </xf>
    <xf numFmtId="167" fontId="6" fillId="0" borderId="32" xfId="2" applyNumberFormat="1" applyFont="1" applyFill="1" applyBorder="1" applyAlignment="1" applyProtection="1">
      <alignment vertical="center"/>
    </xf>
    <xf numFmtId="175" fontId="6" fillId="0" borderId="32" xfId="2" applyNumberFormat="1" applyFont="1" applyFill="1" applyBorder="1" applyAlignment="1" applyProtection="1">
      <alignment vertical="center"/>
    </xf>
    <xf numFmtId="0" fontId="24" fillId="0" borderId="32" xfId="2" applyFont="1" applyFill="1" applyBorder="1" applyAlignment="1" applyProtection="1">
      <alignment vertical="center"/>
    </xf>
    <xf numFmtId="174" fontId="6" fillId="0" borderId="32" xfId="2" applyNumberFormat="1" applyFont="1" applyFill="1" applyBorder="1" applyAlignment="1" applyProtection="1">
      <alignment vertical="center"/>
    </xf>
    <xf numFmtId="176" fontId="6" fillId="0" borderId="32" xfId="2" applyNumberFormat="1" applyFont="1" applyFill="1" applyBorder="1" applyAlignment="1" applyProtection="1">
      <alignment vertical="center"/>
    </xf>
    <xf numFmtId="174" fontId="32" fillId="0" borderId="32" xfId="2" applyNumberFormat="1" applyFont="1" applyFill="1" applyBorder="1" applyAlignment="1" applyProtection="1">
      <alignment vertical="center"/>
    </xf>
    <xf numFmtId="2" fontId="33" fillId="0" borderId="29" xfId="2" applyNumberFormat="1" applyFont="1" applyFill="1" applyBorder="1" applyAlignment="1" applyProtection="1">
      <alignment vertical="center"/>
    </xf>
    <xf numFmtId="0" fontId="23" fillId="3" borderId="32" xfId="2" applyFont="1" applyFill="1" applyBorder="1" applyAlignment="1" applyProtection="1">
      <alignment horizontal="right" vertical="center"/>
      <protection locked="0"/>
    </xf>
    <xf numFmtId="2" fontId="6" fillId="0" borderId="0" xfId="2" applyNumberFormat="1" applyFont="1" applyFill="1" applyAlignment="1" applyProtection="1">
      <alignment horizontal="right" vertical="center"/>
      <protection locked="0"/>
    </xf>
    <xf numFmtId="0" fontId="6" fillId="0" borderId="30" xfId="2" applyFont="1" applyFill="1" applyBorder="1" applyAlignment="1" applyProtection="1">
      <alignment horizontal="left" vertical="center"/>
    </xf>
    <xf numFmtId="0" fontId="23" fillId="3" borderId="30" xfId="2" applyFont="1" applyFill="1" applyBorder="1" applyAlignment="1" applyProtection="1">
      <alignment horizontal="right" vertical="center"/>
      <protection locked="0"/>
    </xf>
    <xf numFmtId="2" fontId="6" fillId="0" borderId="31" xfId="2" applyNumberFormat="1" applyFont="1" applyFill="1" applyBorder="1" applyAlignment="1" applyProtection="1">
      <alignment vertical="center"/>
    </xf>
    <xf numFmtId="2" fontId="9" fillId="0" borderId="31" xfId="2" applyNumberFormat="1" applyFont="1" applyFill="1" applyBorder="1" applyAlignment="1" applyProtection="1">
      <alignment vertical="center"/>
    </xf>
    <xf numFmtId="164" fontId="6" fillId="0" borderId="32" xfId="2" applyNumberFormat="1" applyFont="1" applyFill="1" applyBorder="1" applyAlignment="1" applyProtection="1">
      <alignment vertical="center"/>
    </xf>
    <xf numFmtId="170" fontId="6" fillId="0" borderId="31" xfId="2" applyNumberFormat="1" applyFont="1" applyFill="1" applyBorder="1" applyAlignment="1" applyProtection="1">
      <alignment vertical="center"/>
    </xf>
    <xf numFmtId="0" fontId="9" fillId="0" borderId="0" xfId="2" applyFont="1" applyFill="1" applyBorder="1" applyAlignment="1" applyProtection="1">
      <alignment horizontal="center" vertical="center"/>
    </xf>
    <xf numFmtId="170" fontId="6" fillId="0" borderId="29" xfId="2" applyNumberFormat="1" applyFont="1" applyFill="1" applyBorder="1" applyAlignment="1" applyProtection="1">
      <alignment horizontal="left" vertical="center"/>
    </xf>
    <xf numFmtId="165" fontId="2" fillId="0" borderId="0" xfId="1" applyNumberFormat="1" applyFont="1" applyFill="1" applyBorder="1" applyAlignment="1">
      <alignment vertical="center"/>
    </xf>
    <xf numFmtId="175" fontId="2" fillId="0" borderId="20" xfId="1" applyNumberFormat="1" applyFont="1" applyFill="1" applyBorder="1" applyAlignment="1">
      <alignment vertical="center"/>
    </xf>
    <xf numFmtId="165" fontId="2" fillId="0" borderId="11" xfId="1" applyNumberFormat="1" applyFont="1" applyFill="1" applyBorder="1" applyAlignment="1">
      <alignment vertical="center"/>
    </xf>
    <xf numFmtId="2" fontId="2" fillId="0" borderId="11" xfId="1" applyNumberFormat="1" applyFont="1" applyFill="1" applyBorder="1" applyAlignment="1">
      <alignment vertical="center"/>
    </xf>
    <xf numFmtId="2" fontId="36" fillId="0" borderId="11" xfId="1" applyNumberFormat="1" applyFont="1" applyFill="1" applyBorder="1" applyAlignment="1">
      <alignment vertical="center"/>
    </xf>
    <xf numFmtId="2" fontId="2" fillId="0" borderId="34" xfId="1" applyNumberFormat="1" applyFont="1" applyFill="1" applyBorder="1" applyAlignment="1">
      <alignment vertical="center"/>
    </xf>
    <xf numFmtId="174" fontId="2" fillId="0" borderId="37" xfId="2" applyNumberFormat="1" applyFill="1" applyBorder="1" applyAlignment="1" applyProtection="1">
      <alignment vertical="center"/>
    </xf>
    <xf numFmtId="175" fontId="32" fillId="0" borderId="32" xfId="2" applyNumberFormat="1" applyFont="1" applyFill="1" applyBorder="1" applyAlignment="1" applyProtection="1">
      <alignment vertical="center"/>
    </xf>
    <xf numFmtId="165" fontId="2" fillId="0" borderId="34" xfId="1" applyNumberFormat="1" applyFont="1" applyFill="1" applyBorder="1" applyAlignment="1">
      <alignment vertical="center"/>
    </xf>
    <xf numFmtId="0" fontId="8" fillId="0" borderId="17" xfId="2" applyFont="1" applyFill="1" applyBorder="1" applyAlignment="1" applyProtection="1">
      <alignment horizontal="center" vertical="center"/>
    </xf>
    <xf numFmtId="2" fontId="8" fillId="0" borderId="17" xfId="2" applyNumberFormat="1" applyFont="1" applyFill="1" applyBorder="1" applyAlignment="1" applyProtection="1">
      <alignment horizontal="center" vertical="center"/>
    </xf>
    <xf numFmtId="2" fontId="37" fillId="0" borderId="0" xfId="2" applyNumberFormat="1" applyFont="1" applyFill="1" applyAlignment="1" applyProtection="1">
      <alignment vertical="center"/>
    </xf>
    <xf numFmtId="2" fontId="38" fillId="0" borderId="1" xfId="2" applyNumberFormat="1" applyFont="1" applyFill="1" applyBorder="1" applyAlignment="1" applyProtection="1">
      <alignment vertical="center"/>
    </xf>
    <xf numFmtId="2" fontId="39" fillId="0" borderId="17" xfId="2" applyNumberFormat="1" applyFont="1" applyFill="1" applyBorder="1" applyAlignment="1" applyProtection="1">
      <alignment horizontal="center" vertical="center"/>
    </xf>
    <xf numFmtId="2" fontId="6" fillId="0" borderId="33" xfId="2" applyNumberFormat="1" applyFont="1" applyFill="1" applyBorder="1" applyAlignment="1" applyProtection="1">
      <alignment vertical="center"/>
    </xf>
    <xf numFmtId="1" fontId="6" fillId="0" borderId="35" xfId="2" applyNumberFormat="1" applyFont="1" applyFill="1" applyBorder="1" applyAlignment="1" applyProtection="1">
      <alignment vertical="center"/>
    </xf>
    <xf numFmtId="175" fontId="2" fillId="0" borderId="39" xfId="1" applyNumberFormat="1" applyFont="1" applyFill="1" applyBorder="1" applyAlignment="1">
      <alignment vertical="center"/>
    </xf>
    <xf numFmtId="0" fontId="9" fillId="5" borderId="29" xfId="2" applyFont="1" applyFill="1" applyBorder="1" applyAlignment="1" applyProtection="1">
      <alignment horizontal="left" vertical="center"/>
    </xf>
    <xf numFmtId="0" fontId="6" fillId="5" borderId="30" xfId="2" applyFont="1" applyFill="1" applyBorder="1" applyAlignment="1" applyProtection="1">
      <alignment vertical="center"/>
    </xf>
    <xf numFmtId="0" fontId="6" fillId="5" borderId="31" xfId="2" applyFont="1" applyFill="1" applyBorder="1" applyAlignment="1" applyProtection="1">
      <alignment vertical="center"/>
    </xf>
    <xf numFmtId="0" fontId="9" fillId="6" borderId="29" xfId="2" applyFont="1" applyFill="1" applyBorder="1" applyAlignment="1" applyProtection="1">
      <alignment horizontal="left" vertical="center"/>
    </xf>
    <xf numFmtId="0" fontId="6" fillId="6" borderId="30" xfId="2" applyFont="1" applyFill="1" applyBorder="1" applyAlignment="1" applyProtection="1">
      <alignment vertical="center"/>
    </xf>
    <xf numFmtId="0" fontId="6" fillId="6" borderId="31" xfId="2" applyFont="1" applyFill="1" applyBorder="1" applyAlignment="1" applyProtection="1">
      <alignment vertical="center"/>
    </xf>
    <xf numFmtId="0" fontId="9" fillId="7" borderId="29" xfId="2" applyFont="1" applyFill="1" applyBorder="1" applyAlignment="1" applyProtection="1">
      <alignment horizontal="left" vertical="center"/>
    </xf>
    <xf numFmtId="0" fontId="6" fillId="7" borderId="30" xfId="2" applyFont="1" applyFill="1" applyBorder="1" applyAlignment="1" applyProtection="1">
      <alignment vertical="center"/>
    </xf>
    <xf numFmtId="0" fontId="6" fillId="7" borderId="31" xfId="2" applyFont="1" applyFill="1" applyBorder="1" applyAlignment="1" applyProtection="1">
      <alignment vertical="center"/>
    </xf>
    <xf numFmtId="167" fontId="21" fillId="7" borderId="32" xfId="2" applyNumberFormat="1" applyFont="1" applyFill="1" applyBorder="1" applyAlignment="1" applyProtection="1">
      <alignment vertical="center"/>
    </xf>
    <xf numFmtId="0" fontId="21" fillId="7" borderId="32" xfId="2" applyFont="1" applyFill="1" applyBorder="1" applyAlignment="1" applyProtection="1">
      <alignment vertical="center"/>
    </xf>
    <xf numFmtId="175" fontId="21" fillId="7" borderId="32" xfId="2" applyNumberFormat="1" applyFont="1" applyFill="1" applyBorder="1" applyAlignment="1" applyProtection="1">
      <alignment vertical="center"/>
    </xf>
    <xf numFmtId="174" fontId="34" fillId="7" borderId="32" xfId="2" applyNumberFormat="1" applyFont="1" applyFill="1" applyBorder="1" applyAlignment="1" applyProtection="1">
      <alignment vertical="center"/>
    </xf>
    <xf numFmtId="176" fontId="34" fillId="7" borderId="32" xfId="2" applyNumberFormat="1" applyFont="1" applyFill="1" applyBorder="1" applyAlignment="1" applyProtection="1">
      <alignment vertical="center"/>
    </xf>
    <xf numFmtId="167" fontId="35" fillId="7" borderId="32" xfId="2" applyNumberFormat="1" applyFont="1" applyFill="1" applyBorder="1" applyAlignment="1" applyProtection="1">
      <alignment vertical="center"/>
    </xf>
    <xf numFmtId="0" fontId="35" fillId="7" borderId="32" xfId="2" applyFont="1" applyFill="1" applyBorder="1" applyAlignment="1" applyProtection="1">
      <alignment vertical="center"/>
    </xf>
    <xf numFmtId="175" fontId="35" fillId="7" borderId="32" xfId="2" applyNumberFormat="1" applyFont="1" applyFill="1" applyBorder="1" applyAlignment="1" applyProtection="1">
      <alignment vertical="center"/>
    </xf>
    <xf numFmtId="174" fontId="35" fillId="7" borderId="32" xfId="2" applyNumberFormat="1" applyFont="1" applyFill="1" applyBorder="1" applyAlignment="1" applyProtection="1">
      <alignment vertical="center"/>
    </xf>
    <xf numFmtId="176" fontId="35" fillId="7" borderId="32" xfId="2" applyNumberFormat="1" applyFont="1" applyFill="1" applyBorder="1" applyAlignment="1" applyProtection="1">
      <alignment vertical="center"/>
    </xf>
    <xf numFmtId="167" fontId="21" fillId="6" borderId="32" xfId="2" applyNumberFormat="1" applyFont="1" applyFill="1" applyBorder="1" applyAlignment="1" applyProtection="1">
      <alignment vertical="center"/>
    </xf>
    <xf numFmtId="0" fontId="21" fillId="6" borderId="32" xfId="2" applyFont="1" applyFill="1" applyBorder="1" applyAlignment="1" applyProtection="1">
      <alignment vertical="center"/>
    </xf>
    <xf numFmtId="175" fontId="21" fillId="6" borderId="32" xfId="2" applyNumberFormat="1" applyFont="1" applyFill="1" applyBorder="1" applyAlignment="1" applyProtection="1">
      <alignment vertical="center"/>
    </xf>
    <xf numFmtId="174" fontId="34" fillId="6" borderId="32" xfId="2" applyNumberFormat="1" applyFont="1" applyFill="1" applyBorder="1" applyAlignment="1" applyProtection="1">
      <alignment vertical="center"/>
    </xf>
    <xf numFmtId="176" fontId="34" fillId="6" borderId="32" xfId="2" applyNumberFormat="1" applyFont="1" applyFill="1" applyBorder="1" applyAlignment="1" applyProtection="1">
      <alignment vertical="center"/>
    </xf>
    <xf numFmtId="167" fontId="35" fillId="6" borderId="32" xfId="2" applyNumberFormat="1" applyFont="1" applyFill="1" applyBorder="1" applyAlignment="1" applyProtection="1">
      <alignment vertical="center"/>
    </xf>
    <xf numFmtId="0" fontId="35" fillId="6" borderId="32" xfId="2" applyFont="1" applyFill="1" applyBorder="1" applyAlignment="1" applyProtection="1">
      <alignment vertical="center"/>
    </xf>
    <xf numFmtId="175" fontId="35" fillId="6" borderId="32" xfId="2" applyNumberFormat="1" applyFont="1" applyFill="1" applyBorder="1" applyAlignment="1" applyProtection="1">
      <alignment vertical="center"/>
    </xf>
    <xf numFmtId="174" fontId="35" fillId="6" borderId="32" xfId="2" applyNumberFormat="1" applyFont="1" applyFill="1" applyBorder="1" applyAlignment="1" applyProtection="1">
      <alignment vertical="center"/>
    </xf>
    <xf numFmtId="176" fontId="35" fillId="6" borderId="32" xfId="2" applyNumberFormat="1" applyFont="1" applyFill="1" applyBorder="1" applyAlignment="1" applyProtection="1">
      <alignment vertical="center"/>
    </xf>
    <xf numFmtId="167" fontId="21" fillId="5" borderId="32" xfId="2" applyNumberFormat="1" applyFont="1" applyFill="1" applyBorder="1" applyAlignment="1" applyProtection="1">
      <alignment vertical="center"/>
    </xf>
    <xf numFmtId="0" fontId="21" fillId="5" borderId="32" xfId="2" applyFont="1" applyFill="1" applyBorder="1" applyAlignment="1" applyProtection="1">
      <alignment vertical="center"/>
    </xf>
    <xf numFmtId="175" fontId="21" fillId="5" borderId="32" xfId="2" applyNumberFormat="1" applyFont="1" applyFill="1" applyBorder="1" applyAlignment="1" applyProtection="1">
      <alignment vertical="center"/>
    </xf>
    <xf numFmtId="174" fontId="34" fillId="5" borderId="32" xfId="2" applyNumberFormat="1" applyFont="1" applyFill="1" applyBorder="1" applyAlignment="1" applyProtection="1">
      <alignment vertical="center"/>
    </xf>
    <xf numFmtId="176" fontId="34" fillId="5" borderId="32" xfId="2" applyNumberFormat="1" applyFont="1" applyFill="1" applyBorder="1" applyAlignment="1" applyProtection="1">
      <alignment vertical="center"/>
    </xf>
    <xf numFmtId="167" fontId="35" fillId="5" borderId="32" xfId="2" applyNumberFormat="1" applyFont="1" applyFill="1" applyBorder="1" applyAlignment="1" applyProtection="1">
      <alignment vertical="center"/>
    </xf>
    <xf numFmtId="0" fontId="35" fillId="5" borderId="32" xfId="2" applyFont="1" applyFill="1" applyBorder="1" applyAlignment="1" applyProtection="1">
      <alignment vertical="center"/>
    </xf>
    <xf numFmtId="175" fontId="35" fillId="5" borderId="32" xfId="2" applyNumberFormat="1" applyFont="1" applyFill="1" applyBorder="1" applyAlignment="1" applyProtection="1">
      <alignment vertical="center"/>
    </xf>
    <xf numFmtId="174" fontId="35" fillId="5" borderId="32" xfId="2" applyNumberFormat="1" applyFont="1" applyFill="1" applyBorder="1" applyAlignment="1" applyProtection="1">
      <alignment vertical="center"/>
    </xf>
    <xf numFmtId="176" fontId="35" fillId="5" borderId="32" xfId="2" applyNumberFormat="1" applyFont="1" applyFill="1" applyBorder="1" applyAlignment="1" applyProtection="1">
      <alignment vertical="center"/>
    </xf>
    <xf numFmtId="170" fontId="21" fillId="6" borderId="32" xfId="2" applyNumberFormat="1" applyFont="1" applyFill="1" applyBorder="1" applyAlignment="1" applyProtection="1">
      <alignment vertical="center"/>
    </xf>
    <xf numFmtId="170" fontId="35" fillId="6" borderId="32" xfId="2" applyNumberFormat="1" applyFont="1" applyFill="1" applyBorder="1" applyAlignment="1" applyProtection="1">
      <alignment vertical="center"/>
    </xf>
    <xf numFmtId="170" fontId="21" fillId="5" borderId="32" xfId="2" applyNumberFormat="1" applyFont="1" applyFill="1" applyBorder="1" applyAlignment="1" applyProtection="1">
      <alignment vertical="center"/>
    </xf>
    <xf numFmtId="170" fontId="35" fillId="5" borderId="32" xfId="2" applyNumberFormat="1" applyFont="1" applyFill="1" applyBorder="1" applyAlignment="1" applyProtection="1">
      <alignment vertical="center"/>
    </xf>
    <xf numFmtId="170" fontId="21" fillId="7" borderId="32" xfId="2" applyNumberFormat="1" applyFont="1" applyFill="1" applyBorder="1" applyAlignment="1" applyProtection="1">
      <alignment vertical="center"/>
    </xf>
    <xf numFmtId="170" fontId="35" fillId="7" borderId="32" xfId="2" applyNumberFormat="1" applyFont="1" applyFill="1" applyBorder="1" applyAlignment="1" applyProtection="1">
      <alignment vertical="center"/>
    </xf>
    <xf numFmtId="170" fontId="6" fillId="0" borderId="32" xfId="2" applyNumberFormat="1" applyFont="1" applyFill="1" applyBorder="1" applyAlignment="1" applyProtection="1">
      <alignment vertical="center"/>
    </xf>
    <xf numFmtId="180" fontId="2" fillId="0" borderId="0" xfId="2" applyNumberFormat="1" applyFill="1" applyAlignment="1" applyProtection="1">
      <alignment vertical="center"/>
    </xf>
    <xf numFmtId="3" fontId="17" fillId="3" borderId="32" xfId="2" applyNumberFormat="1" applyFont="1" applyFill="1" applyBorder="1" applyAlignment="1" applyProtection="1">
      <alignment vertical="center"/>
      <protection locked="0"/>
    </xf>
    <xf numFmtId="171" fontId="6" fillId="0" borderId="29" xfId="2" applyNumberFormat="1" applyFont="1" applyFill="1" applyBorder="1" applyAlignment="1" applyProtection="1">
      <alignment vertical="center"/>
    </xf>
    <xf numFmtId="171" fontId="6" fillId="0" borderId="35" xfId="2" applyNumberFormat="1" applyFont="1" applyFill="1" applyBorder="1" applyAlignment="1" applyProtection="1">
      <alignment vertical="center"/>
    </xf>
    <xf numFmtId="170" fontId="6" fillId="0" borderId="34" xfId="2" applyNumberFormat="1" applyFont="1" applyFill="1" applyBorder="1" applyAlignment="1" applyProtection="1">
      <alignment vertical="center"/>
    </xf>
    <xf numFmtId="171" fontId="31" fillId="0" borderId="35" xfId="2" applyNumberFormat="1" applyFont="1" applyFill="1" applyBorder="1" applyAlignment="1" applyProtection="1">
      <alignment vertical="center"/>
    </xf>
    <xf numFmtId="170" fontId="31" fillId="0" borderId="34" xfId="2" applyNumberFormat="1" applyFont="1" applyFill="1" applyBorder="1" applyAlignment="1" applyProtection="1">
      <alignment vertical="center"/>
    </xf>
    <xf numFmtId="2" fontId="37" fillId="0" borderId="42" xfId="2" applyNumberFormat="1" applyFont="1" applyFill="1" applyBorder="1" applyAlignment="1" applyProtection="1">
      <alignment horizontal="center" vertical="center"/>
    </xf>
    <xf numFmtId="2" fontId="2" fillId="0" borderId="42" xfId="2" applyNumberFormat="1" applyFill="1" applyBorder="1" applyAlignment="1" applyProtection="1">
      <alignment horizontal="center" vertical="center"/>
    </xf>
    <xf numFmtId="0" fontId="0" fillId="0" borderId="0" xfId="0" applyBorder="1" applyAlignment="1">
      <alignment horizontal="center"/>
    </xf>
    <xf numFmtId="0" fontId="0" fillId="0" borderId="0" xfId="0" applyAlignment="1">
      <alignment horizontal="center"/>
    </xf>
    <xf numFmtId="0" fontId="2" fillId="8" borderId="32" xfId="0" applyFont="1" applyFill="1" applyBorder="1"/>
    <xf numFmtId="0" fontId="0" fillId="8" borderId="0" xfId="0" applyFill="1"/>
    <xf numFmtId="2" fontId="2" fillId="0" borderId="4" xfId="0" applyNumberFormat="1" applyFont="1" applyBorder="1" applyAlignment="1">
      <alignment horizontal="center" vertical="center"/>
    </xf>
    <xf numFmtId="0" fontId="29" fillId="0" borderId="0" xfId="2" applyFont="1" applyFill="1" applyAlignment="1" applyProtection="1">
      <alignment vertical="center"/>
    </xf>
    <xf numFmtId="0" fontId="2" fillId="0" borderId="2" xfId="0" applyFont="1" applyBorder="1" applyAlignment="1">
      <alignment horizontal="center" vertical="center"/>
    </xf>
    <xf numFmtId="165" fontId="2" fillId="0" borderId="7" xfId="0" applyNumberFormat="1" applyFont="1" applyBorder="1" applyAlignment="1">
      <alignment horizontal="center" vertical="center"/>
    </xf>
    <xf numFmtId="165" fontId="2" fillId="0" borderId="4" xfId="0" applyNumberFormat="1" applyFont="1" applyBorder="1" applyAlignment="1">
      <alignment horizontal="center" vertical="center"/>
    </xf>
    <xf numFmtId="164" fontId="2" fillId="0" borderId="0" xfId="0" applyNumberFormat="1" applyFont="1" applyAlignment="1">
      <alignment vertical="center"/>
    </xf>
    <xf numFmtId="165" fontId="2" fillId="0" borderId="0" xfId="0" applyNumberFormat="1" applyFont="1" applyAlignment="1">
      <alignment vertical="center"/>
    </xf>
    <xf numFmtId="166" fontId="2" fillId="0" borderId="0" xfId="0" applyNumberFormat="1" applyFont="1" applyAlignment="1">
      <alignment vertical="center"/>
    </xf>
    <xf numFmtId="165" fontId="2" fillId="0" borderId="5" xfId="0" applyNumberFormat="1" applyFont="1" applyBorder="1" applyAlignment="1">
      <alignment horizontal="center" vertical="center"/>
    </xf>
    <xf numFmtId="0" fontId="3" fillId="0" borderId="0" xfId="0" applyFont="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165" fontId="0" fillId="0" borderId="0" xfId="0" applyNumberFormat="1"/>
    <xf numFmtId="2" fontId="0" fillId="0" borderId="0" xfId="0" applyNumberFormat="1"/>
    <xf numFmtId="164" fontId="0" fillId="0" borderId="0" xfId="0" applyNumberFormat="1"/>
    <xf numFmtId="0" fontId="1" fillId="0" borderId="0" xfId="0" applyFont="1" applyBorder="1" applyAlignment="1">
      <alignment horizontal="center"/>
    </xf>
    <xf numFmtId="0" fontId="2" fillId="0" borderId="0" xfId="0" applyFont="1" applyBorder="1" applyAlignment="1">
      <alignment horizontal="center" vertical="center"/>
    </xf>
    <xf numFmtId="2" fontId="2" fillId="0" borderId="0" xfId="0" applyNumberFormat="1" applyFont="1" applyBorder="1" applyAlignment="1">
      <alignment horizontal="center" vertical="center"/>
    </xf>
    <xf numFmtId="0" fontId="6" fillId="0" borderId="36" xfId="2" applyFont="1" applyFill="1" applyBorder="1" applyAlignment="1" applyProtection="1">
      <alignment horizontal="center" vertical="center"/>
    </xf>
    <xf numFmtId="0" fontId="6" fillId="0" borderId="37" xfId="2" applyFont="1" applyFill="1" applyBorder="1" applyAlignment="1" applyProtection="1">
      <alignment horizontal="center" vertical="center"/>
    </xf>
    <xf numFmtId="0" fontId="9" fillId="0" borderId="0" xfId="2" applyFont="1" applyFill="1" applyBorder="1" applyAlignment="1" applyProtection="1">
      <alignment horizontal="center" vertical="center"/>
    </xf>
    <xf numFmtId="0" fontId="10" fillId="0" borderId="0" xfId="2" applyFont="1" applyFill="1" applyAlignment="1" applyProtection="1">
      <alignment horizontal="center" vertical="center"/>
    </xf>
    <xf numFmtId="178" fontId="17" fillId="3" borderId="29" xfId="2" applyNumberFormat="1" applyFont="1" applyFill="1" applyBorder="1" applyAlignment="1" applyProtection="1">
      <alignment horizontal="left" vertical="center"/>
      <protection locked="0"/>
    </xf>
    <xf numFmtId="178" fontId="17" fillId="3" borderId="30" xfId="2" applyNumberFormat="1" applyFont="1" applyFill="1" applyBorder="1" applyAlignment="1" applyProtection="1">
      <alignment horizontal="left" vertical="center"/>
      <protection locked="0"/>
    </xf>
    <xf numFmtId="178" fontId="17" fillId="3" borderId="31" xfId="2" applyNumberFormat="1" applyFont="1" applyFill="1" applyBorder="1" applyAlignment="1" applyProtection="1">
      <alignment horizontal="left" vertical="center"/>
      <protection locked="0"/>
    </xf>
    <xf numFmtId="0" fontId="6" fillId="0" borderId="40" xfId="2" applyFont="1" applyFill="1" applyBorder="1" applyAlignment="1" applyProtection="1">
      <alignment horizontal="center" vertical="center"/>
    </xf>
    <xf numFmtId="179" fontId="17" fillId="3" borderId="32" xfId="2" applyNumberFormat="1" applyFont="1" applyFill="1" applyBorder="1" applyAlignment="1" applyProtection="1">
      <alignment horizontal="center" vertical="center"/>
      <protection locked="0"/>
    </xf>
    <xf numFmtId="2" fontId="8" fillId="0" borderId="17" xfId="2" applyNumberFormat="1" applyFont="1" applyFill="1" applyBorder="1" applyAlignment="1" applyProtection="1">
      <alignment horizontal="center" vertical="center"/>
    </xf>
    <xf numFmtId="0" fontId="17" fillId="3" borderId="29" xfId="2" applyFont="1" applyFill="1" applyBorder="1" applyAlignment="1" applyProtection="1">
      <alignment horizontal="left" vertical="center"/>
      <protection locked="0"/>
    </xf>
    <xf numFmtId="0" fontId="17" fillId="3" borderId="30" xfId="2" applyFont="1" applyFill="1" applyBorder="1" applyAlignment="1" applyProtection="1">
      <alignment horizontal="left" vertical="center"/>
      <protection locked="0"/>
    </xf>
    <xf numFmtId="0" fontId="17" fillId="3" borderId="31" xfId="2" applyFont="1" applyFill="1" applyBorder="1" applyAlignment="1" applyProtection="1">
      <alignment horizontal="left" vertical="center"/>
      <protection locked="0"/>
    </xf>
    <xf numFmtId="0" fontId="3" fillId="0" borderId="0" xfId="0" applyFont="1" applyAlignment="1">
      <alignment horizontal="center"/>
    </xf>
    <xf numFmtId="0" fontId="1" fillId="0" borderId="1" xfId="0" applyFon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13" xfId="0" applyFont="1" applyBorder="1" applyAlignment="1">
      <alignment horizontal="center" vertical="center"/>
    </xf>
    <xf numFmtId="0" fontId="2" fillId="0" borderId="4"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0" fillId="0" borderId="0" xfId="0" applyAlignment="1">
      <alignment horizontal="center"/>
    </xf>
    <xf numFmtId="0" fontId="3" fillId="0" borderId="0" xfId="0" applyFont="1" applyAlignment="1">
      <alignment horizontal="center" vertical="center"/>
    </xf>
    <xf numFmtId="0" fontId="1" fillId="0" borderId="0" xfId="0" applyFont="1" applyBorder="1" applyAlignment="1">
      <alignment horizontal="center" vertical="center"/>
    </xf>
    <xf numFmtId="0" fontId="2" fillId="0" borderId="16" xfId="0" applyFont="1" applyBorder="1" applyAlignment="1">
      <alignment horizontal="center" vertical="center"/>
    </xf>
    <xf numFmtId="0" fontId="2" fillId="0" borderId="17"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3" fillId="0" borderId="17" xfId="0" applyFont="1" applyBorder="1" applyAlignment="1">
      <alignment horizontal="center" vertical="center"/>
    </xf>
  </cellXfs>
  <cellStyles count="3">
    <cellStyle name="Normal" xfId="0" builtinId="0"/>
    <cellStyle name="Normal 2" xfId="2"/>
    <cellStyle name="Normal_Drift-off Prediction In Progress" xfId="1"/>
  </cellStyles>
  <dxfs count="9">
    <dxf>
      <fill>
        <patternFill>
          <bgColor rgb="FFFFFF00"/>
        </patternFill>
      </fill>
    </dxf>
    <dxf>
      <fill>
        <patternFill>
          <bgColor rgb="FFFFFF00"/>
        </patternFill>
      </fill>
    </dxf>
    <dxf>
      <fill>
        <patternFill>
          <bgColor rgb="FFFFFF00"/>
        </patternFill>
      </fill>
    </dxf>
    <dxf>
      <font>
        <color theme="0"/>
      </font>
      <fill>
        <patternFill>
          <bgColor rgb="FFFF33CC"/>
        </patternFill>
      </fill>
    </dxf>
    <dxf>
      <fill>
        <patternFill>
          <bgColor rgb="FFFFFF00"/>
        </patternFill>
      </fill>
    </dxf>
    <dxf>
      <font>
        <color theme="0"/>
      </font>
      <fill>
        <patternFill>
          <bgColor rgb="FFFF33CC"/>
        </patternFill>
      </fill>
    </dxf>
    <dxf>
      <fill>
        <patternFill>
          <bgColor rgb="FFFFFF00"/>
        </patternFill>
      </fill>
    </dxf>
    <dxf>
      <font>
        <color theme="0"/>
      </font>
      <fill>
        <patternFill>
          <bgColor rgb="FFFF33CC"/>
        </patternFill>
      </fill>
    </dxf>
    <dxf>
      <font>
        <color theme="0" tint="-0.24994659260841701"/>
      </font>
      <fill>
        <patternFill patternType="none">
          <bgColor auto="1"/>
        </patternFill>
      </fill>
      <border>
        <left/>
        <right/>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33CC"/>
      <color rgb="FFFF66CC"/>
      <color rgb="FFFFFFCC"/>
      <color rgb="FFCCFFCC"/>
      <color rgb="FFCCECFF"/>
      <color rgb="FFBD9A07"/>
      <color rgb="FFEEC208"/>
      <color rgb="FFB80000"/>
      <color rgb="FF9E0000"/>
      <color rgb="FF48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DP RED and YELLOW Watch Circles</a:t>
            </a:r>
          </a:p>
        </c:rich>
      </c:tx>
      <c:layout>
        <c:manualLayout>
          <c:xMode val="edge"/>
          <c:yMode val="edge"/>
          <c:x val="0.34113294589706278"/>
          <c:y val="2.7200000000000002E-2"/>
        </c:manualLayout>
      </c:layout>
      <c:overlay val="0"/>
      <c:spPr>
        <a:noFill/>
        <a:ln w="25400">
          <a:noFill/>
        </a:ln>
      </c:spPr>
    </c:title>
    <c:autoTitleDeleted val="0"/>
    <c:plotArea>
      <c:layout>
        <c:manualLayout>
          <c:layoutTarget val="inner"/>
          <c:xMode val="edge"/>
          <c:yMode val="edge"/>
          <c:x val="0.11083743842364532"/>
          <c:y val="9.6000075000058596E-2"/>
          <c:w val="0.60273678582487267"/>
          <c:h val="0.81120063375049511"/>
        </c:manualLayout>
      </c:layout>
      <c:scatterChart>
        <c:scatterStyle val="smoothMarker"/>
        <c:varyColors val="0"/>
        <c:ser>
          <c:idx val="2"/>
          <c:order val="0"/>
          <c:tx>
            <c:v>Well Center</c:v>
          </c:tx>
          <c:spPr>
            <a:ln w="28575" cmpd="sng">
              <a:solidFill>
                <a:schemeClr val="bg1"/>
              </a:solidFill>
            </a:ln>
          </c:spPr>
          <c:marker>
            <c:symbol val="circle"/>
            <c:size val="15"/>
            <c:spPr>
              <a:solidFill>
                <a:schemeClr val="bg1"/>
              </a:solidFill>
              <a:ln w="12700">
                <a:solidFill>
                  <a:schemeClr val="tx1"/>
                </a:solidFill>
              </a:ln>
            </c:spPr>
          </c:marker>
          <c:xVal>
            <c:numLit>
              <c:formatCode>General</c:formatCode>
              <c:ptCount val="1"/>
              <c:pt idx="0">
                <c:v>0</c:v>
              </c:pt>
            </c:numLit>
          </c:xVal>
          <c:yVal>
            <c:numLit>
              <c:formatCode>General</c:formatCode>
              <c:ptCount val="1"/>
              <c:pt idx="0">
                <c:v>0</c:v>
              </c:pt>
            </c:numLit>
          </c:yVal>
          <c:smooth val="1"/>
        </c:ser>
        <c:ser>
          <c:idx val="10"/>
          <c:order val="1"/>
          <c:spPr>
            <a:ln>
              <a:solidFill>
                <a:schemeClr val="tx1"/>
              </a:solidFill>
            </a:ln>
          </c:spPr>
          <c:marker>
            <c:symbol val="none"/>
          </c:marker>
          <c:dPt>
            <c:idx val="1"/>
            <c:bubble3D val="0"/>
            <c:spPr>
              <a:ln w="12700">
                <a:solidFill>
                  <a:schemeClr val="tx1"/>
                </a:solidFill>
              </a:ln>
            </c:spPr>
          </c:dPt>
          <c:xVal>
            <c:numRef>
              <c:f>DriftOff!$AJ$88:$AJ$89</c:f>
              <c:numCache>
                <c:formatCode>0.00</c:formatCode>
                <c:ptCount val="2"/>
                <c:pt idx="0">
                  <c:v>0</c:v>
                </c:pt>
                <c:pt idx="1">
                  <c:v>0</c:v>
                </c:pt>
              </c:numCache>
            </c:numRef>
          </c:xVal>
          <c:yVal>
            <c:numRef>
              <c:f>DriftOff!$AK$88:$AK$89</c:f>
              <c:numCache>
                <c:formatCode>0.0" m"</c:formatCode>
                <c:ptCount val="2"/>
                <c:pt idx="0">
                  <c:v>84.000000000000014</c:v>
                </c:pt>
                <c:pt idx="1">
                  <c:v>-84.000000000000014</c:v>
                </c:pt>
              </c:numCache>
            </c:numRef>
          </c:yVal>
          <c:smooth val="0"/>
        </c:ser>
        <c:ser>
          <c:idx val="3"/>
          <c:order val="2"/>
          <c:tx>
            <c:strRef>
              <c:f>DriftOff!$C$40</c:f>
              <c:strCache>
                <c:ptCount val="1"/>
                <c:pt idx="0">
                  <c:v>DP Set Point:</c:v>
                </c:pt>
              </c:strCache>
            </c:strRef>
          </c:tx>
          <c:spPr>
            <a:ln w="28575">
              <a:solidFill>
                <a:schemeClr val="bg1"/>
              </a:solidFill>
            </a:ln>
          </c:spPr>
          <c:marker>
            <c:symbol val="circle"/>
            <c:size val="7"/>
            <c:spPr>
              <a:solidFill>
                <a:srgbClr val="000000"/>
              </a:solidFill>
              <a:ln w="9525">
                <a:noFill/>
              </a:ln>
            </c:spPr>
          </c:marker>
          <c:xVal>
            <c:numRef>
              <c:f>DriftOff!$K$40</c:f>
              <c:numCache>
                <c:formatCode>0.0</c:formatCode>
                <c:ptCount val="1"/>
                <c:pt idx="0">
                  <c:v>3</c:v>
                </c:pt>
              </c:numCache>
            </c:numRef>
          </c:xVal>
          <c:yVal>
            <c:numRef>
              <c:f>DriftOff!$G$40</c:f>
              <c:numCache>
                <c:formatCode>0.0</c:formatCode>
                <c:ptCount val="1"/>
                <c:pt idx="0">
                  <c:v>1</c:v>
                </c:pt>
              </c:numCache>
            </c:numRef>
          </c:yVal>
          <c:smooth val="1"/>
        </c:ser>
        <c:ser>
          <c:idx val="11"/>
          <c:order val="3"/>
          <c:spPr>
            <a:ln w="6350">
              <a:solidFill>
                <a:schemeClr val="tx1"/>
              </a:solidFill>
              <a:prstDash val="solid"/>
            </a:ln>
          </c:spPr>
          <c:marker>
            <c:symbol val="none"/>
          </c:marker>
          <c:dPt>
            <c:idx val="1"/>
            <c:bubble3D val="0"/>
            <c:spPr>
              <a:ln w="12700">
                <a:solidFill>
                  <a:schemeClr val="tx1"/>
                </a:solidFill>
                <a:prstDash val="solid"/>
              </a:ln>
            </c:spPr>
          </c:dPt>
          <c:xVal>
            <c:numRef>
              <c:f>DriftOff!$AK$88:$AK$89</c:f>
              <c:numCache>
                <c:formatCode>0.0" m"</c:formatCode>
                <c:ptCount val="2"/>
                <c:pt idx="0">
                  <c:v>84.000000000000014</c:v>
                </c:pt>
                <c:pt idx="1">
                  <c:v>-84.000000000000014</c:v>
                </c:pt>
              </c:numCache>
            </c:numRef>
          </c:xVal>
          <c:yVal>
            <c:numRef>
              <c:f>DriftOff!$AJ$88:$AJ$89</c:f>
              <c:numCache>
                <c:formatCode>0.00</c:formatCode>
                <c:ptCount val="2"/>
                <c:pt idx="0">
                  <c:v>0</c:v>
                </c:pt>
                <c:pt idx="1">
                  <c:v>0</c:v>
                </c:pt>
              </c:numCache>
            </c:numRef>
          </c:yVal>
          <c:smooth val="0"/>
        </c:ser>
        <c:ser>
          <c:idx val="1"/>
          <c:order val="4"/>
          <c:tx>
            <c:strRef>
              <c:f>DriftOff!$C$41</c:f>
              <c:strCache>
                <c:ptCount val="1"/>
                <c:pt idx="0">
                  <c:v>Current Position:</c:v>
                </c:pt>
              </c:strCache>
            </c:strRef>
          </c:tx>
          <c:spPr>
            <a:ln>
              <a:noFill/>
            </a:ln>
          </c:spPr>
          <c:xVal>
            <c:numRef>
              <c:f>DriftOff!$K$41</c:f>
              <c:numCache>
                <c:formatCode>0.0</c:formatCode>
                <c:ptCount val="1"/>
                <c:pt idx="0">
                  <c:v>2</c:v>
                </c:pt>
              </c:numCache>
            </c:numRef>
          </c:xVal>
          <c:yVal>
            <c:numRef>
              <c:f>DriftOff!$G$41</c:f>
              <c:numCache>
                <c:formatCode>0.0</c:formatCode>
                <c:ptCount val="1"/>
                <c:pt idx="0">
                  <c:v>-1</c:v>
                </c:pt>
              </c:numCache>
            </c:numRef>
          </c:yVal>
          <c:smooth val="1"/>
        </c:ser>
        <c:ser>
          <c:idx val="9"/>
          <c:order val="5"/>
          <c:tx>
            <c:v>Vessel Heading</c:v>
          </c:tx>
          <c:spPr>
            <a:ln w="25400">
              <a:solidFill>
                <a:srgbClr val="000000"/>
              </a:solidFill>
              <a:prstDash val="solid"/>
            </a:ln>
          </c:spPr>
          <c:marker>
            <c:symbol val="none"/>
          </c:marker>
          <c:xVal>
            <c:numRef>
              <c:f>DriftOff!$BA$60:$BA$64</c:f>
              <c:numCache>
                <c:formatCode>0.00</c:formatCode>
                <c:ptCount val="5"/>
                <c:pt idx="0">
                  <c:v>2</c:v>
                </c:pt>
                <c:pt idx="1">
                  <c:v>17.242047106606122</c:v>
                </c:pt>
                <c:pt idx="2">
                  <c:v>12.374377044079569</c:v>
                </c:pt>
                <c:pt idx="3">
                  <c:v>12.941841049382869</c:v>
                </c:pt>
                <c:pt idx="4">
                  <c:v>17.242047106606122</c:v>
                </c:pt>
              </c:numCache>
            </c:numRef>
          </c:xVal>
          <c:yVal>
            <c:numRef>
              <c:f>DriftOff!$BB$60:$BB$64</c:f>
              <c:numCache>
                <c:formatCode>0.00</c:formatCode>
                <c:ptCount val="5"/>
                <c:pt idx="0">
                  <c:v>-1</c:v>
                </c:pt>
                <c:pt idx="1">
                  <c:v>7.7999999999999989</c:v>
                </c:pt>
                <c:pt idx="2">
                  <c:v>5.6449003715085793</c:v>
                </c:pt>
                <c:pt idx="3">
                  <c:v>4.6620238828567304</c:v>
                </c:pt>
                <c:pt idx="4">
                  <c:v>7.7999999999999989</c:v>
                </c:pt>
              </c:numCache>
            </c:numRef>
          </c:yVal>
          <c:smooth val="0"/>
        </c:ser>
        <c:ser>
          <c:idx val="13"/>
          <c:order val="6"/>
          <c:tx>
            <c:v>Drift Path</c:v>
          </c:tx>
          <c:spPr>
            <a:ln w="12700">
              <a:solidFill>
                <a:srgbClr val="FF00FF"/>
              </a:solidFill>
              <a:prstDash val="solid"/>
            </a:ln>
          </c:spPr>
          <c:marker>
            <c:symbol val="none"/>
          </c:marker>
          <c:xVal>
            <c:numRef>
              <c:f>DriftOff!$R$60:$R$1107</c:f>
              <c:numCache>
                <c:formatCode>0.00</c:formatCode>
                <c:ptCount val="1048"/>
                <c:pt idx="0">
                  <c:v>2</c:v>
                </c:pt>
                <c:pt idx="1">
                  <c:v>1.9939227575628233</c:v>
                </c:pt>
                <c:pt idx="2">
                  <c:v>1.9757320098717563</c:v>
                </c:pt>
                <c:pt idx="3">
                  <c:v>1.9454894637694562</c:v>
                </c:pt>
                <c:pt idx="4">
                  <c:v>1.9032558415001577</c:v>
                </c:pt>
                <c:pt idx="5">
                  <c:v>1.84909090033693</c:v>
                </c:pt>
                <c:pt idx="6">
                  <c:v>1.783053451917548</c:v>
                </c:pt>
                <c:pt idx="7">
                  <c:v>1.7052013813050899</c:v>
                </c:pt>
                <c:pt idx="8">
                  <c:v>1.6155916657895801</c:v>
                </c:pt>
                <c:pt idx="9">
                  <c:v>1.5142803934472546</c:v>
                </c:pt>
                <c:pt idx="10">
                  <c:v>1.4013227814743403</c:v>
                </c:pt>
                <c:pt idx="11">
                  <c:v>1.2767731943125837</c:v>
                </c:pt>
                <c:pt idx="12">
                  <c:v>1.1406851615841458</c:v>
                </c:pt>
                <c:pt idx="13">
                  <c:v>0.99311139585393582</c:v>
                </c:pt>
                <c:pt idx="14">
                  <c:v>0.83410381023793789</c:v>
                </c:pt>
                <c:pt idx="15">
                  <c:v>0.66371353587661441</c:v>
                </c:pt>
                <c:pt idx="16">
                  <c:v>0.48199093929307185</c:v>
                </c:pt>
                <c:pt idx="17">
                  <c:v>0.28898563965630752</c:v>
                </c:pt>
                <c:pt idx="18">
                  <c:v>8.474652597055532E-2</c:v>
                </c:pt>
                <c:pt idx="19">
                  <c:v>-0.13067822578749813</c:v>
                </c:pt>
                <c:pt idx="20">
                  <c:v>-0.35724113556103348</c:v>
                </c:pt>
                <c:pt idx="21">
                  <c:v>-0.59489540211148706</c:v>
                </c:pt>
                <c:pt idx="22">
                  <c:v>-0.84359488589863951</c:v>
                </c:pt>
                <c:pt idx="23">
                  <c:v>-1.1032940919170451</c:v>
                </c:pt>
                <c:pt idx="24">
                  <c:v>-1.3739481524623969</c:v>
                </c:pt>
                <c:pt idx="25">
                  <c:v>-1.6555128098003202</c:v>
                </c:pt>
                <c:pt idx="26">
                  <c:v>-1.9479443987089236</c:v>
                </c:pt>
                <c:pt idx="27">
                  <c:v>-2.2511998288652282</c:v>
                </c:pt>
                <c:pt idx="28">
                  <c:v>-2.5652365670443205</c:v>
                </c:pt>
                <c:pt idx="29">
                  <c:v>-2.8900126190987563</c:v>
                </c:pt>
                <c:pt idx="30">
                  <c:v>-3.2254865116843892</c:v>
                </c:pt>
                <c:pt idx="31">
                  <c:v>-3.5716172736973766</c:v>
                </c:pt>
                <c:pt idx="32">
                  <c:v>-3.9283644173857128</c:v>
                </c:pt>
                <c:pt idx="33">
                  <c:v>-4.2956879190976789</c:v>
                </c:pt>
                <c:pt idx="34">
                  <c:v>-4.6735482005271169</c:v>
                </c:pt>
                <c:pt idx="35">
                  <c:v>-5.061906120268711</c:v>
                </c:pt>
                <c:pt idx="36">
                  <c:v>-5.4607229816046887</c:v>
                </c:pt>
                <c:pt idx="37">
                  <c:v>-5.8699605445431553</c:v>
                </c:pt>
                <c:pt idx="38">
                  <c:v>-6.289581038469569</c:v>
                </c:pt>
                <c:pt idx="39">
                  <c:v>-6.7195471753643572</c:v>
                </c:pt>
                <c:pt idx="40">
                  <c:v>-7.1598221635997374</c:v>
                </c:pt>
                <c:pt idx="41">
                  <c:v>-7.6103697223313205</c:v>
                </c:pt>
                <c:pt idx="42">
                  <c:v>-8.0711540965029389</c:v>
                </c:pt>
                <c:pt idx="43">
                  <c:v>-8.542140072486486</c:v>
                </c:pt>
                <c:pt idx="44">
                  <c:v>-9.0232929943822224</c:v>
                </c:pt>
                <c:pt idx="45">
                  <c:v>-9.5145787810092539</c:v>
                </c:pt>
                <c:pt idx="46">
                  <c:v>-10.015963943620495</c:v>
                </c:pt>
                <c:pt idx="47">
                  <c:v>-10.527415604381684</c:v>
                </c:pt>
                <c:pt idx="48">
                  <c:v>-11.048901515659644</c:v>
                </c:pt>
                <c:pt idx="49">
                  <c:v>-11.580390080171298</c:v>
                </c:pt>
                <c:pt idx="50">
                  <c:v>-12.121850372051712</c:v>
                </c:pt>
                <c:pt idx="51">
                  <c:v>-12.673252158906948</c:v>
                </c:pt>
                <c:pt idx="52">
                  <c:v>-13.234565924925423</c:v>
                </c:pt>
                <c:pt idx="53">
                  <c:v>-13.805762894811114</c:v>
                </c:pt>
                <c:pt idx="54">
                  <c:v>-14.386815053794306</c:v>
                </c:pt>
                <c:pt idx="55">
                  <c:v>-14.977695159057509</c:v>
                </c:pt>
                <c:pt idx="56">
                  <c:v>-15.578376749187536</c:v>
                </c:pt>
                <c:pt idx="57">
                  <c:v>-16.188834154461691</c:v>
                </c:pt>
                <c:pt idx="58">
                  <c:v>-16.809042508134542</c:v>
                </c:pt>
                <c:pt idx="59">
                  <c:v>-17.438977758832117</c:v>
                </c:pt>
                <c:pt idx="60">
                  <c:v>-18.078616684168956</c:v>
                </c:pt>
                <c:pt idx="61">
                  <c:v>-18.727936905712291</c:v>
                </c:pt>
                <c:pt idx="62">
                  <c:v>-19.386916905426364</c:v>
                </c:pt>
                <c:pt idx="63">
                  <c:v>-20.055536043738527</c:v>
                </c:pt>
                <c:pt idx="64">
                  <c:v>-20.733774579377304</c:v>
                </c:pt>
                <c:pt idx="65">
                  <c:v>-21.421613691140706</c:v>
                </c:pt>
                <c:pt idx="66">
                  <c:v>-22.1190355017611</c:v>
                </c:pt>
                <c:pt idx="67">
                  <c:v>-22.82602310266741</c:v>
                </c:pt>
                <c:pt idx="68">
                  <c:v>-23.542560537392241</c:v>
                </c:pt>
                <c:pt idx="69">
                  <c:v>-24.268632658595493</c:v>
                </c:pt>
                <c:pt idx="70">
                  <c:v>-25.004224926432936</c:v>
                </c:pt>
                <c:pt idx="71">
                  <c:v>-25.74932320400826</c:v>
                </c:pt>
                <c:pt idx="72">
                  <c:v>-26.503913552800121</c:v>
                </c:pt>
                <c:pt idx="73">
                  <c:v>-27.267982028018444</c:v>
                </c:pt>
                <c:pt idx="74">
                  <c:v>-28.041514473901241</c:v>
                </c:pt>
                <c:pt idx="75">
                  <c:v>-28.824496319022803</c:v>
                </c:pt>
                <c:pt idx="76">
                  <c:v>-29.616912371746253</c:v>
                </c:pt>
                <c:pt idx="77">
                  <c:v>-30.418746616018783</c:v>
                </c:pt>
                <c:pt idx="78">
                  <c:v>-31.229982007776087</c:v>
                </c:pt>
                <c:pt idx="79">
                  <c:v>-32.050600272532876</c:v>
                </c:pt>
                <c:pt idx="80">
                  <c:v>-32.880581735225313</c:v>
                </c:pt>
                <c:pt idx="81">
                  <c:v>-33.719905332123538</c:v>
                </c:pt>
                <c:pt idx="82">
                  <c:v>-34.568548778243837</c:v>
                </c:pt>
                <c:pt idx="83">
                  <c:v>-35.426488750264561</c:v>
                </c:pt>
                <c:pt idx="84">
                  <c:v>-36.293701065662837</c:v>
                </c:pt>
                <c:pt idx="85">
                  <c:v>-37.170160857844074</c:v>
                </c:pt>
                <c:pt idx="86">
                  <c:v>-38.05584274713479</c:v>
                </c:pt>
                <c:pt idx="87">
                  <c:v>-38.950721007548545</c:v>
                </c:pt>
                <c:pt idx="88">
                  <c:v>-39.854769729267012</c:v>
                </c:pt>
                <c:pt idx="89">
                  <c:v>-40.767962976805592</c:v>
                </c:pt>
                <c:pt idx="90">
                  <c:v>-41.690274942855041</c:v>
                </c:pt>
                <c:pt idx="91">
                  <c:v>-42.621680097805658</c:v>
                </c:pt>
                <c:pt idx="92">
                  <c:v>-43.562153328135793</c:v>
                </c:pt>
                <c:pt idx="93">
                  <c:v>-44.511669985375967</c:v>
                </c:pt>
                <c:pt idx="94">
                  <c:v>-45.470205800501745</c:v>
                </c:pt>
                <c:pt idx="95">
                  <c:v>-46.437736770925909</c:v>
                </c:pt>
                <c:pt idx="96">
                  <c:v>-47.414239053292754</c:v>
                </c:pt>
                <c:pt idx="97">
                  <c:v>-48.39968886240063</c:v>
                </c:pt>
                <c:pt idx="98">
                  <c:v>-49.39406237600965</c:v>
                </c:pt>
                <c:pt idx="99">
                  <c:v>-50.397335645299968</c:v>
                </c:pt>
                <c:pt idx="100">
                  <c:v>-51.409484510755135</c:v>
                </c:pt>
                <c:pt idx="101">
                  <c:v>-52.430484523253767</c:v>
                </c:pt>
                <c:pt idx="102">
                  <c:v>-53.460310870161926</c:v>
                </c:pt>
                <c:pt idx="103">
                  <c:v>-54.49893830622733</c:v>
                </c:pt>
                <c:pt idx="104">
                  <c:v>-55.546341089085722</c:v>
                </c:pt>
                <c:pt idx="105">
                  <c:v>-56.602492919192464</c:v>
                </c:pt>
                <c:pt idx="106">
                  <c:v>-57.667366884505128</c:v>
                </c:pt>
                <c:pt idx="107">
                  <c:v>-58.740935425522643</c:v>
                </c:pt>
                <c:pt idx="108">
                  <c:v>-59.823170350529097</c:v>
                </c:pt>
                <c:pt idx="109">
                  <c:v>-60.914042872266009</c:v>
                </c:pt>
                <c:pt idx="110">
                  <c:v>-62.013523644121015</c:v>
                </c:pt>
                <c:pt idx="111">
                  <c:v>-63.121582794754374</c:v>
                </c:pt>
                <c:pt idx="112">
                  <c:v>-64.238189961236756</c:v>
                </c:pt>
                <c:pt idx="113">
                  <c:v>-65.363314320763862</c:v>
                </c:pt>
                <c:pt idx="114">
                  <c:v>-66.496924621006769</c:v>
                </c:pt>
                <c:pt idx="115">
                  <c:v>-67.638989209150026</c:v>
                </c:pt>
                <c:pt idx="116">
                  <c:v>-68.789476059663897</c:v>
                </c:pt>
                <c:pt idx="117">
                  <c:v>-69.948352800852007</c:v>
                </c:pt>
                <c:pt idx="118">
                  <c:v>-71.115586740209821</c:v>
                </c:pt>
                <c:pt idx="119">
                  <c:v>-72.291144888625766</c:v>
                </c:pt>
                <c:pt idx="120">
                  <c:v>-73.474993983451469</c:v>
                </c:pt>
                <c:pt idx="121">
                  <c:v>-74.667100510464934</c:v>
                </c:pt>
                <c:pt idx="122">
                  <c:v>-75.867430724745319</c:v>
                </c:pt>
                <c:pt idx="123">
                  <c:v>-77.075950670476161</c:v>
                </c:pt>
                <c:pt idx="124">
                  <c:v>-78.292626199689678</c:v>
                </c:pt>
                <c:pt idx="125">
                  <c:v>-79.51742298996254</c:v>
                </c:pt>
                <c:pt idx="126">
                  <c:v>-80.750306561047495</c:v>
                </c:pt>
                <c:pt idx="127">
                  <c:v>-81.991242288511216</c:v>
                </c:pt>
                <c:pt idx="128">
                  <c:v>-83.240195407071468</c:v>
                </c:pt>
                <c:pt idx="129">
                  <c:v>-84.49713100701139</c:v>
                </c:pt>
                <c:pt idx="130">
                  <c:v>-85.762014030496118</c:v>
                </c:pt>
                <c:pt idx="131">
                  <c:v>-87.034809268473239</c:v>
                </c:pt>
                <c:pt idx="132">
                  <c:v>-88.315481358107178</c:v>
                </c:pt>
                <c:pt idx="133">
                  <c:v>-89.603994780696894</c:v>
                </c:pt>
                <c:pt idx="134">
                  <c:v>-90.900313860027893</c:v>
                </c:pt>
                <c:pt idx="135">
                  <c:v>-92.204402761109577</c:v>
                </c:pt>
                <c:pt idx="136">
                  <c:v>-93.516225489250473</c:v>
                </c:pt>
                <c:pt idx="137">
                  <c:v>-94.835745889423805</c:v>
                </c:pt>
                <c:pt idx="138">
                  <c:v>-96.162927645877659</c:v>
                </c:pt>
                <c:pt idx="139">
                  <c:v>-97.497734281943835</c:v>
                </c:pt>
                <c:pt idx="140">
                  <c:v>-98.840129160000416</c:v>
                </c:pt>
                <c:pt idx="141">
                  <c:v>-100.1900754815437</c:v>
                </c:pt>
                <c:pt idx="142">
                  <c:v>-101.54753628732523</c:v>
                </c:pt>
                <c:pt idx="143">
                  <c:v>-102.91247445751064</c:v>
                </c:pt>
                <c:pt idx="144">
                  <c:v>-104.28485271181651</c:v>
                </c:pt>
                <c:pt idx="145">
                  <c:v>-105.66463360958237</c:v>
                </c:pt>
                <c:pt idx="146">
                  <c:v>-107.05177954973409</c:v>
                </c:pt>
                <c:pt idx="147">
                  <c:v>-108.4462527705961</c:v>
                </c:pt>
                <c:pt idx="148">
                  <c:v>-109.8480153495082</c:v>
                </c:pt>
                <c:pt idx="149">
                  <c:v>-111.25702920220392</c:v>
                </c:pt>
                <c:pt idx="150">
                  <c:v>-112.67325608190583</c:v>
                </c:pt>
              </c:numCache>
            </c:numRef>
          </c:xVal>
          <c:yVal>
            <c:numRef>
              <c:f>DriftOff!$S$60:$S$1107</c:f>
              <c:numCache>
                <c:formatCode>0.00</c:formatCode>
                <c:ptCount val="1048"/>
                <c:pt idx="0">
                  <c:v>-1</c:v>
                </c:pt>
                <c:pt idx="1">
                  <c:v>-1.0021300630177272</c:v>
                </c:pt>
                <c:pt idx="2">
                  <c:v>-1.008499564612267</c:v>
                </c:pt>
                <c:pt idx="3">
                  <c:v>-1.0190774810864061</c:v>
                </c:pt>
                <c:pt idx="4">
                  <c:v>-1.0338334503286248</c:v>
                </c:pt>
                <c:pt idx="5">
                  <c:v>-1.0527377517547241</c:v>
                </c:pt>
                <c:pt idx="6">
                  <c:v>-1.0757612863684562</c:v>
                </c:pt>
                <c:pt idx="7">
                  <c:v>-1.1028755569208213</c:v>
                </c:pt>
                <c:pt idx="8">
                  <c:v>-1.1340526481476225</c:v>
                </c:pt>
                <c:pt idx="9">
                  <c:v>-1.1692652070647673</c:v>
                </c:pt>
                <c:pt idx="10">
                  <c:v>-1.2084864233006476</c:v>
                </c:pt>
                <c:pt idx="11">
                  <c:v>-1.2516900094447201</c:v>
                </c:pt>
                <c:pt idx="12">
                  <c:v>-1.2988501813911391</c:v>
                </c:pt>
                <c:pt idx="13">
                  <c:v>-1.3499416386559639</c:v>
                </c:pt>
                <c:pt idx="14">
                  <c:v>-1.4049395446460662</c:v>
                </c:pt>
                <c:pt idx="15">
                  <c:v>-1.463819506857386</c:v>
                </c:pt>
                <c:pt idx="16">
                  <c:v>-1.5265575569796441</c:v>
                </c:pt>
                <c:pt idx="17">
                  <c:v>-1.5931301308839658</c:v>
                </c:pt>
                <c:pt idx="18">
                  <c:v>-1.6635140484691515</c:v>
                </c:pt>
                <c:pt idx="19">
                  <c:v>-1.7376864933414837</c:v>
                </c:pt>
                <c:pt idx="20">
                  <c:v>-1.8156249923020267</c:v>
                </c:pt>
                <c:pt idx="21">
                  <c:v>-1.8973073946143144</c:v>
                </c:pt>
                <c:pt idx="22">
                  <c:v>-1.9827118510240891</c:v>
                </c:pt>
                <c:pt idx="23">
                  <c:v>-2.0718167925014264</c:v>
                </c:pt>
                <c:pt idx="24">
                  <c:v>-2.1646009086740681</c:v>
                </c:pt>
                <c:pt idx="25">
                  <c:v>-2.2610431259191177</c:v>
                </c:pt>
                <c:pt idx="26">
                  <c:v>-2.3611225850783999</c:v>
                </c:pt>
                <c:pt idx="27">
                  <c:v>-2.4648186187607197</c:v>
                </c:pt>
                <c:pt idx="28">
                  <c:v>-2.5721107281919968</c:v>
                </c:pt>
                <c:pt idx="29">
                  <c:v>-2.6829785595717612</c:v>
                </c:pt>
                <c:pt idx="30">
                  <c:v>-2.7974018798917228</c:v>
                </c:pt>
                <c:pt idx="31">
                  <c:v>-2.9153605521691714</c:v>
                </c:pt>
                <c:pt idx="32">
                  <c:v>-3.0368345100446299</c:v>
                </c:pt>
                <c:pt idx="33">
                  <c:v>-3.1618037316906862</c:v>
                </c:pt>
                <c:pt idx="34">
                  <c:v>-3.2902482147586571</c:v>
                </c:pt>
                <c:pt idx="35">
                  <c:v>-3.4221479717976702</c:v>
                </c:pt>
                <c:pt idx="36">
                  <c:v>-3.5574830576087018</c:v>
                </c:pt>
                <c:pt idx="37">
                  <c:v>-3.6962336045081536</c:v>
                </c:pt>
                <c:pt idx="38">
                  <c:v>-3.8383798582630106</c:v>
                </c:pt>
                <c:pt idx="39">
                  <c:v>-3.983902214624957</c:v>
                </c:pt>
                <c:pt idx="40">
                  <c:v>-4.132781256504817</c:v>
                </c:pt>
                <c:pt idx="41">
                  <c:v>-4.2849977918275428</c:v>
                </c:pt>
                <c:pt idx="42">
                  <c:v>-4.440532892107071</c:v>
                </c:pt>
                <c:pt idx="43">
                  <c:v>-4.5993679317797742</c:v>
                </c:pt>
                <c:pt idx="44">
                  <c:v>-4.7614846283349568</c:v>
                </c:pt>
                <c:pt idx="45">
                  <c:v>-4.9268650832808127</c:v>
                </c:pt>
                <c:pt idx="46">
                  <c:v>-5.0954918239845863</c:v>
                </c:pt>
                <c:pt idx="47">
                  <c:v>-5.2673478464262677</c:v>
                </c:pt>
                <c:pt idx="48">
                  <c:v>-5.4424166589061134</c:v>
                </c:pt>
                <c:pt idx="49">
                  <c:v>-5.6206823267475494</c:v>
                </c:pt>
                <c:pt idx="50">
                  <c:v>-5.8021295180386225</c:v>
                </c:pt>
                <c:pt idx="51">
                  <c:v>-5.98674355045722</c:v>
                </c:pt>
                <c:pt idx="52">
                  <c:v>-6.1745104392276229</c:v>
                </c:pt>
                <c:pt idx="53">
                  <c:v>-6.3654169450762668</c:v>
                </c:pt>
                <c:pt idx="54">
                  <c:v>-6.5594506043952538</c:v>
                </c:pt>
                <c:pt idx="55">
                  <c:v>-6.7565997245400871</c:v>
                </c:pt>
                <c:pt idx="56">
                  <c:v>-6.9568533689884173</c:v>
                </c:pt>
                <c:pt idx="57">
                  <c:v>-7.1602013424963538</c:v>
                </c:pt>
                <c:pt idx="58">
                  <c:v>-7.366634176453557</c:v>
                </c:pt>
                <c:pt idx="59">
                  <c:v>-7.5761431143777997</c:v>
                </c:pt>
                <c:pt idx="60">
                  <c:v>-7.7887200974844424</c:v>
                </c:pt>
                <c:pt idx="61">
                  <c:v>-8.0043577502609278</c:v>
                </c:pt>
                <c:pt idx="62">
                  <c:v>-8.2230493659711339</c:v>
                </c:pt>
                <c:pt idx="63">
                  <c:v>-8.4447888920093384</c:v>
                </c:pt>
                <c:pt idx="64">
                  <c:v>-8.6695709150185465</c:v>
                </c:pt>
                <c:pt idx="65">
                  <c:v>-8.8973906456833625</c:v>
                </c:pt>
                <c:pt idx="66">
                  <c:v>-9.1282439031032947</c:v>
                </c:pt>
                <c:pt idx="67">
                  <c:v>-9.3621270987159377</c:v>
                </c:pt>
                <c:pt idx="68">
                  <c:v>-9.5990372217304767</c:v>
                </c:pt>
                <c:pt idx="69">
                  <c:v>-9.838971829965379</c:v>
                </c:pt>
                <c:pt idx="70">
                  <c:v>-10.081929042359233</c:v>
                </c:pt>
                <c:pt idx="71">
                  <c:v>-10.327907530145156</c:v>
                </c:pt>
                <c:pt idx="72">
                  <c:v>-10.576906506334335</c:v>
                </c:pt>
                <c:pt idx="73">
                  <c:v>-10.828925713306544</c:v>
                </c:pt>
                <c:pt idx="74">
                  <c:v>-11.083965408311016</c:v>
                </c:pt>
                <c:pt idx="75">
                  <c:v>-11.342026346689876</c:v>
                </c:pt>
                <c:pt idx="76">
                  <c:v>-11.603109762647891</c:v>
                </c:pt>
                <c:pt idx="77">
                  <c:v>-11.867217347407298</c:v>
                </c:pt>
                <c:pt idx="78">
                  <c:v>-12.134351224604581</c:v>
                </c:pt>
                <c:pt idx="79">
                  <c:v>-12.404513922800927</c:v>
                </c:pt>
                <c:pt idx="80">
                  <c:v>-12.677708344130135</c:v>
                </c:pt>
                <c:pt idx="81">
                  <c:v>-12.953937724933485</c:v>
                </c:pt>
                <c:pt idx="82">
                  <c:v>-13.233205589879736</c:v>
                </c:pt>
                <c:pt idx="83">
                  <c:v>-13.515515704126301</c:v>
                </c:pt>
                <c:pt idx="84">
                  <c:v>-13.800872024268758</c:v>
                </c:pt>
                <c:pt idx="85">
                  <c:v>-14.089278648254039</c:v>
                </c:pt>
                <c:pt idx="86">
                  <c:v>-14.380739764438903</c:v>
                </c:pt>
                <c:pt idx="87">
                  <c:v>-14.675259599982008</c:v>
                </c:pt>
                <c:pt idx="88">
                  <c:v>-14.972842368763306</c:v>
                </c:pt>
                <c:pt idx="89">
                  <c:v>-15.273492219028499</c:v>
                </c:pt>
                <c:pt idx="90">
                  <c:v>-15.577213180958644</c:v>
                </c:pt>
                <c:pt idx="91">
                  <c:v>-15.884009114367858</c:v>
                </c:pt>
                <c:pt idx="92">
                  <c:v>-16.193883661682005</c:v>
                </c:pt>
                <c:pt idx="93">
                  <c:v>-16.506840262958974</c:v>
                </c:pt>
                <c:pt idx="94">
                  <c:v>-16.82288226507055</c:v>
                </c:pt>
                <c:pt idx="95">
                  <c:v>-17.142013046932817</c:v>
                </c:pt>
                <c:pt idx="96">
                  <c:v>-17.464236136831307</c:v>
                </c:pt>
                <c:pt idx="97">
                  <c:v>-17.789555321796559</c:v>
                </c:pt>
                <c:pt idx="98">
                  <c:v>-18.117974749387216</c:v>
                </c:pt>
                <c:pt idx="99">
                  <c:v>-18.449499022219261</c:v>
                </c:pt>
                <c:pt idx="100">
                  <c:v>-18.784133285561602</c:v>
                </c:pt>
                <c:pt idx="101">
                  <c:v>-19.121883308299555</c:v>
                </c:pt>
                <c:pt idx="102">
                  <c:v>-19.462755557549816</c:v>
                </c:pt>
                <c:pt idx="103">
                  <c:v>-19.806757267192513</c:v>
                </c:pt>
                <c:pt idx="104">
                  <c:v>-20.153896500568663</c:v>
                </c:pt>
                <c:pt idx="105">
                  <c:v>-20.504182207578186</c:v>
                </c:pt>
                <c:pt idx="106">
                  <c:v>-20.857624275237107</c:v>
                </c:pt>
                <c:pt idx="107">
                  <c:v>-21.214233536272566</c:v>
                </c:pt>
                <c:pt idx="108">
                  <c:v>-21.574021668444775</c:v>
                </c:pt>
                <c:pt idx="109">
                  <c:v>-21.937001049993487</c:v>
                </c:pt>
                <c:pt idx="110">
                  <c:v>-22.303184620753289</c:v>
                </c:pt>
                <c:pt idx="111">
                  <c:v>-22.672585751259305</c:v>
                </c:pt>
                <c:pt idx="112">
                  <c:v>-23.045218119570762</c:v>
                </c:pt>
                <c:pt idx="113">
                  <c:v>-23.421095595568687</c:v>
                </c:pt>
                <c:pt idx="114">
                  <c:v>-23.800232132510015</c:v>
                </c:pt>
                <c:pt idx="115">
                  <c:v>-24.182641665643107</c:v>
                </c:pt>
                <c:pt idx="116">
                  <c:v>-24.568338017709696</c:v>
                </c:pt>
                <c:pt idx="117">
                  <c:v>-24.957334811175034</c:v>
                </c:pt>
                <c:pt idx="118">
                  <c:v>-25.349645387042685</c:v>
                </c:pt>
                <c:pt idx="119">
                  <c:v>-25.745282730121737</c:v>
                </c:pt>
                <c:pt idx="120">
                  <c:v>-26.144259400623636</c:v>
                </c:pt>
                <c:pt idx="121">
                  <c:v>-26.546587471972629</c:v>
                </c:pt>
                <c:pt idx="122">
                  <c:v>-26.952278474718383</c:v>
                </c:pt>
                <c:pt idx="123">
                  <c:v>-27.361343346442055</c:v>
                </c:pt>
                <c:pt idx="124">
                  <c:v>-27.773792387547715</c:v>
                </c:pt>
                <c:pt idx="125">
                  <c:v>-28.189635222829956</c:v>
                </c:pt>
                <c:pt idx="126">
                  <c:v>-28.60888076881551</c:v>
                </c:pt>
                <c:pt idx="127">
                  <c:v>-29.031537215757371</c:v>
                </c:pt>
                <c:pt idx="128">
                  <c:v>-29.457612057846582</c:v>
                </c:pt>
                <c:pt idx="129">
                  <c:v>-29.887112154940663</c:v>
                </c:pt>
                <c:pt idx="130">
                  <c:v>-30.32004379355644</c:v>
                </c:pt>
                <c:pt idx="131">
                  <c:v>-30.756412743861056</c:v>
                </c:pt>
                <c:pt idx="132">
                  <c:v>-31.196224312826679</c:v>
                </c:pt>
                <c:pt idx="133">
                  <c:v>-31.639483393717384</c:v>
                </c:pt>
                <c:pt idx="134">
                  <c:v>-32.086194512074549</c:v>
                </c:pt>
                <c:pt idx="135">
                  <c:v>-32.536361868364473</c:v>
                </c:pt>
                <c:pt idx="136">
                  <c:v>-32.989989377449277</c:v>
                </c:pt>
                <c:pt idx="137">
                  <c:v>-33.447080705039049</c:v>
                </c:pt>
                <c:pt idx="138">
                  <c:v>-33.90763930127958</c:v>
                </c:pt>
                <c:pt idx="139">
                  <c:v>-34.371668431627114</c:v>
                </c:pt>
                <c:pt idx="140">
                  <c:v>-34.839171205157385</c:v>
                </c:pt>
                <c:pt idx="141">
                  <c:v>-35.310150600452651</c:v>
                </c:pt>
                <c:pt idx="142">
                  <c:v>-35.784609489206595</c:v>
                </c:pt>
                <c:pt idx="143">
                  <c:v>-36.262550657682738</c:v>
                </c:pt>
                <c:pt idx="144">
                  <c:v>-36.743976826158239</c:v>
                </c:pt>
                <c:pt idx="145">
                  <c:v>-37.228890666480503</c:v>
                </c:pt>
                <c:pt idx="146">
                  <c:v>-37.717294817860122</c:v>
                </c:pt>
                <c:pt idx="147">
                  <c:v>-38.209191901019025</c:v>
                </c:pt>
                <c:pt idx="148">
                  <c:v>-38.704584530808816</c:v>
                </c:pt>
                <c:pt idx="149">
                  <c:v>-39.203475327409521</c:v>
                </c:pt>
                <c:pt idx="150">
                  <c:v>-39.705866926214583</c:v>
                </c:pt>
              </c:numCache>
            </c:numRef>
          </c:yVal>
          <c:smooth val="1"/>
        </c:ser>
        <c:ser>
          <c:idx val="5"/>
          <c:order val="7"/>
          <c:tx>
            <c:strRef>
              <c:f>DriftOff!$AI$58</c:f>
              <c:strCache>
                <c:ptCount val="1"/>
                <c:pt idx="0">
                  <c:v>Yellow Watch Circle (Op Manual)</c:v>
                </c:pt>
              </c:strCache>
            </c:strRef>
          </c:tx>
          <c:spPr>
            <a:ln w="25400">
              <a:solidFill>
                <a:srgbClr val="FFCC00"/>
              </a:solidFill>
              <a:prstDash val="solid"/>
            </a:ln>
          </c:spPr>
          <c:marker>
            <c:symbol val="none"/>
          </c:marker>
          <c:xVal>
            <c:numRef>
              <c:f>DriftOff!$AI$61:$AI$85</c:f>
              <c:numCache>
                <c:formatCode>0.000</c:formatCode>
                <c:ptCount val="25"/>
                <c:pt idx="0">
                  <c:v>23</c:v>
                </c:pt>
                <c:pt idx="1">
                  <c:v>22.318516525781366</c:v>
                </c:pt>
                <c:pt idx="2">
                  <c:v>20.320508075688775</c:v>
                </c:pt>
                <c:pt idx="3">
                  <c:v>17.142135623730951</c:v>
                </c:pt>
                <c:pt idx="4">
                  <c:v>13.000000000000002</c:v>
                </c:pt>
                <c:pt idx="5">
                  <c:v>8.1763809020504148</c:v>
                </c:pt>
                <c:pt idx="6">
                  <c:v>3.0000000000000013</c:v>
                </c:pt>
                <c:pt idx="7">
                  <c:v>-2.1763809020504166</c:v>
                </c:pt>
                <c:pt idx="8">
                  <c:v>-6.9999999999999964</c:v>
                </c:pt>
                <c:pt idx="9">
                  <c:v>-11.142135623730949</c:v>
                </c:pt>
                <c:pt idx="10">
                  <c:v>-14.320508075688775</c:v>
                </c:pt>
                <c:pt idx="11">
                  <c:v>-16.318516525781362</c:v>
                </c:pt>
                <c:pt idx="12">
                  <c:v>-17</c:v>
                </c:pt>
                <c:pt idx="13">
                  <c:v>-16.318516525781366</c:v>
                </c:pt>
                <c:pt idx="14">
                  <c:v>-14.320508075688771</c:v>
                </c:pt>
                <c:pt idx="15">
                  <c:v>-11.142135623730955</c:v>
                </c:pt>
                <c:pt idx="16">
                  <c:v>-7.0000000000000089</c:v>
                </c:pt>
                <c:pt idx="17">
                  <c:v>-2.176380902050413</c:v>
                </c:pt>
                <c:pt idx="18">
                  <c:v>2.9999999999999964</c:v>
                </c:pt>
                <c:pt idx="19">
                  <c:v>8.1763809020504059</c:v>
                </c:pt>
                <c:pt idx="20">
                  <c:v>13.000000000000002</c:v>
                </c:pt>
                <c:pt idx="21">
                  <c:v>17.142135623730947</c:v>
                </c:pt>
                <c:pt idx="22">
                  <c:v>20.320508075688767</c:v>
                </c:pt>
                <c:pt idx="23">
                  <c:v>22.318516525781366</c:v>
                </c:pt>
                <c:pt idx="24">
                  <c:v>23</c:v>
                </c:pt>
              </c:numCache>
            </c:numRef>
          </c:xVal>
          <c:yVal>
            <c:numRef>
              <c:f>DriftOff!$AJ$61:$AJ$85</c:f>
              <c:numCache>
                <c:formatCode>0.000</c:formatCode>
                <c:ptCount val="25"/>
                <c:pt idx="0">
                  <c:v>1</c:v>
                </c:pt>
                <c:pt idx="1">
                  <c:v>6.1763809020504148</c:v>
                </c:pt>
                <c:pt idx="2">
                  <c:v>10.999999999999998</c:v>
                </c:pt>
                <c:pt idx="3">
                  <c:v>15.142135623730949</c:v>
                </c:pt>
                <c:pt idx="4">
                  <c:v>18.320508075688771</c:v>
                </c:pt>
                <c:pt idx="5">
                  <c:v>20.318516525781366</c:v>
                </c:pt>
                <c:pt idx="6">
                  <c:v>21</c:v>
                </c:pt>
                <c:pt idx="7">
                  <c:v>20.318516525781366</c:v>
                </c:pt>
                <c:pt idx="8">
                  <c:v>18.320508075688775</c:v>
                </c:pt>
                <c:pt idx="9">
                  <c:v>15.142135623730951</c:v>
                </c:pt>
                <c:pt idx="10">
                  <c:v>10.999999999999998</c:v>
                </c:pt>
                <c:pt idx="11">
                  <c:v>6.1763809020504201</c:v>
                </c:pt>
                <c:pt idx="12">
                  <c:v>1.0000000000000024</c:v>
                </c:pt>
                <c:pt idx="13">
                  <c:v>-4.1763809020504157</c:v>
                </c:pt>
                <c:pt idx="14">
                  <c:v>-9.0000000000000018</c:v>
                </c:pt>
                <c:pt idx="15">
                  <c:v>-13.142135623730949</c:v>
                </c:pt>
                <c:pt idx="16">
                  <c:v>-16.320508075688767</c:v>
                </c:pt>
                <c:pt idx="17">
                  <c:v>-18.318516525781366</c:v>
                </c:pt>
                <c:pt idx="18">
                  <c:v>-19</c:v>
                </c:pt>
                <c:pt idx="19">
                  <c:v>-18.318516525781369</c:v>
                </c:pt>
                <c:pt idx="20">
                  <c:v>-16.320508075688771</c:v>
                </c:pt>
                <c:pt idx="21">
                  <c:v>-13.142135623730955</c:v>
                </c:pt>
                <c:pt idx="22">
                  <c:v>-9.0000000000000089</c:v>
                </c:pt>
                <c:pt idx="23">
                  <c:v>-4.1763809020504139</c:v>
                </c:pt>
                <c:pt idx="24">
                  <c:v>0.99999999999999512</c:v>
                </c:pt>
              </c:numCache>
            </c:numRef>
          </c:yVal>
          <c:smooth val="1"/>
        </c:ser>
        <c:ser>
          <c:idx val="17"/>
          <c:order val="8"/>
          <c:tx>
            <c:strRef>
              <c:f>DriftOff!$AM$58</c:f>
              <c:strCache>
                <c:ptCount val="1"/>
                <c:pt idx="0">
                  <c:v>Yellow Watch Circle (by POD)</c:v>
                </c:pt>
              </c:strCache>
            </c:strRef>
          </c:tx>
          <c:spPr>
            <a:ln>
              <a:solidFill>
                <a:srgbClr val="BD9A07"/>
              </a:solidFill>
              <a:prstDash val="dashDot"/>
            </a:ln>
          </c:spPr>
          <c:marker>
            <c:symbol val="none"/>
          </c:marker>
          <c:xVal>
            <c:numRef>
              <c:f>DriftOff!$AM$61:$AM$85</c:f>
              <c:numCache>
                <c:formatCode>0.000</c:formatCode>
                <c:ptCount val="25"/>
                <c:pt idx="0">
                  <c:v>9.6</c:v>
                </c:pt>
                <c:pt idx="1">
                  <c:v>9.3751104535078511</c:v>
                </c:pt>
                <c:pt idx="2">
                  <c:v>8.7157676649772959</c:v>
                </c:pt>
                <c:pt idx="3">
                  <c:v>7.6669047558312133</c:v>
                </c:pt>
                <c:pt idx="4">
                  <c:v>6.3000000000000007</c:v>
                </c:pt>
                <c:pt idx="5">
                  <c:v>4.7082056976766369</c:v>
                </c:pt>
                <c:pt idx="6">
                  <c:v>3.0000000000000004</c:v>
                </c:pt>
                <c:pt idx="7">
                  <c:v>1.2917943023233625</c:v>
                </c:pt>
                <c:pt idx="8">
                  <c:v>-0.29999999999999849</c:v>
                </c:pt>
                <c:pt idx="9">
                  <c:v>-1.6669047558312133</c:v>
                </c:pt>
                <c:pt idx="10">
                  <c:v>-2.715767664977295</c:v>
                </c:pt>
                <c:pt idx="11">
                  <c:v>-3.3751104535078502</c:v>
                </c:pt>
                <c:pt idx="12">
                  <c:v>-3.5999999999999996</c:v>
                </c:pt>
                <c:pt idx="13">
                  <c:v>-3.3751104535078502</c:v>
                </c:pt>
                <c:pt idx="14">
                  <c:v>-2.7157676649772942</c:v>
                </c:pt>
                <c:pt idx="15">
                  <c:v>-1.6669047558312142</c:v>
                </c:pt>
                <c:pt idx="16">
                  <c:v>-0.30000000000000293</c:v>
                </c:pt>
                <c:pt idx="17">
                  <c:v>1.291794302323364</c:v>
                </c:pt>
                <c:pt idx="18">
                  <c:v>2.9999999999999987</c:v>
                </c:pt>
                <c:pt idx="19">
                  <c:v>4.7082056976766342</c:v>
                </c:pt>
                <c:pt idx="20">
                  <c:v>6.3000000000000007</c:v>
                </c:pt>
                <c:pt idx="21">
                  <c:v>7.6669047558312124</c:v>
                </c:pt>
                <c:pt idx="22">
                  <c:v>8.7157676649772924</c:v>
                </c:pt>
                <c:pt idx="23">
                  <c:v>9.3751104535078511</c:v>
                </c:pt>
                <c:pt idx="24">
                  <c:v>9.6</c:v>
                </c:pt>
              </c:numCache>
            </c:numRef>
          </c:xVal>
          <c:yVal>
            <c:numRef>
              <c:f>DriftOff!$AN$61:$AN$85</c:f>
              <c:numCache>
                <c:formatCode>0.000</c:formatCode>
                <c:ptCount val="25"/>
                <c:pt idx="0">
                  <c:v>1</c:v>
                </c:pt>
                <c:pt idx="1">
                  <c:v>2.7082056976766369</c:v>
                </c:pt>
                <c:pt idx="2">
                  <c:v>4.2999999999999989</c:v>
                </c:pt>
                <c:pt idx="3">
                  <c:v>5.6669047558312133</c:v>
                </c:pt>
                <c:pt idx="4">
                  <c:v>6.7157676649772942</c:v>
                </c:pt>
                <c:pt idx="5">
                  <c:v>7.3751104535078502</c:v>
                </c:pt>
                <c:pt idx="6">
                  <c:v>7.6</c:v>
                </c:pt>
                <c:pt idx="7">
                  <c:v>7.3751104535078502</c:v>
                </c:pt>
                <c:pt idx="8">
                  <c:v>6.715767664977295</c:v>
                </c:pt>
                <c:pt idx="9">
                  <c:v>5.6669047558312133</c:v>
                </c:pt>
                <c:pt idx="10">
                  <c:v>4.2999999999999989</c:v>
                </c:pt>
                <c:pt idx="11">
                  <c:v>2.7082056976766387</c:v>
                </c:pt>
                <c:pt idx="12">
                  <c:v>1.0000000000000009</c:v>
                </c:pt>
                <c:pt idx="13">
                  <c:v>-0.7082056976766371</c:v>
                </c:pt>
                <c:pt idx="14">
                  <c:v>-2.3000000000000007</c:v>
                </c:pt>
                <c:pt idx="15">
                  <c:v>-3.6669047558312133</c:v>
                </c:pt>
                <c:pt idx="16">
                  <c:v>-4.7157676649772933</c:v>
                </c:pt>
                <c:pt idx="17">
                  <c:v>-5.3751104535078502</c:v>
                </c:pt>
                <c:pt idx="18">
                  <c:v>-5.6</c:v>
                </c:pt>
                <c:pt idx="19">
                  <c:v>-5.3751104535078511</c:v>
                </c:pt>
                <c:pt idx="20">
                  <c:v>-4.7157676649772942</c:v>
                </c:pt>
                <c:pt idx="21">
                  <c:v>-3.6669047558312142</c:v>
                </c:pt>
                <c:pt idx="22">
                  <c:v>-2.3000000000000029</c:v>
                </c:pt>
                <c:pt idx="23">
                  <c:v>-0.70820569767663644</c:v>
                </c:pt>
                <c:pt idx="24">
                  <c:v>0.99999999999999833</c:v>
                </c:pt>
              </c:numCache>
            </c:numRef>
          </c:yVal>
          <c:smooth val="1"/>
        </c:ser>
        <c:ser>
          <c:idx val="14"/>
          <c:order val="9"/>
          <c:tx>
            <c:strRef>
              <c:f>DriftOff!$AR$58</c:f>
              <c:strCache>
                <c:ptCount val="1"/>
                <c:pt idx="0">
                  <c:v>Semi Yellow</c:v>
                </c:pt>
              </c:strCache>
            </c:strRef>
          </c:tx>
          <c:spPr>
            <a:ln>
              <a:solidFill>
                <a:srgbClr val="FFC000"/>
              </a:solidFill>
              <a:prstDash val="sysDash"/>
            </a:ln>
          </c:spPr>
          <c:marker>
            <c:symbol val="none"/>
          </c:marker>
          <c:xVal>
            <c:numRef>
              <c:f>DriftOff!$AR$64:$AR$70</c:f>
              <c:numCache>
                <c:formatCode>0.000</c:formatCode>
                <c:ptCount val="7"/>
                <c:pt idx="0">
                  <c:v>-17.357141272317271</c:v>
                </c:pt>
                <c:pt idx="1">
                  <c:v>-23.186427405544848</c:v>
                </c:pt>
                <c:pt idx="2">
                  <c:v>-25.347243361756902</c:v>
                </c:pt>
                <c:pt idx="3">
                  <c:v>-23.692333104454789</c:v>
                </c:pt>
                <c:pt idx="4">
                  <c:v>-18.334476032805156</c:v>
                </c:pt>
                <c:pt idx="5">
                  <c:v>-9.6388012519634501</c:v>
                </c:pt>
                <c:pt idx="6">
                  <c:v>1.8020953720379609</c:v>
                </c:pt>
              </c:numCache>
            </c:numRef>
          </c:xVal>
          <c:yVal>
            <c:numRef>
              <c:f>DriftOff!$AS$64:$AS$70</c:f>
              <c:numCache>
                <c:formatCode>0.000</c:formatCode>
                <c:ptCount val="7"/>
                <c:pt idx="0">
                  <c:v>36.734612244385808</c:v>
                </c:pt>
                <c:pt idx="1">
                  <c:v>23.328171975174719</c:v>
                </c:pt>
                <c:pt idx="2">
                  <c:v>8.8698148099106309</c:v>
                </c:pt>
                <c:pt idx="3">
                  <c:v>-5.6551461041586233</c:v>
                </c:pt>
                <c:pt idx="4">
                  <c:v>-19.256858684372116</c:v>
                </c:pt>
                <c:pt idx="5">
                  <c:v>-31.008388696281102</c:v>
                </c:pt>
                <c:pt idx="6">
                  <c:v>-40.108888789895524</c:v>
                </c:pt>
              </c:numCache>
            </c:numRef>
          </c:yVal>
          <c:smooth val="1"/>
        </c:ser>
        <c:ser>
          <c:idx val="0"/>
          <c:order val="10"/>
          <c:tx>
            <c:strRef>
              <c:f>DriftOff!$AG$58</c:f>
              <c:strCache>
                <c:ptCount val="1"/>
                <c:pt idx="0">
                  <c:v>Red Watch Circle (Op Manual)</c:v>
                </c:pt>
              </c:strCache>
            </c:strRef>
          </c:tx>
          <c:spPr>
            <a:ln w="25400">
              <a:solidFill>
                <a:srgbClr val="FF0000"/>
              </a:solidFill>
              <a:prstDash val="solid"/>
            </a:ln>
          </c:spPr>
          <c:marker>
            <c:symbol val="none"/>
          </c:marker>
          <c:xVal>
            <c:numRef>
              <c:f>DriftOff!$AG$61:$AG$85</c:f>
              <c:numCache>
                <c:formatCode>0.000</c:formatCode>
                <c:ptCount val="25"/>
                <c:pt idx="0">
                  <c:v>43</c:v>
                </c:pt>
                <c:pt idx="1">
                  <c:v>41.637033051562732</c:v>
                </c:pt>
                <c:pt idx="2">
                  <c:v>37.641016151377549</c:v>
                </c:pt>
                <c:pt idx="3">
                  <c:v>31.284271247461902</c:v>
                </c:pt>
                <c:pt idx="4">
                  <c:v>23.000000000000004</c:v>
                </c:pt>
                <c:pt idx="5">
                  <c:v>13.35276180410083</c:v>
                </c:pt>
                <c:pt idx="6">
                  <c:v>3.0000000000000027</c:v>
                </c:pt>
                <c:pt idx="7">
                  <c:v>-7.3527618041008331</c:v>
                </c:pt>
                <c:pt idx="8">
                  <c:v>-16.999999999999993</c:v>
                </c:pt>
                <c:pt idx="9">
                  <c:v>-25.284271247461898</c:v>
                </c:pt>
                <c:pt idx="10">
                  <c:v>-31.641016151377549</c:v>
                </c:pt>
                <c:pt idx="11">
                  <c:v>-35.637033051562724</c:v>
                </c:pt>
                <c:pt idx="12">
                  <c:v>-37</c:v>
                </c:pt>
                <c:pt idx="13">
                  <c:v>-35.637033051562732</c:v>
                </c:pt>
                <c:pt idx="14">
                  <c:v>-31.641016151377542</c:v>
                </c:pt>
                <c:pt idx="15">
                  <c:v>-25.284271247461909</c:v>
                </c:pt>
                <c:pt idx="16">
                  <c:v>-17.000000000000018</c:v>
                </c:pt>
                <c:pt idx="17">
                  <c:v>-7.352761804100826</c:v>
                </c:pt>
                <c:pt idx="18">
                  <c:v>2.9999999999999925</c:v>
                </c:pt>
                <c:pt idx="19">
                  <c:v>13.352761804100812</c:v>
                </c:pt>
                <c:pt idx="20">
                  <c:v>23.000000000000004</c:v>
                </c:pt>
                <c:pt idx="21">
                  <c:v>31.284271247461895</c:v>
                </c:pt>
                <c:pt idx="22">
                  <c:v>37.641016151377535</c:v>
                </c:pt>
                <c:pt idx="23">
                  <c:v>41.637033051562732</c:v>
                </c:pt>
                <c:pt idx="24">
                  <c:v>43</c:v>
                </c:pt>
              </c:numCache>
            </c:numRef>
          </c:xVal>
          <c:yVal>
            <c:numRef>
              <c:f>DriftOff!$AH$61:$AH$85</c:f>
              <c:numCache>
                <c:formatCode>0.000</c:formatCode>
                <c:ptCount val="25"/>
                <c:pt idx="0">
                  <c:v>1</c:v>
                </c:pt>
                <c:pt idx="1">
                  <c:v>11.35276180410083</c:v>
                </c:pt>
                <c:pt idx="2">
                  <c:v>20.999999999999996</c:v>
                </c:pt>
                <c:pt idx="3">
                  <c:v>29.284271247461898</c:v>
                </c:pt>
                <c:pt idx="4">
                  <c:v>35.641016151377542</c:v>
                </c:pt>
                <c:pt idx="5">
                  <c:v>39.637033051562732</c:v>
                </c:pt>
                <c:pt idx="6">
                  <c:v>41</c:v>
                </c:pt>
                <c:pt idx="7">
                  <c:v>39.637033051562732</c:v>
                </c:pt>
                <c:pt idx="8">
                  <c:v>35.641016151377549</c:v>
                </c:pt>
                <c:pt idx="9">
                  <c:v>29.284271247461902</c:v>
                </c:pt>
                <c:pt idx="10">
                  <c:v>20.999999999999996</c:v>
                </c:pt>
                <c:pt idx="11">
                  <c:v>11.35276180410084</c:v>
                </c:pt>
                <c:pt idx="12">
                  <c:v>1.0000000000000049</c:v>
                </c:pt>
                <c:pt idx="13">
                  <c:v>-9.3527618041008314</c:v>
                </c:pt>
                <c:pt idx="14">
                  <c:v>-19.000000000000004</c:v>
                </c:pt>
                <c:pt idx="15">
                  <c:v>-27.284271247461898</c:v>
                </c:pt>
                <c:pt idx="16">
                  <c:v>-33.641016151377535</c:v>
                </c:pt>
                <c:pt idx="17">
                  <c:v>-37.637033051562732</c:v>
                </c:pt>
                <c:pt idx="18">
                  <c:v>-39</c:v>
                </c:pt>
                <c:pt idx="19">
                  <c:v>-37.637033051562739</c:v>
                </c:pt>
                <c:pt idx="20">
                  <c:v>-33.641016151377542</c:v>
                </c:pt>
                <c:pt idx="21">
                  <c:v>-27.284271247461909</c:v>
                </c:pt>
                <c:pt idx="22">
                  <c:v>-19.000000000000018</c:v>
                </c:pt>
                <c:pt idx="23">
                  <c:v>-9.3527618041008278</c:v>
                </c:pt>
                <c:pt idx="24">
                  <c:v>0.99999999999999023</c:v>
                </c:pt>
              </c:numCache>
            </c:numRef>
          </c:yVal>
          <c:smooth val="1"/>
        </c:ser>
        <c:ser>
          <c:idx val="16"/>
          <c:order val="11"/>
          <c:tx>
            <c:strRef>
              <c:f>DriftOff!$AK$58</c:f>
              <c:strCache>
                <c:ptCount val="1"/>
                <c:pt idx="0">
                  <c:v>Red Watch Circle (by POD)</c:v>
                </c:pt>
              </c:strCache>
            </c:strRef>
          </c:tx>
          <c:spPr>
            <a:ln>
              <a:solidFill>
                <a:srgbClr val="FF0000"/>
              </a:solidFill>
              <a:prstDash val="dashDot"/>
            </a:ln>
          </c:spPr>
          <c:marker>
            <c:symbol val="none"/>
          </c:marker>
          <c:xVal>
            <c:numRef>
              <c:f>DriftOff!$AK$61:$AK$85</c:f>
              <c:numCache>
                <c:formatCode>0.000</c:formatCode>
                <c:ptCount val="25"/>
                <c:pt idx="0">
                  <c:v>35.4</c:v>
                </c:pt>
                <c:pt idx="1">
                  <c:v>34.295996771765815</c:v>
                </c:pt>
                <c:pt idx="2">
                  <c:v>31.059223082615812</c:v>
                </c:pt>
                <c:pt idx="3">
                  <c:v>25.910259710444141</c:v>
                </c:pt>
                <c:pt idx="4">
                  <c:v>19.200000000000003</c:v>
                </c:pt>
                <c:pt idx="5">
                  <c:v>11.385737061321672</c:v>
                </c:pt>
                <c:pt idx="6">
                  <c:v>3.0000000000000018</c:v>
                </c:pt>
                <c:pt idx="7">
                  <c:v>-5.3857370613216755</c:v>
                </c:pt>
                <c:pt idx="8">
                  <c:v>-13.199999999999992</c:v>
                </c:pt>
                <c:pt idx="9">
                  <c:v>-19.910259710444137</c:v>
                </c:pt>
                <c:pt idx="10">
                  <c:v>-25.059223082615812</c:v>
                </c:pt>
                <c:pt idx="11">
                  <c:v>-28.295996771765807</c:v>
                </c:pt>
                <c:pt idx="12">
                  <c:v>-29.4</c:v>
                </c:pt>
                <c:pt idx="13">
                  <c:v>-28.295996771765811</c:v>
                </c:pt>
                <c:pt idx="14">
                  <c:v>-25.059223082615809</c:v>
                </c:pt>
                <c:pt idx="15">
                  <c:v>-19.910259710444144</c:v>
                </c:pt>
                <c:pt idx="16">
                  <c:v>-13.200000000000014</c:v>
                </c:pt>
                <c:pt idx="17">
                  <c:v>-5.3857370613216684</c:v>
                </c:pt>
                <c:pt idx="18">
                  <c:v>2.9999999999999942</c:v>
                </c:pt>
                <c:pt idx="19">
                  <c:v>11.385737061321658</c:v>
                </c:pt>
                <c:pt idx="20">
                  <c:v>19.200000000000003</c:v>
                </c:pt>
                <c:pt idx="21">
                  <c:v>25.910259710444134</c:v>
                </c:pt>
                <c:pt idx="22">
                  <c:v>31.059223082615802</c:v>
                </c:pt>
                <c:pt idx="23">
                  <c:v>34.295996771765815</c:v>
                </c:pt>
                <c:pt idx="24">
                  <c:v>35.4</c:v>
                </c:pt>
              </c:numCache>
            </c:numRef>
          </c:xVal>
          <c:yVal>
            <c:numRef>
              <c:f>DriftOff!$AL$61:$AL$85</c:f>
              <c:numCache>
                <c:formatCode>0.000</c:formatCode>
                <c:ptCount val="25"/>
                <c:pt idx="0">
                  <c:v>1</c:v>
                </c:pt>
                <c:pt idx="1">
                  <c:v>9.385737061321672</c:v>
                </c:pt>
                <c:pt idx="2">
                  <c:v>17.199999999999996</c:v>
                </c:pt>
                <c:pt idx="3">
                  <c:v>23.910259710444137</c:v>
                </c:pt>
                <c:pt idx="4">
                  <c:v>29.059223082615809</c:v>
                </c:pt>
                <c:pt idx="5">
                  <c:v>32.295996771765815</c:v>
                </c:pt>
                <c:pt idx="6">
                  <c:v>33.4</c:v>
                </c:pt>
                <c:pt idx="7">
                  <c:v>32.295996771765815</c:v>
                </c:pt>
                <c:pt idx="8">
                  <c:v>29.059223082615812</c:v>
                </c:pt>
                <c:pt idx="9">
                  <c:v>23.910259710444141</c:v>
                </c:pt>
                <c:pt idx="10">
                  <c:v>17.199999999999996</c:v>
                </c:pt>
                <c:pt idx="11">
                  <c:v>9.3857370613216808</c:v>
                </c:pt>
                <c:pt idx="12">
                  <c:v>1.000000000000004</c:v>
                </c:pt>
                <c:pt idx="13">
                  <c:v>-7.3857370613216737</c:v>
                </c:pt>
                <c:pt idx="14">
                  <c:v>-15.200000000000003</c:v>
                </c:pt>
                <c:pt idx="15">
                  <c:v>-21.910259710444137</c:v>
                </c:pt>
                <c:pt idx="16">
                  <c:v>-27.059223082615802</c:v>
                </c:pt>
                <c:pt idx="17">
                  <c:v>-30.295996771765811</c:v>
                </c:pt>
                <c:pt idx="18">
                  <c:v>-31.4</c:v>
                </c:pt>
                <c:pt idx="19">
                  <c:v>-30.295996771765815</c:v>
                </c:pt>
                <c:pt idx="20">
                  <c:v>-27.059223082615809</c:v>
                </c:pt>
                <c:pt idx="21">
                  <c:v>-21.910259710444144</c:v>
                </c:pt>
                <c:pt idx="22">
                  <c:v>-15.200000000000014</c:v>
                </c:pt>
                <c:pt idx="23">
                  <c:v>-7.3857370613216702</c:v>
                </c:pt>
                <c:pt idx="24">
                  <c:v>0.99999999999999201</c:v>
                </c:pt>
              </c:numCache>
            </c:numRef>
          </c:yVal>
          <c:smooth val="1"/>
        </c:ser>
        <c:ser>
          <c:idx val="15"/>
          <c:order val="12"/>
          <c:tx>
            <c:strRef>
              <c:f>DriftOff!$AT$58</c:f>
              <c:strCache>
                <c:ptCount val="1"/>
                <c:pt idx="0">
                  <c:v>Semi Red</c:v>
                </c:pt>
              </c:strCache>
            </c:strRef>
          </c:tx>
          <c:spPr>
            <a:ln>
              <a:solidFill>
                <a:srgbClr val="FF0000"/>
              </a:solidFill>
              <a:prstDash val="sysDash"/>
            </a:ln>
          </c:spPr>
          <c:marker>
            <c:symbol val="none"/>
          </c:marker>
          <c:xVal>
            <c:numRef>
              <c:f>DriftOff!$AT$64:$AT$70</c:f>
              <c:numCache>
                <c:formatCode>0.000</c:formatCode>
                <c:ptCount val="7"/>
                <c:pt idx="0">
                  <c:v>-29.161529298121348</c:v>
                </c:pt>
                <c:pt idx="1">
                  <c:v>-34.990815431348921</c:v>
                </c:pt>
                <c:pt idx="2">
                  <c:v>-37.151631387560982</c:v>
                </c:pt>
                <c:pt idx="3">
                  <c:v>-35.496721130258862</c:v>
                </c:pt>
                <c:pt idx="4">
                  <c:v>-30.138864058609233</c:v>
                </c:pt>
                <c:pt idx="5">
                  <c:v>-21.443189277767527</c:v>
                </c:pt>
                <c:pt idx="6">
                  <c:v>-10.002292653766116</c:v>
                </c:pt>
              </c:numCache>
            </c:numRef>
          </c:xVal>
          <c:yVal>
            <c:numRef>
              <c:f>DriftOff!$AU$64:$AU$70</c:f>
              <c:numCache>
                <c:formatCode>0.000</c:formatCode>
                <c:ptCount val="7"/>
                <c:pt idx="0">
                  <c:v>33.791447753126121</c:v>
                </c:pt>
                <c:pt idx="1">
                  <c:v>20.385007483915032</c:v>
                </c:pt>
                <c:pt idx="2">
                  <c:v>5.926650318650946</c:v>
                </c:pt>
                <c:pt idx="3">
                  <c:v>-8.5983105954183081</c:v>
                </c:pt>
                <c:pt idx="4">
                  <c:v>-22.200023175631799</c:v>
                </c:pt>
                <c:pt idx="5">
                  <c:v>-33.951553187540789</c:v>
                </c:pt>
                <c:pt idx="6">
                  <c:v>-43.05205328115521</c:v>
                </c:pt>
              </c:numCache>
            </c:numRef>
          </c:yVal>
          <c:smooth val="1"/>
        </c:ser>
        <c:ser>
          <c:idx val="4"/>
          <c:order val="13"/>
          <c:tx>
            <c:strRef>
              <c:f>DriftOff!$AO$58</c:f>
              <c:strCache>
                <c:ptCount val="1"/>
                <c:pt idx="0">
                  <c:v>POD Circle</c:v>
                </c:pt>
              </c:strCache>
            </c:strRef>
          </c:tx>
          <c:spPr>
            <a:ln w="12700">
              <a:solidFill>
                <a:srgbClr val="000000"/>
              </a:solidFill>
              <a:prstDash val="sysDash"/>
            </a:ln>
          </c:spPr>
          <c:marker>
            <c:symbol val="none"/>
          </c:marker>
          <c:xVal>
            <c:numRef>
              <c:f>DriftOff!$AO$61:$AO$85</c:f>
              <c:numCache>
                <c:formatCode>0.00</c:formatCode>
                <c:ptCount val="25"/>
                <c:pt idx="0">
                  <c:v>59.000000000000007</c:v>
                </c:pt>
                <c:pt idx="1">
                  <c:v>57.09184627218783</c:v>
                </c:pt>
                <c:pt idx="2">
                  <c:v>51.49742261192857</c:v>
                </c:pt>
                <c:pt idx="3">
                  <c:v>42.597979746446669</c:v>
                </c:pt>
                <c:pt idx="4">
                  <c:v>31.000000000000011</c:v>
                </c:pt>
                <c:pt idx="5">
                  <c:v>17.493866525741161</c:v>
                </c:pt>
                <c:pt idx="6">
                  <c:v>3.0000000000000036</c:v>
                </c:pt>
                <c:pt idx="7">
                  <c:v>-11.49386652574117</c:v>
                </c:pt>
                <c:pt idx="8">
                  <c:v>-24.999999999999993</c:v>
                </c:pt>
                <c:pt idx="9">
                  <c:v>-36.597979746446661</c:v>
                </c:pt>
                <c:pt idx="10">
                  <c:v>-45.49742261192857</c:v>
                </c:pt>
                <c:pt idx="11">
                  <c:v>-51.091846272187823</c:v>
                </c:pt>
                <c:pt idx="12">
                  <c:v>-53.000000000000007</c:v>
                </c:pt>
                <c:pt idx="13">
                  <c:v>-51.09184627218783</c:v>
                </c:pt>
                <c:pt idx="14">
                  <c:v>-45.49742261192857</c:v>
                </c:pt>
                <c:pt idx="15">
                  <c:v>-36.597979746446676</c:v>
                </c:pt>
                <c:pt idx="16">
                  <c:v>-25.000000000000028</c:v>
                </c:pt>
                <c:pt idx="17">
                  <c:v>-11.493866525741158</c:v>
                </c:pt>
                <c:pt idx="18">
                  <c:v>2.9999999999999898</c:v>
                </c:pt>
                <c:pt idx="19">
                  <c:v>17.49386652574114</c:v>
                </c:pt>
                <c:pt idx="20">
                  <c:v>31.000000000000011</c:v>
                </c:pt>
                <c:pt idx="21">
                  <c:v>42.597979746446654</c:v>
                </c:pt>
                <c:pt idx="22">
                  <c:v>51.497422611928556</c:v>
                </c:pt>
                <c:pt idx="23">
                  <c:v>57.09184627218783</c:v>
                </c:pt>
                <c:pt idx="24">
                  <c:v>59.000000000000007</c:v>
                </c:pt>
              </c:numCache>
            </c:numRef>
          </c:xVal>
          <c:yVal>
            <c:numRef>
              <c:f>DriftOff!$AP$61:$AP$85</c:f>
              <c:numCache>
                <c:formatCode>0.000</c:formatCode>
                <c:ptCount val="25"/>
                <c:pt idx="0">
                  <c:v>1</c:v>
                </c:pt>
                <c:pt idx="1">
                  <c:v>15.493866525741163</c:v>
                </c:pt>
                <c:pt idx="2">
                  <c:v>29</c:v>
                </c:pt>
                <c:pt idx="3">
                  <c:v>40.597979746446661</c:v>
                </c:pt>
                <c:pt idx="4">
                  <c:v>49.49742261192857</c:v>
                </c:pt>
                <c:pt idx="5">
                  <c:v>55.09184627218783</c:v>
                </c:pt>
                <c:pt idx="6">
                  <c:v>57.000000000000007</c:v>
                </c:pt>
                <c:pt idx="7">
                  <c:v>55.09184627218783</c:v>
                </c:pt>
                <c:pt idx="8">
                  <c:v>49.49742261192857</c:v>
                </c:pt>
                <c:pt idx="9">
                  <c:v>40.597979746446669</c:v>
                </c:pt>
                <c:pt idx="10">
                  <c:v>29</c:v>
                </c:pt>
                <c:pt idx="11">
                  <c:v>15.493866525741179</c:v>
                </c:pt>
                <c:pt idx="12">
                  <c:v>1.0000000000000069</c:v>
                </c:pt>
                <c:pt idx="13">
                  <c:v>-13.493866525741167</c:v>
                </c:pt>
                <c:pt idx="14">
                  <c:v>-27.000000000000011</c:v>
                </c:pt>
                <c:pt idx="15">
                  <c:v>-38.597979746446661</c:v>
                </c:pt>
                <c:pt idx="16">
                  <c:v>-47.497422611928556</c:v>
                </c:pt>
                <c:pt idx="17">
                  <c:v>-53.09184627218783</c:v>
                </c:pt>
                <c:pt idx="18">
                  <c:v>-55.000000000000007</c:v>
                </c:pt>
                <c:pt idx="19">
                  <c:v>-53.091846272187837</c:v>
                </c:pt>
                <c:pt idx="20">
                  <c:v>-47.49742261192857</c:v>
                </c:pt>
                <c:pt idx="21">
                  <c:v>-38.597979746446676</c:v>
                </c:pt>
                <c:pt idx="22">
                  <c:v>-27.000000000000028</c:v>
                </c:pt>
                <c:pt idx="23">
                  <c:v>-13.49386652574116</c:v>
                </c:pt>
                <c:pt idx="24">
                  <c:v>0.99999999999998623</c:v>
                </c:pt>
              </c:numCache>
            </c:numRef>
          </c:yVal>
          <c:smooth val="1"/>
        </c:ser>
        <c:ser>
          <c:idx val="6"/>
          <c:order val="14"/>
          <c:tx>
            <c:v>Wind</c:v>
          </c:tx>
          <c:spPr>
            <a:ln w="25400">
              <a:solidFill>
                <a:srgbClr val="008080"/>
              </a:solidFill>
              <a:prstDash val="solid"/>
            </a:ln>
          </c:spPr>
          <c:marker>
            <c:symbol val="none"/>
          </c:marker>
          <c:dLbls>
            <c:dLbl>
              <c:idx val="0"/>
              <c:layout/>
              <c:tx>
                <c:rich>
                  <a:bodyPr/>
                  <a:lstStyle/>
                  <a:p>
                    <a:pPr>
                      <a:defRPr sz="1100" b="1" i="0" u="none" strike="noStrike" baseline="0">
                        <a:solidFill>
                          <a:srgbClr val="008080"/>
                        </a:solidFill>
                        <a:latin typeface="Arial"/>
                        <a:ea typeface="Arial"/>
                        <a:cs typeface="Arial"/>
                      </a:defRPr>
                    </a:pPr>
                    <a:r>
                      <a:rPr lang="en-US"/>
                      <a:t>Wind</a:t>
                    </a:r>
                  </a:p>
                </c:rich>
              </c:tx>
              <c:spPr>
                <a:noFill/>
                <a:ln w="25400">
                  <a:noFill/>
                </a:ln>
              </c:spPr>
              <c:dLblPos val="r"/>
              <c:showLegendKey val="0"/>
              <c:showVal val="0"/>
              <c:showCatName val="0"/>
              <c:showSerName val="0"/>
              <c:showPercent val="0"/>
              <c:showBubbleSize val="0"/>
            </c:dLbl>
            <c:showLegendKey val="0"/>
            <c:showVal val="0"/>
            <c:showCatName val="0"/>
            <c:showSerName val="0"/>
            <c:showPercent val="0"/>
            <c:showBubbleSize val="0"/>
          </c:dLbls>
          <c:xVal>
            <c:numRef>
              <c:f>DriftOff!$BB$65:$BB$69</c:f>
              <c:numCache>
                <c:formatCode>0.00</c:formatCode>
                <c:ptCount val="5"/>
                <c:pt idx="0">
                  <c:v>52.159994619609691</c:v>
                </c:pt>
                <c:pt idx="1">
                  <c:v>25.500441814031404</c:v>
                </c:pt>
                <c:pt idx="2">
                  <c:v>31.636329223701782</c:v>
                </c:pt>
                <c:pt idx="3">
                  <c:v>31.248068461760013</c:v>
                </c:pt>
                <c:pt idx="4">
                  <c:v>25.500441814031404</c:v>
                </c:pt>
              </c:numCache>
            </c:numRef>
          </c:xVal>
          <c:yVal>
            <c:numRef>
              <c:f>DriftOff!$BA$65:$BA$69</c:f>
              <c:numCache>
                <c:formatCode>0.00</c:formatCode>
                <c:ptCount val="5"/>
                <c:pt idx="0">
                  <c:v>13.97622843553612</c:v>
                </c:pt>
                <c:pt idx="1">
                  <c:v>6.8328227907065484</c:v>
                </c:pt>
                <c:pt idx="2">
                  <c:v>7.7004073430924791</c:v>
                </c:pt>
                <c:pt idx="3">
                  <c:v>9.1494162332445708</c:v>
                </c:pt>
                <c:pt idx="4">
                  <c:v>6.8328227907065484</c:v>
                </c:pt>
              </c:numCache>
            </c:numRef>
          </c:yVal>
          <c:smooth val="0"/>
        </c:ser>
        <c:ser>
          <c:idx val="7"/>
          <c:order val="15"/>
          <c:tx>
            <c:v>Waves</c:v>
          </c:tx>
          <c:spPr>
            <a:ln w="25400">
              <a:solidFill>
                <a:srgbClr val="0000FF"/>
              </a:solidFill>
              <a:prstDash val="solid"/>
            </a:ln>
          </c:spPr>
          <c:marker>
            <c:symbol val="none"/>
          </c:marker>
          <c:dLbls>
            <c:dLbl>
              <c:idx val="0"/>
              <c:layout/>
              <c:tx>
                <c:rich>
                  <a:bodyPr/>
                  <a:lstStyle/>
                  <a:p>
                    <a:pPr>
                      <a:defRPr sz="1100" b="1" i="0" u="none" strike="noStrike" baseline="0">
                        <a:solidFill>
                          <a:srgbClr val="0000FF"/>
                        </a:solidFill>
                        <a:latin typeface="Arial"/>
                        <a:ea typeface="Arial"/>
                        <a:cs typeface="Arial"/>
                      </a:defRPr>
                    </a:pPr>
                    <a:r>
                      <a:rPr lang="en-US"/>
                      <a:t>Sea</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Ref>
              <c:f>DriftOff!$BB$70:$BB$74</c:f>
              <c:numCache>
                <c:formatCode>0.00</c:formatCode>
                <c:ptCount val="5"/>
                <c:pt idx="0">
                  <c:v>53.17961866265923</c:v>
                </c:pt>
                <c:pt idx="1">
                  <c:v>25.998924679522293</c:v>
                </c:pt>
                <c:pt idx="2">
                  <c:v>32.187078161183408</c:v>
                </c:pt>
                <c:pt idx="3">
                  <c:v>31.926584294729125</c:v>
                </c:pt>
                <c:pt idx="4">
                  <c:v>25.998924679522293</c:v>
                </c:pt>
              </c:numCache>
            </c:numRef>
          </c:xVal>
          <c:yVal>
            <c:numRef>
              <c:f>DriftOff!$BA$70:$BA$74</c:f>
              <c:numCache>
                <c:formatCode>0.00</c:formatCode>
                <c:ptCount val="5"/>
                <c:pt idx="0">
                  <c:v>9.3770015940142422</c:v>
                </c:pt>
                <c:pt idx="1">
                  <c:v>4.5843118904069637</c:v>
                </c:pt>
                <c:pt idx="2">
                  <c:v>4.9138171970343016</c:v>
                </c:pt>
                <c:pt idx="3">
                  <c:v>6.3911513259784281</c:v>
                </c:pt>
                <c:pt idx="4">
                  <c:v>4.5843118904069637</c:v>
                </c:pt>
              </c:numCache>
            </c:numRef>
          </c:yVal>
          <c:smooth val="0"/>
        </c:ser>
        <c:ser>
          <c:idx val="8"/>
          <c:order val="16"/>
          <c:tx>
            <c:v>Current</c:v>
          </c:tx>
          <c:spPr>
            <a:ln w="25400">
              <a:solidFill>
                <a:srgbClr val="00CCFF"/>
              </a:solidFill>
              <a:prstDash val="solid"/>
            </a:ln>
          </c:spPr>
          <c:marker>
            <c:symbol val="none"/>
          </c:marker>
          <c:dLbls>
            <c:dLbl>
              <c:idx val="0"/>
              <c:layout/>
              <c:tx>
                <c:rich>
                  <a:bodyPr/>
                  <a:lstStyle/>
                  <a:p>
                    <a:pPr>
                      <a:defRPr sz="1100" b="1" i="0" u="none" strike="noStrike" baseline="0">
                        <a:solidFill>
                          <a:srgbClr val="00CCFF"/>
                        </a:solidFill>
                        <a:latin typeface="Arial"/>
                        <a:ea typeface="Arial"/>
                        <a:cs typeface="Arial"/>
                      </a:defRPr>
                    </a:pPr>
                    <a:r>
                      <a:rPr lang="en-US"/>
                      <a:t>Current</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Ref>
              <c:f>DriftOff!$BB$75:$BB$79</c:f>
              <c:numCache>
                <c:formatCode>0.00</c:formatCode>
                <c:ptCount val="5"/>
                <c:pt idx="0">
                  <c:v>38.183766184073562</c:v>
                </c:pt>
                <c:pt idx="1">
                  <c:v>18.667619023324853</c:v>
                </c:pt>
                <c:pt idx="2">
                  <c:v>23.547661118667538</c:v>
                </c:pt>
                <c:pt idx="3">
                  <c:v>22.48691299045721</c:v>
                </c:pt>
                <c:pt idx="4">
                  <c:v>18.667619023324853</c:v>
                </c:pt>
              </c:numCache>
            </c:numRef>
          </c:xVal>
          <c:yVal>
            <c:numRef>
              <c:f>DriftOff!$BA$75:$BA$79</c:f>
              <c:numCache>
                <c:formatCode>0.00</c:formatCode>
                <c:ptCount val="5"/>
                <c:pt idx="0">
                  <c:v>38.183766184073569</c:v>
                </c:pt>
                <c:pt idx="1">
                  <c:v>18.667619023324857</c:v>
                </c:pt>
                <c:pt idx="2">
                  <c:v>22.48691299045721</c:v>
                </c:pt>
                <c:pt idx="3">
                  <c:v>23.547661118667538</c:v>
                </c:pt>
                <c:pt idx="4">
                  <c:v>18.667619023324857</c:v>
                </c:pt>
              </c:numCache>
            </c:numRef>
          </c:yVal>
          <c:smooth val="0"/>
        </c:ser>
        <c:ser>
          <c:idx val="12"/>
          <c:order val="17"/>
          <c:tx>
            <c:v>Swell</c:v>
          </c:tx>
          <c:spPr>
            <a:ln w="25400">
              <a:solidFill>
                <a:srgbClr val="800000"/>
              </a:solidFill>
              <a:prstDash val="solid"/>
            </a:ln>
          </c:spPr>
          <c:marker>
            <c:symbol val="none"/>
          </c:marker>
          <c:dLbls>
            <c:dLbl>
              <c:idx val="0"/>
              <c:layout/>
              <c:tx>
                <c:rich>
                  <a:bodyPr/>
                  <a:lstStyle/>
                  <a:p>
                    <a:pPr>
                      <a:defRPr sz="1100" b="1" i="0" u="none" strike="noStrike" baseline="0">
                        <a:solidFill>
                          <a:srgbClr val="800000"/>
                        </a:solidFill>
                        <a:latin typeface="Arial"/>
                        <a:ea typeface="Arial"/>
                        <a:cs typeface="Arial"/>
                      </a:defRPr>
                    </a:pPr>
                    <a:r>
                      <a:rPr lang="en-US"/>
                      <a:t>Swell</a:t>
                    </a:r>
                  </a:p>
                </c:rich>
              </c:tx>
              <c:spPr>
                <a:noFill/>
                <a:ln w="25400">
                  <a:noFill/>
                </a:ln>
              </c:spPr>
              <c:dLblPos val="r"/>
              <c:showLegendKey val="0"/>
              <c:showVal val="0"/>
              <c:showCatName val="0"/>
              <c:showSerName val="0"/>
              <c:showPercent val="0"/>
              <c:showBubbleSize val="0"/>
            </c:dLbl>
            <c:dLblPos val="r"/>
            <c:showLegendKey val="0"/>
            <c:showVal val="0"/>
            <c:showCatName val="0"/>
            <c:showSerName val="0"/>
            <c:showPercent val="0"/>
            <c:showBubbleSize val="0"/>
          </c:dLbls>
          <c:xVal>
            <c:numRef>
              <c:f>DriftOff!$BB$80:$BB$84</c:f>
              <c:numCache>
                <c:formatCode>0.00</c:formatCode>
                <c:ptCount val="5"/>
                <c:pt idx="0">
                  <c:v>-15.048886306329422</c:v>
                </c:pt>
                <c:pt idx="1">
                  <c:v>-9.0293317837976534</c:v>
                </c:pt>
                <c:pt idx="2">
                  <c:v>-11.838048558407156</c:v>
                </c:pt>
                <c:pt idx="3">
                  <c:v>-10.428392739636642</c:v>
                </c:pt>
                <c:pt idx="4">
                  <c:v>-9.0293317837976534</c:v>
                </c:pt>
              </c:numCache>
            </c:numRef>
          </c:xVal>
          <c:yVal>
            <c:numRef>
              <c:f>DriftOff!$BA$80:$BA$84</c:f>
              <c:numCache>
                <c:formatCode>0.00</c:formatCode>
                <c:ptCount val="5"/>
                <c:pt idx="0">
                  <c:v>-41.346475314579969</c:v>
                </c:pt>
                <c:pt idx="1">
                  <c:v>-24.807885188747985</c:v>
                </c:pt>
                <c:pt idx="2">
                  <c:v>-30.331735959697301</c:v>
                </c:pt>
                <c:pt idx="3">
                  <c:v>-30.844808718289922</c:v>
                </c:pt>
                <c:pt idx="4">
                  <c:v>-24.807885188747985</c:v>
                </c:pt>
              </c:numCache>
            </c:numRef>
          </c:yVal>
          <c:smooth val="0"/>
        </c:ser>
        <c:dLbls>
          <c:showLegendKey val="0"/>
          <c:showVal val="0"/>
          <c:showCatName val="0"/>
          <c:showSerName val="0"/>
          <c:showPercent val="0"/>
          <c:showBubbleSize val="0"/>
        </c:dLbls>
        <c:axId val="165276672"/>
        <c:axId val="167052416"/>
      </c:scatterChart>
      <c:valAx>
        <c:axId val="165276672"/>
        <c:scaling>
          <c:orientation val="minMax"/>
          <c:max val="80"/>
          <c:min val="-80"/>
        </c:scaling>
        <c:delete val="0"/>
        <c:axPos val="b"/>
        <c:majorGridlines>
          <c:spPr>
            <a:ln w="3175">
              <a:solidFill>
                <a:srgbClr val="C0C0C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W(-) [m]                                                  E(+) [m] </a:t>
                </a:r>
              </a:p>
            </c:rich>
          </c:tx>
          <c:layout>
            <c:manualLayout>
              <c:xMode val="edge"/>
              <c:yMode val="edge"/>
              <c:x val="0.22660100168017555"/>
              <c:y val="0.94880069991251104"/>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7052416"/>
        <c:crossesAt val="-2000"/>
        <c:crossBetween val="midCat"/>
        <c:majorUnit val="20"/>
      </c:valAx>
      <c:valAx>
        <c:axId val="167052416"/>
        <c:scaling>
          <c:orientation val="minMax"/>
          <c:max val="80"/>
          <c:min val="-80"/>
        </c:scaling>
        <c:delete val="0"/>
        <c:axPos val="l"/>
        <c:majorGridlines>
          <c:spPr>
            <a:ln w="3175">
              <a:solidFill>
                <a:srgbClr val="C0C0C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S(-) [m]                                         N(+) [m]</a:t>
                </a:r>
              </a:p>
            </c:rich>
          </c:tx>
          <c:layout>
            <c:manualLayout>
              <c:xMode val="edge"/>
              <c:yMode val="edge"/>
              <c:x val="2.3398966194097218E-2"/>
              <c:y val="0.28160017497812773"/>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5276672"/>
        <c:crossesAt val="-2000"/>
        <c:crossBetween val="midCat"/>
        <c:majorUnit val="20"/>
      </c:valAx>
      <c:spPr>
        <a:noFill/>
        <a:ln w="12700">
          <a:solidFill>
            <a:srgbClr val="000000"/>
          </a:solidFill>
          <a:prstDash val="solid"/>
        </a:ln>
      </c:spPr>
    </c:plotArea>
    <c:legend>
      <c:legendPos val="r"/>
      <c:legendEntry>
        <c:idx val="1"/>
        <c:delete val="1"/>
      </c:legendEntry>
      <c:legendEntry>
        <c:idx val="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0.7305921535974923"/>
          <c:y val="9.5111111111111105E-2"/>
          <c:w val="0.24986761622269915"/>
          <c:h val="0.81226106736657921"/>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100" b="1" i="0" u="none" strike="noStrike" baseline="0">
                <a:solidFill>
                  <a:srgbClr val="000000"/>
                </a:solidFill>
                <a:latin typeface="Arial"/>
                <a:ea typeface="Arial"/>
                <a:cs typeface="Arial"/>
              </a:defRPr>
            </a:pPr>
            <a:r>
              <a:rPr lang="en-US"/>
              <a:t>DP RED and YELLOW</a:t>
            </a:r>
            <a:r>
              <a:rPr lang="en-US" baseline="0"/>
              <a:t> </a:t>
            </a:r>
            <a:r>
              <a:rPr lang="en-US"/>
              <a:t>Watch Circles</a:t>
            </a:r>
            <a:r>
              <a:rPr lang="en-US" baseline="0"/>
              <a:t> (by POD) Reference to Set Point</a:t>
            </a:r>
          </a:p>
        </c:rich>
      </c:tx>
      <c:layout>
        <c:manualLayout>
          <c:xMode val="edge"/>
          <c:yMode val="edge"/>
          <c:x val="0.19315338029313936"/>
          <c:y val="4.7435695538057744E-2"/>
        </c:manualLayout>
      </c:layout>
      <c:overlay val="0"/>
      <c:spPr>
        <a:noFill/>
        <a:ln w="25400">
          <a:noFill/>
        </a:ln>
      </c:spPr>
    </c:title>
    <c:autoTitleDeleted val="0"/>
    <c:plotArea>
      <c:layout>
        <c:manualLayout>
          <c:layoutTarget val="inner"/>
          <c:xMode val="edge"/>
          <c:yMode val="edge"/>
          <c:x val="0.10552147239263804"/>
          <c:y val="0.17251146867511125"/>
          <c:w val="0.81195155903938254"/>
          <c:h val="0.67803788656852682"/>
        </c:manualLayout>
      </c:layout>
      <c:scatterChart>
        <c:scatterStyle val="smoothMarker"/>
        <c:varyColors val="0"/>
        <c:ser>
          <c:idx val="13"/>
          <c:order val="0"/>
          <c:tx>
            <c:strRef>
              <c:f>DriftOff!$U$58</c:f>
              <c:strCache>
                <c:ptCount val="1"/>
                <c:pt idx="0">
                  <c:v>Radius from WC</c:v>
                </c:pt>
              </c:strCache>
            </c:strRef>
          </c:tx>
          <c:spPr>
            <a:ln w="12700">
              <a:solidFill>
                <a:srgbClr val="008000"/>
              </a:solidFill>
              <a:prstDash val="solid"/>
            </a:ln>
          </c:spPr>
          <c:marker>
            <c:symbol val="none"/>
          </c:marker>
          <c:xVal>
            <c:numRef>
              <c:f>DriftOff!$Q$60:$Q$1087</c:f>
              <c:numCache>
                <c:formatCode>General</c:formatCode>
                <c:ptCount val="10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DriftOff!$Y$60:$Y$1169</c:f>
              <c:numCache>
                <c:formatCode>0.00</c:formatCode>
                <c:ptCount val="1110"/>
                <c:pt idx="0">
                  <c:v>2.7950849718747371E-3</c:v>
                </c:pt>
                <c:pt idx="1">
                  <c:v>2.8008693424401072E-3</c:v>
                </c:pt>
                <c:pt idx="2">
                  <c:v>2.8182428636499891E-3</c:v>
                </c:pt>
                <c:pt idx="3">
                  <c:v>2.8473305331626676E-3</c:v>
                </c:pt>
                <c:pt idx="4">
                  <c:v>2.8883727720160524E-3</c:v>
                </c:pt>
                <c:pt idx="5">
                  <c:v>2.9417055090240319E-3</c:v>
                </c:pt>
                <c:pt idx="6">
                  <c:v>3.0077358123667495E-3</c:v>
                </c:pt>
                <c:pt idx="7">
                  <c:v>3.0869151953419917E-3</c:v>
                </c:pt>
                <c:pt idx="8">
                  <c:v>3.1797128262866436E-3</c:v>
                </c:pt>
                <c:pt idx="9">
                  <c:v>3.2865907221325567E-3</c:v>
                </c:pt>
                <c:pt idx="10">
                  <c:v>3.4079826168993076E-3</c:v>
                </c:pt>
                <c:pt idx="11">
                  <c:v>3.5442776332228519E-3</c:v>
                </c:pt>
                <c:pt idx="12">
                  <c:v>3.6958092451187725E-3</c:v>
                </c:pt>
                <c:pt idx="13">
                  <c:v>3.8628494127029341E-3</c:v>
                </c:pt>
                <c:pt idx="14">
                  <c:v>4.0456072856533713E-3</c:v>
                </c:pt>
                <c:pt idx="15">
                  <c:v>4.2442315641381722E-3</c:v>
                </c:pt>
                <c:pt idx="16">
                  <c:v>4.4588154814600729E-3</c:v>
                </c:pt>
                <c:pt idx="17">
                  <c:v>4.6894034031673493E-3</c:v>
                </c:pt>
                <c:pt idx="18">
                  <c:v>4.9359981741654334E-3</c:v>
                </c:pt>
                <c:pt idx="19">
                  <c:v>5.1985685363323134E-3</c:v>
                </c:pt>
                <c:pt idx="20">
                  <c:v>5.477056140673754E-3</c:v>
                </c:pt>
                <c:pt idx="21">
                  <c:v>5.7713818604994173E-3</c:v>
                </c:pt>
                <c:pt idx="22">
                  <c:v>6.0814512599206274E-3</c:v>
                </c:pt>
                <c:pt idx="23">
                  <c:v>6.40715918078352E-3</c:v>
                </c:pt>
                <c:pt idx="24">
                  <c:v>6.7483934837774947E-3</c:v>
                </c:pt>
                <c:pt idx="25">
                  <c:v>7.1050380223427554E-3</c:v>
                </c:pt>
                <c:pt idx="26">
                  <c:v>7.4769749486171622E-3</c:v>
                </c:pt>
                <c:pt idx="27">
                  <c:v>7.8640864559624338E-3</c:v>
                </c:pt>
                <c:pt idx="28">
                  <c:v>8.2662560582950368E-3</c:v>
                </c:pt>
                <c:pt idx="29">
                  <c:v>8.6833694967924074E-3</c:v>
                </c:pt>
                <c:pt idx="30">
                  <c:v>9.1153153525201629E-3</c:v>
                </c:pt>
                <c:pt idx="31">
                  <c:v>9.5619854310441382E-3</c:v>
                </c:pt>
                <c:pt idx="32">
                  <c:v>1.0023274973279671E-2</c:v>
                </c:pt>
                <c:pt idx="33">
                  <c:v>1.0499082736272602E-2</c:v>
                </c:pt>
                <c:pt idx="34">
                  <c:v>1.0989310980594165E-2</c:v>
                </c:pt>
                <c:pt idx="35">
                  <c:v>1.1493865413810178E-2</c:v>
                </c:pt>
                <c:pt idx="36">
                  <c:v>1.2012655123337905E-2</c:v>
                </c:pt>
                <c:pt idx="37">
                  <c:v>1.2545592486124855E-2</c:v>
                </c:pt>
                <c:pt idx="38">
                  <c:v>1.3092593058859807E-2</c:v>
                </c:pt>
                <c:pt idx="39">
                  <c:v>1.3653575457725624E-2</c:v>
                </c:pt>
                <c:pt idx="40">
                  <c:v>1.4228461234391905E-2</c:v>
                </c:pt>
                <c:pt idx="41">
                  <c:v>1.4817174753062492E-2</c:v>
                </c:pt>
                <c:pt idx="42">
                  <c:v>1.5419643071958002E-2</c:v>
                </c:pt>
                <c:pt idx="43">
                  <c:v>1.6035795831530607E-2</c:v>
                </c:pt>
                <c:pt idx="44">
                  <c:v>1.6665565150900442E-2</c:v>
                </c:pt>
                <c:pt idx="45">
                  <c:v>1.7308885533407235E-2</c:v>
                </c:pt>
                <c:pt idx="46">
                  <c:v>1.7965693781738738E-2</c:v>
                </c:pt>
                <c:pt idx="47">
                  <c:v>1.8635928922789719E-2</c:v>
                </c:pt>
                <c:pt idx="48">
                  <c:v>1.9319532142192543E-2</c:v>
                </c:pt>
                <c:pt idx="49">
                  <c:v>2.0016446728318229E-2</c:v>
                </c:pt>
                <c:pt idx="50">
                  <c:v>2.0726618025458717E-2</c:v>
                </c:pt>
                <c:pt idx="51">
                  <c:v>2.1449993395851869E-2</c:v>
                </c:pt>
                <c:pt idx="52">
                  <c:v>2.2186522190190988E-2</c:v>
                </c:pt>
                <c:pt idx="53">
                  <c:v>2.2936155725303099E-2</c:v>
                </c:pt>
                <c:pt idx="54">
                  <c:v>2.3698847254242272E-2</c:v>
                </c:pt>
                <c:pt idx="55">
                  <c:v>2.4474551914907935E-2</c:v>
                </c:pt>
                <c:pt idx="56">
                  <c:v>2.5263226677151657E-2</c:v>
                </c:pt>
                <c:pt idx="57">
                  <c:v>2.6064830296227078E-2</c:v>
                </c:pt>
                <c:pt idx="58">
                  <c:v>2.6879323272373377E-2</c:v>
                </c:pt>
                <c:pt idx="59">
                  <c:v>2.770666781616847E-2</c:v>
                </c:pt>
                <c:pt idx="60">
                  <c:v>2.8546827819338486E-2</c:v>
                </c:pt>
                <c:pt idx="61">
                  <c:v>2.9399768830758323E-2</c:v>
                </c:pt>
                <c:pt idx="62">
                  <c:v>3.0265458037422931E-2</c:v>
                </c:pt>
                <c:pt idx="63">
                  <c:v>3.1143864250210603E-2</c:v>
                </c:pt>
                <c:pt idx="64">
                  <c:v>3.2034957894298575E-2</c:v>
                </c:pt>
                <c:pt idx="65">
                  <c:v>3.2938711004126944E-2</c:v>
                </c:pt>
                <c:pt idx="66">
                  <c:v>3.3855097222839921E-2</c:v>
                </c:pt>
                <c:pt idx="67">
                  <c:v>3.4784091804602603E-2</c:v>
                </c:pt>
                <c:pt idx="68">
                  <c:v>3.5725671571468567E-2</c:v>
                </c:pt>
                <c:pt idx="69">
                  <c:v>3.667981472741947E-2</c:v>
                </c:pt>
                <c:pt idx="70">
                  <c:v>3.7646500605761253E-2</c:v>
                </c:pt>
                <c:pt idx="71">
                  <c:v>3.8625709412984557E-2</c:v>
                </c:pt>
                <c:pt idx="72">
                  <c:v>3.961742197228995E-2</c:v>
                </c:pt>
                <c:pt idx="73">
                  <c:v>4.0621619466643243E-2</c:v>
                </c:pt>
                <c:pt idx="74">
                  <c:v>4.1638283181291626E-2</c:v>
                </c:pt>
                <c:pt idx="75">
                  <c:v>4.266739424574334E-2</c:v>
                </c:pt>
                <c:pt idx="76">
                  <c:v>4.3708933375289617E-2</c:v>
                </c:pt>
                <c:pt idx="77">
                  <c:v>4.4762880612230729E-2</c:v>
                </c:pt>
                <c:pt idx="78">
                  <c:v>4.5829215067055389E-2</c:v>
                </c:pt>
                <c:pt idx="79">
                  <c:v>4.6907914660192306E-2</c:v>
                </c:pt>
                <c:pt idx="80">
                  <c:v>4.7998955900188461E-2</c:v>
                </c:pt>
                <c:pt idx="81">
                  <c:v>4.9102313871640713E-2</c:v>
                </c:pt>
                <c:pt idx="82">
                  <c:v>5.0217962403081406E-2</c:v>
                </c:pt>
                <c:pt idx="83">
                  <c:v>5.1345874253544983E-2</c:v>
                </c:pt>
                <c:pt idx="84">
                  <c:v>5.2486021295502672E-2</c:v>
                </c:pt>
                <c:pt idx="85">
                  <c:v>5.36383746938369E-2</c:v>
                </c:pt>
                <c:pt idx="86">
                  <c:v>5.4802905080656598E-2</c:v>
                </c:pt>
                <c:pt idx="87">
                  <c:v>5.5979582725814013E-2</c:v>
                </c:pt>
                <c:pt idx="88">
                  <c:v>5.7168377703033145E-2</c:v>
                </c:pt>
                <c:pt idx="89">
                  <c:v>5.8369260051602263E-2</c:v>
                </c:pt>
                <c:pt idx="90">
                  <c:v>5.9582199933617519E-2</c:v>
                </c:pt>
                <c:pt idx="91">
                  <c:v>6.0807167786790538E-2</c:v>
                </c:pt>
                <c:pt idx="92">
                  <c:v>6.2044134466979962E-2</c:v>
                </c:pt>
                <c:pt idx="93">
                  <c:v>6.329307131303992E-2</c:v>
                </c:pt>
                <c:pt idx="94">
                  <c:v>6.4553950094300483E-2</c:v>
                </c:pt>
                <c:pt idx="95">
                  <c:v>6.5826742932043297E-2</c:v>
                </c:pt>
                <c:pt idx="96">
                  <c:v>6.7111422223595993E-2</c:v>
                </c:pt>
                <c:pt idx="97">
                  <c:v>6.8407960569549731E-2</c:v>
                </c:pt>
                <c:pt idx="98">
                  <c:v>6.9716330704095497E-2</c:v>
                </c:pt>
                <c:pt idx="99">
                  <c:v>7.1036505428460545E-2</c:v>
                </c:pt>
                <c:pt idx="100">
                  <c:v>7.2368457547415915E-2</c:v>
                </c:pt>
                <c:pt idx="101">
                  <c:v>7.3712159808816263E-2</c:v>
                </c:pt>
                <c:pt idx="102">
                  <c:v>7.506758484612551E-2</c:v>
                </c:pt>
                <c:pt idx="103">
                  <c:v>7.6434705123875221E-2</c:v>
                </c:pt>
                <c:pt idx="104">
                  <c:v>7.7813492885998106E-2</c:v>
                </c:pt>
                <c:pt idx="105">
                  <c:v>7.9203920106968889E-2</c:v>
                </c:pt>
                <c:pt idx="106">
                  <c:v>8.0605958445783707E-2</c:v>
                </c:pt>
                <c:pt idx="107">
                  <c:v>8.2019579206189144E-2</c:v>
                </c:pt>
                <c:pt idx="108">
                  <c:v>8.3444753310002701E-2</c:v>
                </c:pt>
                <c:pt idx="109">
                  <c:v>8.4881451277698E-2</c:v>
                </c:pt>
                <c:pt idx="110">
                  <c:v>8.6329643211478901E-2</c:v>
                </c:pt>
                <c:pt idx="111">
                  <c:v>8.778929878046679E-2</c:v>
                </c:pt>
                <c:pt idx="112">
                  <c:v>8.926038720788583E-2</c:v>
                </c:pt>
                <c:pt idx="113">
                  <c:v>9.0742877260141797E-2</c:v>
                </c:pt>
                <c:pt idx="114">
                  <c:v>9.2236737237700941E-2</c:v>
                </c:pt>
                <c:pt idx="115">
                  <c:v>9.3741934967683016E-2</c:v>
                </c:pt>
                <c:pt idx="116">
                  <c:v>9.5258437798090512E-2</c:v>
                </c:pt>
                <c:pt idx="117">
                  <c:v>9.6786212593602816E-2</c:v>
                </c:pt>
                <c:pt idx="118">
                  <c:v>9.8325225732868157E-2</c:v>
                </c:pt>
                <c:pt idx="119">
                  <c:v>9.9875443107231898E-2</c:v>
                </c:pt>
                <c:pt idx="120">
                  <c:v>0.10143683012084173</c:v>
                </c:pt>
                <c:pt idx="121">
                  <c:v>0.10300935169207409</c:v>
                </c:pt>
                <c:pt idx="122">
                  <c:v>0.10459297225622632</c:v>
                </c:pt>
                <c:pt idx="123">
                  <c:v>0.10618765576942155</c:v>
                </c:pt>
                <c:pt idx="124">
                  <c:v>0.10779336571367237</c:v>
                </c:pt>
                <c:pt idx="125">
                  <c:v>0.10941006510304961</c:v>
                </c:pt>
                <c:pt idx="126">
                  <c:v>0.11103771649091926</c:v>
                </c:pt>
                <c:pt idx="127">
                  <c:v>0.11267628197965675</c:v>
                </c:pt>
                <c:pt idx="128">
                  <c:v>0.11432572323817369</c:v>
                </c:pt>
                <c:pt idx="129">
                  <c:v>0.11598600152422758</c:v>
                </c:pt>
                <c:pt idx="130">
                  <c:v>0.11765707770612099</c:v>
                </c:pt>
                <c:pt idx="131">
                  <c:v>0.11933891228325853</c:v>
                </c:pt>
                <c:pt idx="132">
                  <c:v>0.12103146540559628</c:v>
                </c:pt>
                <c:pt idx="133">
                  <c:v>0.12273469689201642</c:v>
                </c:pt>
                <c:pt idx="134">
                  <c:v>0.12444856624765822</c:v>
                </c:pt>
                <c:pt idx="135">
                  <c:v>0.12617303268023353</c:v>
                </c:pt>
                <c:pt idx="136">
                  <c:v>0.12790805511535275</c:v>
                </c:pt>
                <c:pt idx="137">
                  <c:v>0.12965359221088529</c:v>
                </c:pt>
                <c:pt idx="138">
                  <c:v>0.13140960237037599</c:v>
                </c:pt>
                <c:pt idx="139">
                  <c:v>0.13317604375553738</c:v>
                </c:pt>
                <c:pt idx="140">
                  <c:v>0.13495287429783445</c:v>
                </c:pt>
                <c:pt idx="141">
                  <c:v>0.13674005170917736</c:v>
                </c:pt>
                <c:pt idx="142">
                  <c:v>0.13853753349173448</c:v>
                </c:pt>
                <c:pt idx="143">
                  <c:v>0.14034527694687715</c:v>
                </c:pt>
                <c:pt idx="144">
                  <c:v>0.14216323918326323</c:v>
                </c:pt>
                <c:pt idx="145">
                  <c:v>0.14399137712406654</c:v>
                </c:pt>
                <c:pt idx="146">
                  <c:v>0.14582964751335487</c:v>
                </c:pt>
                <c:pt idx="147">
                  <c:v>0.14767800692161803</c:v>
                </c:pt>
                <c:pt idx="148">
                  <c:v>0.14953641175044427</c:v>
                </c:pt>
                <c:pt idx="149">
                  <c:v>0.15140481823634128</c:v>
                </c:pt>
                <c:pt idx="150">
                  <c:v>0.15328318245369446</c:v>
                </c:pt>
              </c:numCache>
            </c:numRef>
          </c:yVal>
          <c:smooth val="1"/>
        </c:ser>
        <c:ser>
          <c:idx val="2"/>
          <c:order val="1"/>
          <c:tx>
            <c:v>POD</c:v>
          </c:tx>
          <c:spPr>
            <a:ln w="12700">
              <a:solidFill>
                <a:srgbClr val="000000"/>
              </a:solidFill>
              <a:prstDash val="solid"/>
            </a:ln>
          </c:spPr>
          <c:marker>
            <c:symbol val="none"/>
          </c:marker>
          <c:dLbls>
            <c:dLbl>
              <c:idx val="0"/>
              <c:layout>
                <c:manualLayout>
                  <c:x val="-1.6359918200408996E-3"/>
                  <c:y val="-3.3194081509042184E-2"/>
                </c:manualLayout>
              </c:layout>
              <c:tx>
                <c:rich>
                  <a:bodyPr/>
                  <a:lstStyle/>
                  <a:p>
                    <a:pPr>
                      <a:defRPr sz="900" b="1" i="0" u="none" strike="noStrike" baseline="0">
                        <a:solidFill>
                          <a:srgbClr val="000000"/>
                        </a:solidFill>
                        <a:latin typeface="Arial"/>
                        <a:ea typeface="Arial"/>
                        <a:cs typeface="Arial"/>
                      </a:defRPr>
                    </a:pPr>
                    <a:r>
                      <a:rPr lang="en-US" sz="900"/>
                      <a:t>POD</a:t>
                    </a:r>
                    <a:endParaRPr lang="en-US"/>
                  </a:p>
                </c:rich>
              </c:tx>
              <c:spPr>
                <a:noFill/>
                <a:ln w="25400">
                  <a:noFill/>
                </a:ln>
              </c:spPr>
              <c:dLblPos val="r"/>
              <c:showLegendKey val="0"/>
              <c:showVal val="0"/>
              <c:showCatName val="0"/>
              <c:showSerName val="0"/>
              <c:showPercent val="0"/>
              <c:showBubbleSize val="0"/>
            </c:dLbl>
            <c:txPr>
              <a:bodyPr/>
              <a:lstStyle/>
              <a:p>
                <a:pPr>
                  <a:defRPr sz="900"/>
                </a:pPr>
                <a:endParaRPr lang="en-US"/>
              </a:p>
            </c:txPr>
            <c:showLegendKey val="0"/>
            <c:showVal val="0"/>
            <c:showCatName val="0"/>
            <c:showSerName val="0"/>
            <c:showPercent val="0"/>
            <c:showBubbleSize val="0"/>
          </c:dLbls>
          <c:xVal>
            <c:numRef>
              <c:f>DriftOff!$AH$88:$AH$89</c:f>
              <c:numCache>
                <c:formatCode>0" sec"</c:formatCode>
                <c:ptCount val="2"/>
                <c:pt idx="0" formatCode="General">
                  <c:v>0</c:v>
                </c:pt>
                <c:pt idx="1">
                  <c:v>98</c:v>
                </c:pt>
              </c:numCache>
            </c:numRef>
          </c:xVal>
          <c:yVal>
            <c:numRef>
              <c:f>DriftOff!$AG$88:$AG$89</c:f>
              <c:numCache>
                <c:formatCode>0.00%</c:formatCode>
                <c:ptCount val="2"/>
                <c:pt idx="0">
                  <c:v>7.0000000000000007E-2</c:v>
                </c:pt>
                <c:pt idx="1">
                  <c:v>7.0000000000000007E-2</c:v>
                </c:pt>
              </c:numCache>
            </c:numRef>
          </c:yVal>
          <c:smooth val="1"/>
        </c:ser>
        <c:ser>
          <c:idx val="3"/>
          <c:order val="2"/>
          <c:tx>
            <c:v>POD</c:v>
          </c:tx>
          <c:spPr>
            <a:ln w="12700">
              <a:solidFill>
                <a:srgbClr val="000000"/>
              </a:solidFill>
              <a:prstDash val="solid"/>
            </a:ln>
          </c:spPr>
          <c:marker>
            <c:symbol val="none"/>
          </c:marker>
          <c:dLbls>
            <c:dLbl>
              <c:idx val="0"/>
              <c:layout>
                <c:manualLayout>
                  <c:x val="-9.9483116757644652E-2"/>
                  <c:y val="-3.3699633699633746E-2"/>
                </c:manualLayout>
              </c:layout>
              <c:dLblPos val="r"/>
              <c:showLegendKey val="0"/>
              <c:showVal val="1"/>
              <c:showCatName val="0"/>
              <c:showSerName val="0"/>
              <c:showPercent val="0"/>
              <c:showBubbleSize val="0"/>
            </c:dLbl>
            <c:dLbl>
              <c:idx val="1"/>
              <c:delete val="1"/>
            </c:dLbl>
            <c:numFmt formatCode="0.0%" sourceLinked="0"/>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xVal>
            <c:numRef>
              <c:f>DriftOff!$AH$90:$AH$91</c:f>
              <c:numCache>
                <c:formatCode>0" sec"</c:formatCode>
                <c:ptCount val="2"/>
                <c:pt idx="0" formatCode="General">
                  <c:v>98</c:v>
                </c:pt>
                <c:pt idx="1">
                  <c:v>98</c:v>
                </c:pt>
              </c:numCache>
            </c:numRef>
          </c:xVal>
          <c:yVal>
            <c:numRef>
              <c:f>DriftOff!$AG$90:$AG$91</c:f>
              <c:numCache>
                <c:formatCode>0.00%</c:formatCode>
                <c:ptCount val="2"/>
                <c:pt idx="0">
                  <c:v>7.0000000000000007E-2</c:v>
                </c:pt>
                <c:pt idx="1">
                  <c:v>0</c:v>
                </c:pt>
              </c:numCache>
            </c:numRef>
          </c:yVal>
          <c:smooth val="1"/>
        </c:ser>
        <c:ser>
          <c:idx val="4"/>
          <c:order val="3"/>
          <c:tx>
            <c:strRef>
              <c:f>DriftOff!$AF$112</c:f>
              <c:strCache>
                <c:ptCount val="1"/>
                <c:pt idx="0">
                  <c:v>Yellow</c:v>
                </c:pt>
              </c:strCache>
            </c:strRef>
          </c:tx>
          <c:spPr>
            <a:ln w="28575">
              <a:solidFill>
                <a:srgbClr val="FFC000"/>
              </a:solidFill>
              <a:prstDash val="solid"/>
            </a:ln>
          </c:spPr>
          <c:marker>
            <c:symbol val="none"/>
          </c:marker>
          <c:xVal>
            <c:numRef>
              <c:f>DriftOff!$AH$112:$AH$113</c:f>
              <c:numCache>
                <c:formatCode>0" sec"</c:formatCode>
                <c:ptCount val="2"/>
                <c:pt idx="0">
                  <c:v>28</c:v>
                </c:pt>
                <c:pt idx="1">
                  <c:v>28</c:v>
                </c:pt>
              </c:numCache>
            </c:numRef>
          </c:xVal>
          <c:yVal>
            <c:numRef>
              <c:f>DriftOff!$AG$112:$AG$113</c:f>
              <c:numCache>
                <c:formatCode>0.00%</c:formatCode>
                <c:ptCount val="2"/>
                <c:pt idx="0">
                  <c:v>8.2500000000000004E-3</c:v>
                </c:pt>
                <c:pt idx="1">
                  <c:v>0</c:v>
                </c:pt>
              </c:numCache>
            </c:numRef>
          </c:yVal>
          <c:smooth val="1"/>
        </c:ser>
        <c:ser>
          <c:idx val="5"/>
          <c:order val="4"/>
          <c:tx>
            <c:strRef>
              <c:f>DriftOff!$AF$113</c:f>
              <c:strCache>
                <c:ptCount val="1"/>
              </c:strCache>
            </c:strRef>
          </c:tx>
          <c:spPr>
            <a:ln w="28575">
              <a:solidFill>
                <a:srgbClr val="FFC000"/>
              </a:solidFill>
              <a:prstDash val="solid"/>
            </a:ln>
          </c:spPr>
          <c:marker>
            <c:symbol val="none"/>
          </c:marker>
          <c:dLbls>
            <c:dLbl>
              <c:idx val="0"/>
              <c:layout>
                <c:manualLayout>
                  <c:x val="-3.2567050299680969E-3"/>
                  <c:y val="3.9999999999999876E-2"/>
                </c:manualLayout>
              </c:layout>
              <c:showLegendKey val="0"/>
              <c:showVal val="1"/>
              <c:showCatName val="0"/>
              <c:showSerName val="0"/>
              <c:showPercent val="0"/>
              <c:showBubbleSize val="0"/>
            </c:dLbl>
            <c:dLbl>
              <c:idx val="1"/>
              <c:layout>
                <c:manualLayout>
                  <c:x val="1.6283525149840485E-3"/>
                  <c:y val="-2.0000000000000122E-2"/>
                </c:manualLayout>
              </c:layout>
              <c:tx>
                <c:rich>
                  <a:bodyPr/>
                  <a:lstStyle/>
                  <a:p>
                    <a:r>
                      <a:rPr lang="en-US" sz="900" baseline="0">
                        <a:solidFill>
                          <a:srgbClr val="A88000"/>
                        </a:solidFill>
                      </a:rPr>
                      <a:t>Yellow Circle (by POD)</a:t>
                    </a:r>
                  </a:p>
                </c:rich>
              </c:tx>
              <c:showLegendKey val="0"/>
              <c:showVal val="1"/>
              <c:showCatName val="0"/>
              <c:showSerName val="0"/>
              <c:showPercent val="0"/>
              <c:showBubbleSize val="0"/>
            </c:dLbl>
            <c:numFmt formatCode="0.0%" sourceLinked="0"/>
            <c:spPr>
              <a:ln>
                <a:noFill/>
              </a:ln>
            </c:spPr>
            <c:txPr>
              <a:bodyPr/>
              <a:lstStyle/>
              <a:p>
                <a:pPr>
                  <a:defRPr sz="900">
                    <a:solidFill>
                      <a:srgbClr val="A88000"/>
                    </a:solidFill>
                  </a:defRPr>
                </a:pPr>
                <a:endParaRPr lang="en-US"/>
              </a:p>
            </c:txPr>
            <c:showLegendKey val="0"/>
            <c:showVal val="1"/>
            <c:showCatName val="0"/>
            <c:showSerName val="0"/>
            <c:showPercent val="0"/>
            <c:showBubbleSize val="0"/>
            <c:showLeaderLines val="0"/>
          </c:dLbls>
          <c:xVal>
            <c:numRef>
              <c:f>DriftOff!$AH$114:$AH$115</c:f>
              <c:numCache>
                <c:formatCode>0" sec"</c:formatCode>
                <c:ptCount val="2"/>
                <c:pt idx="0" formatCode="General">
                  <c:v>28</c:v>
                </c:pt>
                <c:pt idx="1">
                  <c:v>0</c:v>
                </c:pt>
              </c:numCache>
            </c:numRef>
          </c:xVal>
          <c:yVal>
            <c:numRef>
              <c:f>DriftOff!$AG$114:$AG$115</c:f>
              <c:numCache>
                <c:formatCode>0.00%</c:formatCode>
                <c:ptCount val="2"/>
                <c:pt idx="0">
                  <c:v>8.2500000000000004E-3</c:v>
                </c:pt>
                <c:pt idx="1">
                  <c:v>8.2500000000000004E-3</c:v>
                </c:pt>
              </c:numCache>
            </c:numRef>
          </c:yVal>
          <c:smooth val="1"/>
        </c:ser>
        <c:ser>
          <c:idx val="6"/>
          <c:order val="5"/>
          <c:tx>
            <c:strRef>
              <c:f>DriftOff!$AF$108</c:f>
              <c:strCache>
                <c:ptCount val="1"/>
                <c:pt idx="0">
                  <c:v>Red</c:v>
                </c:pt>
              </c:strCache>
            </c:strRef>
          </c:tx>
          <c:spPr>
            <a:ln w="28575">
              <a:solidFill>
                <a:srgbClr val="FF0000"/>
              </a:solidFill>
              <a:prstDash val="solid"/>
            </a:ln>
          </c:spPr>
          <c:marker>
            <c:symbol val="none"/>
          </c:marker>
          <c:dLbls>
            <c:dLbl>
              <c:idx val="0"/>
              <c:layout>
                <c:manualLayout>
                  <c:x val="-3.2623222710658095E-2"/>
                  <c:y val="-3.6842317787199708E-2"/>
                </c:manualLayout>
              </c:layout>
              <c:numFmt formatCode="0.0%" sourceLinked="0"/>
              <c:spPr>
                <a:noFill/>
                <a:ln w="25400">
                  <a:noFill/>
                </a:ln>
              </c:spPr>
              <c:txPr>
                <a:bodyPr/>
                <a:lstStyle/>
                <a:p>
                  <a:pPr algn="ctr" rtl="1">
                    <a:defRPr sz="900" b="1"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dLbl>
            <c:dLbl>
              <c:idx val="1"/>
              <c:layout>
                <c:manualLayout>
                  <c:x val="4.4759179484707206E-3"/>
                  <c:y val="-3.3003412073490813E-2"/>
                </c:manualLayout>
              </c:layout>
              <c:tx>
                <c:rich>
                  <a:bodyPr/>
                  <a:lstStyle/>
                  <a:p>
                    <a:pPr>
                      <a:defRPr sz="900" b="1" i="0" u="none" strike="noStrike" baseline="0">
                        <a:solidFill>
                          <a:srgbClr val="FF0000"/>
                        </a:solidFill>
                        <a:latin typeface="Arial"/>
                        <a:ea typeface="Arial"/>
                        <a:cs typeface="Arial"/>
                      </a:defRPr>
                    </a:pPr>
                    <a:r>
                      <a:rPr lang="en-US" sz="900" baseline="0"/>
                      <a:t>Red Circle (by POD)</a:t>
                    </a:r>
                  </a:p>
                </c:rich>
              </c:tx>
              <c:spPr>
                <a:noFill/>
                <a:ln w="25400">
                  <a:noFill/>
                </a:ln>
              </c:spPr>
              <c:dLblPos val="r"/>
              <c:showLegendKey val="0"/>
              <c:showVal val="0"/>
              <c:showCatName val="0"/>
              <c:showSerName val="0"/>
              <c:showPercent val="0"/>
              <c:showBubbleSize val="0"/>
            </c:dLbl>
            <c:spPr>
              <a:ln>
                <a:noFill/>
              </a:ln>
            </c:spPr>
            <c:txPr>
              <a:bodyPr/>
              <a:lstStyle/>
              <a:p>
                <a:pPr>
                  <a:defRPr sz="900"/>
                </a:pPr>
                <a:endParaRPr lang="en-US"/>
              </a:p>
            </c:txPr>
            <c:showLegendKey val="0"/>
            <c:showVal val="0"/>
            <c:showCatName val="0"/>
            <c:showSerName val="0"/>
            <c:showPercent val="0"/>
            <c:showBubbleSize val="0"/>
          </c:dLbls>
          <c:xVal>
            <c:numRef>
              <c:f>DriftOff!$AH$110:$AH$111</c:f>
              <c:numCache>
                <c:formatCode>0" sec"</c:formatCode>
                <c:ptCount val="2"/>
                <c:pt idx="0" formatCode="General">
                  <c:v>73</c:v>
                </c:pt>
                <c:pt idx="1">
                  <c:v>0</c:v>
                </c:pt>
              </c:numCache>
            </c:numRef>
          </c:xVal>
          <c:yVal>
            <c:numRef>
              <c:f>DriftOff!$AG$110:$AG$111</c:f>
              <c:numCache>
                <c:formatCode>0.00%</c:formatCode>
                <c:ptCount val="2"/>
                <c:pt idx="0">
                  <c:v>4.0500000000000001E-2</c:v>
                </c:pt>
                <c:pt idx="1">
                  <c:v>4.0500000000000001E-2</c:v>
                </c:pt>
              </c:numCache>
            </c:numRef>
          </c:yVal>
          <c:smooth val="1"/>
        </c:ser>
        <c:ser>
          <c:idx val="0"/>
          <c:order val="6"/>
          <c:tx>
            <c:strRef>
              <c:f>DriftOff!$AF$108</c:f>
              <c:strCache>
                <c:ptCount val="1"/>
                <c:pt idx="0">
                  <c:v>Red</c:v>
                </c:pt>
              </c:strCache>
            </c:strRef>
          </c:tx>
          <c:spPr>
            <a:ln w="28575">
              <a:solidFill>
                <a:srgbClr val="FF0000"/>
              </a:solidFill>
              <a:prstDash val="solid"/>
            </a:ln>
          </c:spPr>
          <c:marker>
            <c:symbol val="none"/>
          </c:marker>
          <c:xVal>
            <c:numRef>
              <c:f>DriftOff!$AH$108:$AH$109</c:f>
              <c:numCache>
                <c:formatCode>0" sec"</c:formatCode>
                <c:ptCount val="2"/>
                <c:pt idx="0">
                  <c:v>73</c:v>
                </c:pt>
                <c:pt idx="1">
                  <c:v>73</c:v>
                </c:pt>
              </c:numCache>
            </c:numRef>
          </c:xVal>
          <c:yVal>
            <c:numRef>
              <c:f>DriftOff!$AG$108:$AG$109</c:f>
              <c:numCache>
                <c:formatCode>0.00%</c:formatCode>
                <c:ptCount val="2"/>
                <c:pt idx="0">
                  <c:v>4.0500000000000001E-2</c:v>
                </c:pt>
                <c:pt idx="1">
                  <c:v>0</c:v>
                </c:pt>
              </c:numCache>
            </c:numRef>
          </c:yVal>
          <c:smooth val="1"/>
        </c:ser>
        <c:dLbls>
          <c:showLegendKey val="0"/>
          <c:showVal val="0"/>
          <c:showCatName val="0"/>
          <c:showSerName val="0"/>
          <c:showPercent val="0"/>
          <c:showBubbleSize val="0"/>
        </c:dLbls>
        <c:axId val="167227392"/>
        <c:axId val="167229312"/>
      </c:scatterChart>
      <c:valAx>
        <c:axId val="167227392"/>
        <c:scaling>
          <c:orientation val="minMax"/>
          <c:max val="150"/>
          <c:min val="0"/>
        </c:scaling>
        <c:delete val="0"/>
        <c:axPos val="b"/>
        <c:majorGridlines>
          <c:spPr>
            <a:ln w="3175">
              <a:solidFill>
                <a:schemeClr val="bg1">
                  <a:lumMod val="75000"/>
                </a:schemeClr>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Time (sec)</a:t>
                </a:r>
              </a:p>
            </c:rich>
          </c:tx>
          <c:layout>
            <c:manualLayout>
              <c:xMode val="edge"/>
              <c:yMode val="edge"/>
              <c:x val="0.45956032729690915"/>
              <c:y val="0.9186812735364601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7229312"/>
        <c:crosses val="autoZero"/>
        <c:crossBetween val="midCat"/>
        <c:majorUnit val="30"/>
        <c:minorUnit val="5"/>
      </c:valAx>
      <c:valAx>
        <c:axId val="167229312"/>
        <c:scaling>
          <c:orientation val="minMax"/>
          <c:min val="0"/>
        </c:scaling>
        <c:delete val="0"/>
        <c:axPos val="l"/>
        <c:majorGridlines>
          <c:spPr>
            <a:ln w="3175">
              <a:solidFill>
                <a:schemeClr val="bg1">
                  <a:lumMod val="75000"/>
                </a:schemeClr>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Radius (%WD)</a:t>
                </a:r>
              </a:p>
            </c:rich>
          </c:tx>
          <c:layout>
            <c:manualLayout>
              <c:xMode val="edge"/>
              <c:yMode val="edge"/>
              <c:x val="2.4539815020062517E-2"/>
              <c:y val="0.41318680817071779"/>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7227392"/>
        <c:crossesAt val="-200000"/>
        <c:crossBetween val="midCat"/>
      </c:valAx>
      <c:spPr>
        <a:noFill/>
        <a:ln w="12700">
          <a:solidFill>
            <a:srgbClr val="000000"/>
          </a:solidFill>
          <a:prstDash val="solid"/>
        </a:ln>
      </c:spPr>
    </c:plotArea>
    <c:plotVisOnly val="1"/>
    <c:dispBlanksAs val="gap"/>
    <c:showDLblsOverMax val="0"/>
  </c:chart>
  <c:spPr>
    <a:solidFill>
      <a:schemeClr val="bg1"/>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Heading vs. Time</a:t>
            </a:r>
          </a:p>
        </c:rich>
      </c:tx>
      <c:layout>
        <c:manualLayout>
          <c:xMode val="edge"/>
          <c:yMode val="edge"/>
          <c:x val="0.41896762904636925"/>
          <c:y val="3.054991620023401E-2"/>
        </c:manualLayout>
      </c:layout>
      <c:overlay val="0"/>
      <c:spPr>
        <a:noFill/>
        <a:ln w="25400">
          <a:noFill/>
        </a:ln>
      </c:spPr>
    </c:title>
    <c:autoTitleDeleted val="0"/>
    <c:plotArea>
      <c:layout>
        <c:manualLayout>
          <c:layoutTarget val="inner"/>
          <c:xMode val="edge"/>
          <c:yMode val="edge"/>
          <c:x val="0.10444177671068428"/>
          <c:y val="0.17515274949083504"/>
          <c:w val="0.8355342136854742"/>
          <c:h val="0.66598778004073322"/>
        </c:manualLayout>
      </c:layout>
      <c:scatterChart>
        <c:scatterStyle val="smoothMarker"/>
        <c:varyColors val="0"/>
        <c:ser>
          <c:idx val="0"/>
          <c:order val="0"/>
          <c:spPr>
            <a:ln w="12700">
              <a:solidFill>
                <a:srgbClr val="000080"/>
              </a:solidFill>
              <a:prstDash val="solid"/>
            </a:ln>
          </c:spPr>
          <c:marker>
            <c:symbol val="none"/>
          </c:marker>
          <c:xVal>
            <c:numRef>
              <c:f>DriftOff!$Q$60:$Q$1107</c:f>
              <c:numCache>
                <c:formatCode>General</c:formatCode>
                <c:ptCount val="104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DriftOff!$T$60:$T$1107</c:f>
              <c:numCache>
                <c:formatCode>0.00</c:formatCode>
                <c:ptCount val="1048"/>
                <c:pt idx="0">
                  <c:v>60</c:v>
                </c:pt>
                <c:pt idx="1">
                  <c:v>60.000179290771484</c:v>
                </c:pt>
                <c:pt idx="2">
                  <c:v>60.000717163085937</c:v>
                </c:pt>
                <c:pt idx="3">
                  <c:v>60.001617431640625</c:v>
                </c:pt>
                <c:pt idx="4">
                  <c:v>60.002891540527344</c:v>
                </c:pt>
                <c:pt idx="5">
                  <c:v>60.004535675048828</c:v>
                </c:pt>
                <c:pt idx="6">
                  <c:v>60.006561279296875</c:v>
                </c:pt>
                <c:pt idx="7">
                  <c:v>60.008968353271484</c:v>
                </c:pt>
                <c:pt idx="8">
                  <c:v>60.011764526367188</c:v>
                </c:pt>
                <c:pt idx="9">
                  <c:v>60.014949798583984</c:v>
                </c:pt>
                <c:pt idx="10">
                  <c:v>60.018531799316406</c:v>
                </c:pt>
                <c:pt idx="11">
                  <c:v>60.022514343261719</c:v>
                </c:pt>
                <c:pt idx="12">
                  <c:v>60.026897430419922</c:v>
                </c:pt>
                <c:pt idx="13">
                  <c:v>60.031681060791016</c:v>
                </c:pt>
                <c:pt idx="14">
                  <c:v>60.036876678466797</c:v>
                </c:pt>
                <c:pt idx="15">
                  <c:v>60.04248046875</c:v>
                </c:pt>
                <c:pt idx="16">
                  <c:v>60.048492431640625</c:v>
                </c:pt>
                <c:pt idx="17">
                  <c:v>60.054916381835938</c:v>
                </c:pt>
                <c:pt idx="18">
                  <c:v>60.061756134033203</c:v>
                </c:pt>
                <c:pt idx="19">
                  <c:v>60.069004058837891</c:v>
                </c:pt>
                <c:pt idx="20">
                  <c:v>60.076663970947266</c:v>
                </c:pt>
                <c:pt idx="21">
                  <c:v>60.084732055664062</c:v>
                </c:pt>
                <c:pt idx="22">
                  <c:v>60.093208312988281</c:v>
                </c:pt>
                <c:pt idx="23">
                  <c:v>60.102092742919922</c:v>
                </c:pt>
                <c:pt idx="24">
                  <c:v>60.111373901367188</c:v>
                </c:pt>
                <c:pt idx="25">
                  <c:v>60.121051788330078</c:v>
                </c:pt>
                <c:pt idx="26">
                  <c:v>60.131118774414063</c:v>
                </c:pt>
                <c:pt idx="27">
                  <c:v>60.141567230224609</c:v>
                </c:pt>
                <c:pt idx="28">
                  <c:v>60.152393341064453</c:v>
                </c:pt>
                <c:pt idx="29">
                  <c:v>60.163581848144531</c:v>
                </c:pt>
                <c:pt idx="30">
                  <c:v>60.175128936767578</c:v>
                </c:pt>
                <c:pt idx="31">
                  <c:v>60.187019348144531</c:v>
                </c:pt>
                <c:pt idx="32">
                  <c:v>60.199241638183594</c:v>
                </c:pt>
                <c:pt idx="33">
                  <c:v>60.211780548095703</c:v>
                </c:pt>
                <c:pt idx="34">
                  <c:v>60.224620819091797</c:v>
                </c:pt>
                <c:pt idx="35">
                  <c:v>60.237743377685547</c:v>
                </c:pt>
                <c:pt idx="36">
                  <c:v>60.251129150390625</c:v>
                </c:pt>
                <c:pt idx="37">
                  <c:v>60.264759063720703</c:v>
                </c:pt>
                <c:pt idx="38">
                  <c:v>60.278610229492187</c:v>
                </c:pt>
                <c:pt idx="39">
                  <c:v>60.292659759521484</c:v>
                </c:pt>
                <c:pt idx="40">
                  <c:v>60.306884765625</c:v>
                </c:pt>
                <c:pt idx="41">
                  <c:v>60.321258544921875</c:v>
                </c:pt>
                <c:pt idx="42">
                  <c:v>60.33575439453125</c:v>
                </c:pt>
                <c:pt idx="43">
                  <c:v>60.350349426269531</c:v>
                </c:pt>
                <c:pt idx="44">
                  <c:v>60.365009307861328</c:v>
                </c:pt>
                <c:pt idx="45">
                  <c:v>60.379711151123047</c:v>
                </c:pt>
                <c:pt idx="46">
                  <c:v>60.394420623779297</c:v>
                </c:pt>
                <c:pt idx="47">
                  <c:v>60.409111022949219</c:v>
                </c:pt>
                <c:pt idx="48">
                  <c:v>60.423751831054688</c:v>
                </c:pt>
                <c:pt idx="49">
                  <c:v>60.438312530517578</c:v>
                </c:pt>
                <c:pt idx="50">
                  <c:v>60.452762603759766</c:v>
                </c:pt>
                <c:pt idx="51">
                  <c:v>60.467067718505859</c:v>
                </c:pt>
                <c:pt idx="52">
                  <c:v>60.481201171875</c:v>
                </c:pt>
                <c:pt idx="53">
                  <c:v>60.495132446289063</c:v>
                </c:pt>
                <c:pt idx="54">
                  <c:v>60.508827209472656</c:v>
                </c:pt>
                <c:pt idx="55">
                  <c:v>60.522258758544922</c:v>
                </c:pt>
                <c:pt idx="56">
                  <c:v>60.535392761230469</c:v>
                </c:pt>
                <c:pt idx="57">
                  <c:v>60.548198699951172</c:v>
                </c:pt>
                <c:pt idx="58">
                  <c:v>60.560649871826172</c:v>
                </c:pt>
                <c:pt idx="59">
                  <c:v>60.572715759277344</c:v>
                </c:pt>
                <c:pt idx="60">
                  <c:v>60.584365844726562</c:v>
                </c:pt>
                <c:pt idx="61">
                  <c:v>60.595573425292969</c:v>
                </c:pt>
                <c:pt idx="62">
                  <c:v>60.606304168701172</c:v>
                </c:pt>
                <c:pt idx="63">
                  <c:v>60.616531372070313</c:v>
                </c:pt>
                <c:pt idx="64">
                  <c:v>60.626228332519531</c:v>
                </c:pt>
                <c:pt idx="65">
                  <c:v>60.635368347167969</c:v>
                </c:pt>
                <c:pt idx="66">
                  <c:v>60.6439208984375</c:v>
                </c:pt>
                <c:pt idx="67">
                  <c:v>60.651859283447266</c:v>
                </c:pt>
                <c:pt idx="68">
                  <c:v>60.659156799316406</c:v>
                </c:pt>
                <c:pt idx="69">
                  <c:v>60.665786743164063</c:v>
                </c:pt>
                <c:pt idx="70">
                  <c:v>60.671718597412109</c:v>
                </c:pt>
                <c:pt idx="71">
                  <c:v>60.676933288574219</c:v>
                </c:pt>
                <c:pt idx="72">
                  <c:v>60.681400299072266</c:v>
                </c:pt>
                <c:pt idx="73">
                  <c:v>60.685092926025391</c:v>
                </c:pt>
                <c:pt idx="74">
                  <c:v>60.687980651855469</c:v>
                </c:pt>
                <c:pt idx="75">
                  <c:v>60.690040588378906</c:v>
                </c:pt>
                <c:pt idx="76">
                  <c:v>60.691238403320313</c:v>
                </c:pt>
                <c:pt idx="77">
                  <c:v>60.691543579101563</c:v>
                </c:pt>
                <c:pt idx="78">
                  <c:v>60.690929412841797</c:v>
                </c:pt>
                <c:pt idx="79">
                  <c:v>60.689357757568359</c:v>
                </c:pt>
                <c:pt idx="80">
                  <c:v>60.686798095703125</c:v>
                </c:pt>
                <c:pt idx="81">
                  <c:v>60.683216094970703</c:v>
                </c:pt>
                <c:pt idx="82">
                  <c:v>60.678569793701172</c:v>
                </c:pt>
                <c:pt idx="83">
                  <c:v>60.672821044921875</c:v>
                </c:pt>
                <c:pt idx="84">
                  <c:v>60.665939331054688</c:v>
                </c:pt>
                <c:pt idx="85">
                  <c:v>60.657878875732422</c:v>
                </c:pt>
                <c:pt idx="86">
                  <c:v>60.648601531982422</c:v>
                </c:pt>
                <c:pt idx="87">
                  <c:v>60.638065338134766</c:v>
                </c:pt>
                <c:pt idx="88">
                  <c:v>60.626235961914062</c:v>
                </c:pt>
                <c:pt idx="89">
                  <c:v>60.613067626953125</c:v>
                </c:pt>
                <c:pt idx="90">
                  <c:v>60.598529815673828</c:v>
                </c:pt>
                <c:pt idx="91">
                  <c:v>60.582572937011719</c:v>
                </c:pt>
                <c:pt idx="92">
                  <c:v>60.565166473388672</c:v>
                </c:pt>
                <c:pt idx="93">
                  <c:v>60.546272277832031</c:v>
                </c:pt>
                <c:pt idx="94">
                  <c:v>60.525852203369141</c:v>
                </c:pt>
                <c:pt idx="95">
                  <c:v>60.503868103027344</c:v>
                </c:pt>
                <c:pt idx="96">
                  <c:v>60.48028564453125</c:v>
                </c:pt>
                <c:pt idx="97">
                  <c:v>60.455070495605469</c:v>
                </c:pt>
                <c:pt idx="98">
                  <c:v>60.428180694580078</c:v>
                </c:pt>
                <c:pt idx="99">
                  <c:v>60.399581909179688</c:v>
                </c:pt>
                <c:pt idx="100">
                  <c:v>60.369235992431641</c:v>
                </c:pt>
                <c:pt idx="101">
                  <c:v>60.337100982666016</c:v>
                </c:pt>
                <c:pt idx="102">
                  <c:v>60.303142547607422</c:v>
                </c:pt>
                <c:pt idx="103">
                  <c:v>60.267314910888672</c:v>
                </c:pt>
                <c:pt idx="104">
                  <c:v>60.229579925537109</c:v>
                </c:pt>
                <c:pt idx="105">
                  <c:v>60.189888000488281</c:v>
                </c:pt>
                <c:pt idx="106">
                  <c:v>60.148200988769531</c:v>
                </c:pt>
                <c:pt idx="107">
                  <c:v>60.104469299316406</c:v>
                </c:pt>
                <c:pt idx="108">
                  <c:v>60.058643341064453</c:v>
                </c:pt>
                <c:pt idx="109">
                  <c:v>60.010677337646484</c:v>
                </c:pt>
                <c:pt idx="110">
                  <c:v>59.960517883300781</c:v>
                </c:pt>
                <c:pt idx="111">
                  <c:v>59.908115386962891</c:v>
                </c:pt>
                <c:pt idx="112">
                  <c:v>59.853420257568359</c:v>
                </c:pt>
                <c:pt idx="113">
                  <c:v>59.796375274658203</c:v>
                </c:pt>
                <c:pt idx="114">
                  <c:v>59.736930847167969</c:v>
                </c:pt>
                <c:pt idx="115">
                  <c:v>59.675037384033203</c:v>
                </c:pt>
                <c:pt idx="116">
                  <c:v>59.610637664794922</c:v>
                </c:pt>
                <c:pt idx="117">
                  <c:v>59.543685913085938</c:v>
                </c:pt>
                <c:pt idx="118">
                  <c:v>59.47412109375</c:v>
                </c:pt>
                <c:pt idx="119">
                  <c:v>59.401901245117187</c:v>
                </c:pt>
                <c:pt idx="120">
                  <c:v>59.326969146728516</c:v>
                </c:pt>
                <c:pt idx="121">
                  <c:v>59.249275207519531</c:v>
                </c:pt>
                <c:pt idx="122">
                  <c:v>59.168773651123047</c:v>
                </c:pt>
                <c:pt idx="123">
                  <c:v>59.085414886474609</c:v>
                </c:pt>
                <c:pt idx="124">
                  <c:v>58.9991455078125</c:v>
                </c:pt>
                <c:pt idx="125">
                  <c:v>58.909927368164063</c:v>
                </c:pt>
                <c:pt idx="126">
                  <c:v>58.817707061767578</c:v>
                </c:pt>
                <c:pt idx="127">
                  <c:v>58.722442626953125</c:v>
                </c:pt>
                <c:pt idx="128">
                  <c:v>58.624092102050781</c:v>
                </c:pt>
                <c:pt idx="129">
                  <c:v>58.522609710693359</c:v>
                </c:pt>
                <c:pt idx="130">
                  <c:v>58.417957305908203</c:v>
                </c:pt>
                <c:pt idx="131">
                  <c:v>58.310089111328125</c:v>
                </c:pt>
                <c:pt idx="132">
                  <c:v>58.198963165283203</c:v>
                </c:pt>
                <c:pt idx="133">
                  <c:v>58.084548950195313</c:v>
                </c:pt>
                <c:pt idx="134">
                  <c:v>57.966796875</c:v>
                </c:pt>
                <c:pt idx="135">
                  <c:v>57.845672607421875</c:v>
                </c:pt>
                <c:pt idx="136">
                  <c:v>57.721134185791016</c:v>
                </c:pt>
                <c:pt idx="137">
                  <c:v>57.593147277832031</c:v>
                </c:pt>
                <c:pt idx="138">
                  <c:v>57.461673736572266</c:v>
                </c:pt>
                <c:pt idx="139">
                  <c:v>57.326671600341797</c:v>
                </c:pt>
                <c:pt idx="140">
                  <c:v>57.188106536865234</c:v>
                </c:pt>
                <c:pt idx="141">
                  <c:v>57.045940399169922</c:v>
                </c:pt>
                <c:pt idx="142">
                  <c:v>56.900135040283203</c:v>
                </c:pt>
                <c:pt idx="143">
                  <c:v>56.750652313232422</c:v>
                </c:pt>
                <c:pt idx="144">
                  <c:v>56.597457885742187</c:v>
                </c:pt>
                <c:pt idx="145">
                  <c:v>56.440513610839844</c:v>
                </c:pt>
                <c:pt idx="146">
                  <c:v>56.279777526855469</c:v>
                </c:pt>
                <c:pt idx="147">
                  <c:v>56.115215301513672</c:v>
                </c:pt>
                <c:pt idx="148">
                  <c:v>55.946792602539063</c:v>
                </c:pt>
                <c:pt idx="149">
                  <c:v>55.774467468261719</c:v>
                </c:pt>
                <c:pt idx="150">
                  <c:v>55.598201751708984</c:v>
                </c:pt>
              </c:numCache>
            </c:numRef>
          </c:yVal>
          <c:smooth val="1"/>
        </c:ser>
        <c:dLbls>
          <c:showLegendKey val="0"/>
          <c:showVal val="0"/>
          <c:showCatName val="0"/>
          <c:showSerName val="0"/>
          <c:showPercent val="0"/>
          <c:showBubbleSize val="0"/>
        </c:dLbls>
        <c:axId val="175983232"/>
        <c:axId val="175989504"/>
      </c:scatterChart>
      <c:valAx>
        <c:axId val="175983232"/>
        <c:scaling>
          <c:orientation val="minMax"/>
          <c:max val="150"/>
        </c:scaling>
        <c:delete val="0"/>
        <c:axPos val="b"/>
        <c:majorGridlines>
          <c:spPr>
            <a:ln w="3175">
              <a:solidFill>
                <a:srgbClr val="C0C0C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Time [sec]</a:t>
                </a:r>
              </a:p>
            </c:rich>
          </c:tx>
          <c:layout>
            <c:manualLayout>
              <c:xMode val="edge"/>
              <c:yMode val="edge"/>
              <c:x val="0.48139255480388898"/>
              <c:y val="0.9042770557294795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5989504"/>
        <c:crosses val="autoZero"/>
        <c:crossBetween val="midCat"/>
        <c:majorUnit val="30"/>
        <c:minorUnit val="5"/>
      </c:valAx>
      <c:valAx>
        <c:axId val="175989504"/>
        <c:scaling>
          <c:orientation val="minMax"/>
          <c:max val="360"/>
          <c:min val="0"/>
        </c:scaling>
        <c:delete val="0"/>
        <c:axPos val="l"/>
        <c:majorGridlines>
          <c:spPr>
            <a:ln w="3175">
              <a:solidFill>
                <a:srgbClr val="C0C0C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Vessel Heading [deg TN]</a:t>
                </a:r>
              </a:p>
            </c:rich>
          </c:tx>
          <c:layout>
            <c:manualLayout>
              <c:xMode val="edge"/>
              <c:yMode val="edge"/>
              <c:x val="2.9667296851830841E-2"/>
              <c:y val="0.29525181411147133"/>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5983232"/>
        <c:crosses val="autoZero"/>
        <c:crossBetween val="midCat"/>
        <c:majorUnit val="45"/>
      </c:valAx>
      <c:spPr>
        <a:solidFill>
          <a:srgbClr val="FFFFFF"/>
        </a:solid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100" b="1" i="0" u="none" strike="noStrike" baseline="0">
                <a:solidFill>
                  <a:srgbClr val="000000"/>
                </a:solidFill>
                <a:latin typeface="Arial"/>
                <a:ea typeface="Arial"/>
                <a:cs typeface="Arial"/>
              </a:defRPr>
            </a:pPr>
            <a:r>
              <a:rPr lang="en-US"/>
              <a:t>DP RED and</a:t>
            </a:r>
            <a:r>
              <a:rPr lang="en-US" baseline="0"/>
              <a:t> YELLOW </a:t>
            </a:r>
            <a:r>
              <a:rPr lang="en-US"/>
              <a:t>Watch Circles</a:t>
            </a:r>
            <a:r>
              <a:rPr lang="en-US" baseline="0"/>
              <a:t> </a:t>
            </a:r>
            <a:r>
              <a:rPr lang="en-US" sz="1100" b="1" i="0" u="none" strike="noStrike" baseline="0">
                <a:effectLst/>
              </a:rPr>
              <a:t>(Ops. Manual) </a:t>
            </a:r>
            <a:r>
              <a:rPr lang="en-US" baseline="0"/>
              <a:t>Reference to Set Point</a:t>
            </a:r>
            <a:endParaRPr lang="en-US"/>
          </a:p>
        </c:rich>
      </c:tx>
      <c:layout>
        <c:manualLayout>
          <c:xMode val="edge"/>
          <c:yMode val="edge"/>
          <c:x val="0.18989667526317125"/>
          <c:y val="3.0769175512964639E-2"/>
        </c:manualLayout>
      </c:layout>
      <c:overlay val="0"/>
      <c:spPr>
        <a:noFill/>
        <a:ln w="25400">
          <a:noFill/>
        </a:ln>
      </c:spPr>
    </c:title>
    <c:autoTitleDeleted val="0"/>
    <c:plotArea>
      <c:layout>
        <c:manualLayout>
          <c:layoutTarget val="inner"/>
          <c:xMode val="edge"/>
          <c:yMode val="edge"/>
          <c:x val="0.10552147239263804"/>
          <c:y val="0.17251146867511125"/>
          <c:w val="0.81195155903938254"/>
          <c:h val="0.67803788656852682"/>
        </c:manualLayout>
      </c:layout>
      <c:scatterChart>
        <c:scatterStyle val="smoothMarker"/>
        <c:varyColors val="0"/>
        <c:ser>
          <c:idx val="13"/>
          <c:order val="0"/>
          <c:spPr>
            <a:ln w="12700">
              <a:solidFill>
                <a:srgbClr val="008000"/>
              </a:solidFill>
              <a:prstDash val="solid"/>
            </a:ln>
          </c:spPr>
          <c:marker>
            <c:symbol val="none"/>
          </c:marker>
          <c:xVal>
            <c:numRef>
              <c:f>DriftOff!$Q$60:$Q$1087</c:f>
              <c:numCache>
                <c:formatCode>General</c:formatCode>
                <c:ptCount val="10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DriftOff!$Y$60:$Y$1169</c:f>
              <c:numCache>
                <c:formatCode>0.00</c:formatCode>
                <c:ptCount val="1110"/>
                <c:pt idx="0">
                  <c:v>2.7950849718747371E-3</c:v>
                </c:pt>
                <c:pt idx="1">
                  <c:v>2.8008693424401072E-3</c:v>
                </c:pt>
                <c:pt idx="2">
                  <c:v>2.8182428636499891E-3</c:v>
                </c:pt>
                <c:pt idx="3">
                  <c:v>2.8473305331626676E-3</c:v>
                </c:pt>
                <c:pt idx="4">
                  <c:v>2.8883727720160524E-3</c:v>
                </c:pt>
                <c:pt idx="5">
                  <c:v>2.9417055090240319E-3</c:v>
                </c:pt>
                <c:pt idx="6">
                  <c:v>3.0077358123667495E-3</c:v>
                </c:pt>
                <c:pt idx="7">
                  <c:v>3.0869151953419917E-3</c:v>
                </c:pt>
                <c:pt idx="8">
                  <c:v>3.1797128262866436E-3</c:v>
                </c:pt>
                <c:pt idx="9">
                  <c:v>3.2865907221325567E-3</c:v>
                </c:pt>
                <c:pt idx="10">
                  <c:v>3.4079826168993076E-3</c:v>
                </c:pt>
                <c:pt idx="11">
                  <c:v>3.5442776332228519E-3</c:v>
                </c:pt>
                <c:pt idx="12">
                  <c:v>3.6958092451187725E-3</c:v>
                </c:pt>
                <c:pt idx="13">
                  <c:v>3.8628494127029341E-3</c:v>
                </c:pt>
                <c:pt idx="14">
                  <c:v>4.0456072856533713E-3</c:v>
                </c:pt>
                <c:pt idx="15">
                  <c:v>4.2442315641381722E-3</c:v>
                </c:pt>
                <c:pt idx="16">
                  <c:v>4.4588154814600729E-3</c:v>
                </c:pt>
                <c:pt idx="17">
                  <c:v>4.6894034031673493E-3</c:v>
                </c:pt>
                <c:pt idx="18">
                  <c:v>4.9359981741654334E-3</c:v>
                </c:pt>
                <c:pt idx="19">
                  <c:v>5.1985685363323134E-3</c:v>
                </c:pt>
                <c:pt idx="20">
                  <c:v>5.477056140673754E-3</c:v>
                </c:pt>
                <c:pt idx="21">
                  <c:v>5.7713818604994173E-3</c:v>
                </c:pt>
                <c:pt idx="22">
                  <c:v>6.0814512599206274E-3</c:v>
                </c:pt>
                <c:pt idx="23">
                  <c:v>6.40715918078352E-3</c:v>
                </c:pt>
                <c:pt idx="24">
                  <c:v>6.7483934837774947E-3</c:v>
                </c:pt>
                <c:pt idx="25">
                  <c:v>7.1050380223427554E-3</c:v>
                </c:pt>
                <c:pt idx="26">
                  <c:v>7.4769749486171622E-3</c:v>
                </c:pt>
                <c:pt idx="27">
                  <c:v>7.8640864559624338E-3</c:v>
                </c:pt>
                <c:pt idx="28">
                  <c:v>8.2662560582950368E-3</c:v>
                </c:pt>
                <c:pt idx="29">
                  <c:v>8.6833694967924074E-3</c:v>
                </c:pt>
                <c:pt idx="30">
                  <c:v>9.1153153525201629E-3</c:v>
                </c:pt>
                <c:pt idx="31">
                  <c:v>9.5619854310441382E-3</c:v>
                </c:pt>
                <c:pt idx="32">
                  <c:v>1.0023274973279671E-2</c:v>
                </c:pt>
                <c:pt idx="33">
                  <c:v>1.0499082736272602E-2</c:v>
                </c:pt>
                <c:pt idx="34">
                  <c:v>1.0989310980594165E-2</c:v>
                </c:pt>
                <c:pt idx="35">
                  <c:v>1.1493865413810178E-2</c:v>
                </c:pt>
                <c:pt idx="36">
                  <c:v>1.2012655123337905E-2</c:v>
                </c:pt>
                <c:pt idx="37">
                  <c:v>1.2545592486124855E-2</c:v>
                </c:pt>
                <c:pt idx="38">
                  <c:v>1.3092593058859807E-2</c:v>
                </c:pt>
                <c:pt idx="39">
                  <c:v>1.3653575457725624E-2</c:v>
                </c:pt>
                <c:pt idx="40">
                  <c:v>1.4228461234391905E-2</c:v>
                </c:pt>
                <c:pt idx="41">
                  <c:v>1.4817174753062492E-2</c:v>
                </c:pt>
                <c:pt idx="42">
                  <c:v>1.5419643071958002E-2</c:v>
                </c:pt>
                <c:pt idx="43">
                  <c:v>1.6035795831530607E-2</c:v>
                </c:pt>
                <c:pt idx="44">
                  <c:v>1.6665565150900442E-2</c:v>
                </c:pt>
                <c:pt idx="45">
                  <c:v>1.7308885533407235E-2</c:v>
                </c:pt>
                <c:pt idx="46">
                  <c:v>1.7965693781738738E-2</c:v>
                </c:pt>
                <c:pt idx="47">
                  <c:v>1.8635928922789719E-2</c:v>
                </c:pt>
                <c:pt idx="48">
                  <c:v>1.9319532142192543E-2</c:v>
                </c:pt>
                <c:pt idx="49">
                  <c:v>2.0016446728318229E-2</c:v>
                </c:pt>
                <c:pt idx="50">
                  <c:v>2.0726618025458717E-2</c:v>
                </c:pt>
                <c:pt idx="51">
                  <c:v>2.1449993395851869E-2</c:v>
                </c:pt>
                <c:pt idx="52">
                  <c:v>2.2186522190190988E-2</c:v>
                </c:pt>
                <c:pt idx="53">
                  <c:v>2.2936155725303099E-2</c:v>
                </c:pt>
                <c:pt idx="54">
                  <c:v>2.3698847254242272E-2</c:v>
                </c:pt>
                <c:pt idx="55">
                  <c:v>2.4474551914907935E-2</c:v>
                </c:pt>
                <c:pt idx="56">
                  <c:v>2.5263226677151657E-2</c:v>
                </c:pt>
                <c:pt idx="57">
                  <c:v>2.6064830296227078E-2</c:v>
                </c:pt>
                <c:pt idx="58">
                  <c:v>2.6879323272373377E-2</c:v>
                </c:pt>
                <c:pt idx="59">
                  <c:v>2.770666781616847E-2</c:v>
                </c:pt>
                <c:pt idx="60">
                  <c:v>2.8546827819338486E-2</c:v>
                </c:pt>
                <c:pt idx="61">
                  <c:v>2.9399768830758323E-2</c:v>
                </c:pt>
                <c:pt idx="62">
                  <c:v>3.0265458037422931E-2</c:v>
                </c:pt>
                <c:pt idx="63">
                  <c:v>3.1143864250210603E-2</c:v>
                </c:pt>
                <c:pt idx="64">
                  <c:v>3.2034957894298575E-2</c:v>
                </c:pt>
                <c:pt idx="65">
                  <c:v>3.2938711004126944E-2</c:v>
                </c:pt>
                <c:pt idx="66">
                  <c:v>3.3855097222839921E-2</c:v>
                </c:pt>
                <c:pt idx="67">
                  <c:v>3.4784091804602603E-2</c:v>
                </c:pt>
                <c:pt idx="68">
                  <c:v>3.5725671571468567E-2</c:v>
                </c:pt>
                <c:pt idx="69">
                  <c:v>3.667981472741947E-2</c:v>
                </c:pt>
                <c:pt idx="70">
                  <c:v>3.7646500605761253E-2</c:v>
                </c:pt>
                <c:pt idx="71">
                  <c:v>3.8625709412984557E-2</c:v>
                </c:pt>
                <c:pt idx="72">
                  <c:v>3.961742197228995E-2</c:v>
                </c:pt>
                <c:pt idx="73">
                  <c:v>4.0621619466643243E-2</c:v>
                </c:pt>
                <c:pt idx="74">
                  <c:v>4.1638283181291626E-2</c:v>
                </c:pt>
                <c:pt idx="75">
                  <c:v>4.266739424574334E-2</c:v>
                </c:pt>
                <c:pt idx="76">
                  <c:v>4.3708933375289617E-2</c:v>
                </c:pt>
                <c:pt idx="77">
                  <c:v>4.4762880612230729E-2</c:v>
                </c:pt>
                <c:pt idx="78">
                  <c:v>4.5829215067055389E-2</c:v>
                </c:pt>
                <c:pt idx="79">
                  <c:v>4.6907914660192306E-2</c:v>
                </c:pt>
                <c:pt idx="80">
                  <c:v>4.7998955900188461E-2</c:v>
                </c:pt>
                <c:pt idx="81">
                  <c:v>4.9102313871640713E-2</c:v>
                </c:pt>
                <c:pt idx="82">
                  <c:v>5.0217962403081406E-2</c:v>
                </c:pt>
                <c:pt idx="83">
                  <c:v>5.1345874253544983E-2</c:v>
                </c:pt>
                <c:pt idx="84">
                  <c:v>5.2486021295502672E-2</c:v>
                </c:pt>
                <c:pt idx="85">
                  <c:v>5.36383746938369E-2</c:v>
                </c:pt>
                <c:pt idx="86">
                  <c:v>5.4802905080656598E-2</c:v>
                </c:pt>
                <c:pt idx="87">
                  <c:v>5.5979582725814013E-2</c:v>
                </c:pt>
                <c:pt idx="88">
                  <c:v>5.7168377703033145E-2</c:v>
                </c:pt>
                <c:pt idx="89">
                  <c:v>5.8369260051602263E-2</c:v>
                </c:pt>
                <c:pt idx="90">
                  <c:v>5.9582199933617519E-2</c:v>
                </c:pt>
                <c:pt idx="91">
                  <c:v>6.0807167786790538E-2</c:v>
                </c:pt>
                <c:pt idx="92">
                  <c:v>6.2044134466979962E-2</c:v>
                </c:pt>
                <c:pt idx="93">
                  <c:v>6.329307131303992E-2</c:v>
                </c:pt>
                <c:pt idx="94">
                  <c:v>6.4553950094300483E-2</c:v>
                </c:pt>
                <c:pt idx="95">
                  <c:v>6.5826742932043297E-2</c:v>
                </c:pt>
                <c:pt idx="96">
                  <c:v>6.7111422223595993E-2</c:v>
                </c:pt>
                <c:pt idx="97">
                  <c:v>6.8407960569549731E-2</c:v>
                </c:pt>
                <c:pt idx="98">
                  <c:v>6.9716330704095497E-2</c:v>
                </c:pt>
                <c:pt idx="99">
                  <c:v>7.1036505428460545E-2</c:v>
                </c:pt>
                <c:pt idx="100">
                  <c:v>7.2368457547415915E-2</c:v>
                </c:pt>
                <c:pt idx="101">
                  <c:v>7.3712159808816263E-2</c:v>
                </c:pt>
                <c:pt idx="102">
                  <c:v>7.506758484612551E-2</c:v>
                </c:pt>
                <c:pt idx="103">
                  <c:v>7.6434705123875221E-2</c:v>
                </c:pt>
                <c:pt idx="104">
                  <c:v>7.7813492885998106E-2</c:v>
                </c:pt>
                <c:pt idx="105">
                  <c:v>7.9203920106968889E-2</c:v>
                </c:pt>
                <c:pt idx="106">
                  <c:v>8.0605958445783707E-2</c:v>
                </c:pt>
                <c:pt idx="107">
                  <c:v>8.2019579206189144E-2</c:v>
                </c:pt>
                <c:pt idx="108">
                  <c:v>8.3444753310002701E-2</c:v>
                </c:pt>
                <c:pt idx="109">
                  <c:v>8.4881451277698E-2</c:v>
                </c:pt>
                <c:pt idx="110">
                  <c:v>8.6329643211478901E-2</c:v>
                </c:pt>
                <c:pt idx="111">
                  <c:v>8.778929878046679E-2</c:v>
                </c:pt>
                <c:pt idx="112">
                  <c:v>8.926038720788583E-2</c:v>
                </c:pt>
                <c:pt idx="113">
                  <c:v>9.0742877260141797E-2</c:v>
                </c:pt>
                <c:pt idx="114">
                  <c:v>9.2236737237700941E-2</c:v>
                </c:pt>
                <c:pt idx="115">
                  <c:v>9.3741934967683016E-2</c:v>
                </c:pt>
                <c:pt idx="116">
                  <c:v>9.5258437798090512E-2</c:v>
                </c:pt>
                <c:pt idx="117">
                  <c:v>9.6786212593602816E-2</c:v>
                </c:pt>
                <c:pt idx="118">
                  <c:v>9.8325225732868157E-2</c:v>
                </c:pt>
                <c:pt idx="119">
                  <c:v>9.9875443107231898E-2</c:v>
                </c:pt>
                <c:pt idx="120">
                  <c:v>0.10143683012084173</c:v>
                </c:pt>
                <c:pt idx="121">
                  <c:v>0.10300935169207409</c:v>
                </c:pt>
                <c:pt idx="122">
                  <c:v>0.10459297225622632</c:v>
                </c:pt>
                <c:pt idx="123">
                  <c:v>0.10618765576942155</c:v>
                </c:pt>
                <c:pt idx="124">
                  <c:v>0.10779336571367237</c:v>
                </c:pt>
                <c:pt idx="125">
                  <c:v>0.10941006510304961</c:v>
                </c:pt>
                <c:pt idx="126">
                  <c:v>0.11103771649091926</c:v>
                </c:pt>
                <c:pt idx="127">
                  <c:v>0.11267628197965675</c:v>
                </c:pt>
                <c:pt idx="128">
                  <c:v>0.11432572323817369</c:v>
                </c:pt>
                <c:pt idx="129">
                  <c:v>0.11598600152422758</c:v>
                </c:pt>
                <c:pt idx="130">
                  <c:v>0.11765707770612099</c:v>
                </c:pt>
                <c:pt idx="131">
                  <c:v>0.11933891228325853</c:v>
                </c:pt>
                <c:pt idx="132">
                  <c:v>0.12103146540559628</c:v>
                </c:pt>
                <c:pt idx="133">
                  <c:v>0.12273469689201642</c:v>
                </c:pt>
                <c:pt idx="134">
                  <c:v>0.12444856624765822</c:v>
                </c:pt>
                <c:pt idx="135">
                  <c:v>0.12617303268023353</c:v>
                </c:pt>
                <c:pt idx="136">
                  <c:v>0.12790805511535275</c:v>
                </c:pt>
                <c:pt idx="137">
                  <c:v>0.12965359221088529</c:v>
                </c:pt>
                <c:pt idx="138">
                  <c:v>0.13140960237037599</c:v>
                </c:pt>
                <c:pt idx="139">
                  <c:v>0.13317604375553738</c:v>
                </c:pt>
                <c:pt idx="140">
                  <c:v>0.13495287429783445</c:v>
                </c:pt>
                <c:pt idx="141">
                  <c:v>0.13674005170917736</c:v>
                </c:pt>
                <c:pt idx="142">
                  <c:v>0.13853753349173448</c:v>
                </c:pt>
                <c:pt idx="143">
                  <c:v>0.14034527694687715</c:v>
                </c:pt>
                <c:pt idx="144">
                  <c:v>0.14216323918326323</c:v>
                </c:pt>
                <c:pt idx="145">
                  <c:v>0.14399137712406654</c:v>
                </c:pt>
                <c:pt idx="146">
                  <c:v>0.14582964751335487</c:v>
                </c:pt>
                <c:pt idx="147">
                  <c:v>0.14767800692161803</c:v>
                </c:pt>
                <c:pt idx="148">
                  <c:v>0.14953641175044427</c:v>
                </c:pt>
                <c:pt idx="149">
                  <c:v>0.15140481823634128</c:v>
                </c:pt>
                <c:pt idx="150">
                  <c:v>0.15328318245369446</c:v>
                </c:pt>
              </c:numCache>
            </c:numRef>
          </c:yVal>
          <c:smooth val="1"/>
        </c:ser>
        <c:ser>
          <c:idx val="5"/>
          <c:order val="1"/>
          <c:spPr>
            <a:ln w="12700">
              <a:solidFill>
                <a:srgbClr val="FF0000"/>
              </a:solidFill>
              <a:prstDash val="solid"/>
            </a:ln>
          </c:spPr>
          <c:marker>
            <c:symbol val="none"/>
          </c:marker>
          <c:dPt>
            <c:idx val="1"/>
            <c:bubble3D val="0"/>
            <c:spPr>
              <a:ln w="28575">
                <a:solidFill>
                  <a:srgbClr val="FF0000"/>
                </a:solidFill>
                <a:prstDash val="solid"/>
              </a:ln>
            </c:spPr>
          </c:dPt>
          <c:xVal>
            <c:numRef>
              <c:f>DriftOff!$AH$100:$AH$101</c:f>
              <c:numCache>
                <c:formatCode>0" sec"</c:formatCode>
                <c:ptCount val="2"/>
                <c:pt idx="0">
                  <c:v>81</c:v>
                </c:pt>
                <c:pt idx="1">
                  <c:v>81</c:v>
                </c:pt>
              </c:numCache>
            </c:numRef>
          </c:xVal>
          <c:yVal>
            <c:numRef>
              <c:f>DriftOff!$AG$100:$AG$101</c:f>
              <c:numCache>
                <c:formatCode>0.00%</c:formatCode>
                <c:ptCount val="2"/>
                <c:pt idx="0">
                  <c:v>0.05</c:v>
                </c:pt>
                <c:pt idx="1">
                  <c:v>0</c:v>
                </c:pt>
              </c:numCache>
            </c:numRef>
          </c:yVal>
          <c:smooth val="1"/>
        </c:ser>
        <c:ser>
          <c:idx val="6"/>
          <c:order val="2"/>
          <c:spPr>
            <a:ln w="28575">
              <a:solidFill>
                <a:srgbClr val="FF0000"/>
              </a:solidFill>
              <a:prstDash val="solid"/>
            </a:ln>
          </c:spPr>
          <c:marker>
            <c:symbol val="none"/>
          </c:marker>
          <c:dLbls>
            <c:dLbl>
              <c:idx val="0"/>
              <c:layout>
                <c:manualLayout>
                  <c:x val="-3.2623222710658095E-2"/>
                  <c:y val="-3.6842317787199708E-2"/>
                </c:manualLayout>
              </c:layout>
              <c:numFmt formatCode="0.0%" sourceLinked="0"/>
              <c:spPr>
                <a:noFill/>
                <a:ln w="25400">
                  <a:noFill/>
                </a:ln>
              </c:spPr>
              <c:txPr>
                <a:bodyPr/>
                <a:lstStyle/>
                <a:p>
                  <a:pPr algn="ctr" rtl="1">
                    <a:defRPr sz="900" b="1" i="0" u="none" strike="noStrike" baseline="0">
                      <a:solidFill>
                        <a:srgbClr val="FF0000"/>
                      </a:solidFill>
                      <a:latin typeface="Arial"/>
                      <a:ea typeface="Arial"/>
                      <a:cs typeface="Arial"/>
                    </a:defRPr>
                  </a:pPr>
                  <a:endParaRPr lang="en-US"/>
                </a:p>
              </c:txPr>
              <c:dLblPos val="r"/>
              <c:showLegendKey val="0"/>
              <c:showVal val="1"/>
              <c:showCatName val="0"/>
              <c:showSerName val="0"/>
              <c:showPercent val="0"/>
              <c:showBubbleSize val="0"/>
            </c:dLbl>
            <c:dLbl>
              <c:idx val="1"/>
              <c:layout>
                <c:manualLayout>
                  <c:x val="-4.0899795501023184E-4"/>
                  <c:y val="-3.6336765596608145E-2"/>
                </c:manualLayout>
              </c:layout>
              <c:tx>
                <c:rich>
                  <a:bodyPr/>
                  <a:lstStyle/>
                  <a:p>
                    <a:pPr>
                      <a:defRPr sz="900" b="1" i="0" u="none" strike="noStrike" baseline="0">
                        <a:solidFill>
                          <a:srgbClr val="FF0000"/>
                        </a:solidFill>
                        <a:latin typeface="Arial"/>
                        <a:ea typeface="Arial"/>
                        <a:cs typeface="Arial"/>
                      </a:defRPr>
                    </a:pPr>
                    <a:r>
                      <a:rPr lang="en-US" sz="900"/>
                      <a:t>Red Circle (Op.</a:t>
                    </a:r>
                    <a:r>
                      <a:rPr lang="en-US" sz="900" baseline="0"/>
                      <a:t> Manual)</a:t>
                    </a:r>
                    <a:endParaRPr lang="en-US"/>
                  </a:p>
                </c:rich>
              </c:tx>
              <c:spPr>
                <a:noFill/>
                <a:ln w="25400">
                  <a:noFill/>
                </a:ln>
              </c:spPr>
              <c:dLblPos val="r"/>
              <c:showLegendKey val="0"/>
              <c:showVal val="0"/>
              <c:showCatName val="0"/>
              <c:showSerName val="0"/>
              <c:showPercent val="0"/>
              <c:showBubbleSize val="0"/>
            </c:dLbl>
            <c:txPr>
              <a:bodyPr/>
              <a:lstStyle/>
              <a:p>
                <a:pPr>
                  <a:defRPr sz="900"/>
                </a:pPr>
                <a:endParaRPr lang="en-US"/>
              </a:p>
            </c:txPr>
            <c:showLegendKey val="0"/>
            <c:showVal val="0"/>
            <c:showCatName val="0"/>
            <c:showSerName val="0"/>
            <c:showPercent val="0"/>
            <c:showBubbleSize val="0"/>
          </c:dLbls>
          <c:xVal>
            <c:numRef>
              <c:f>DriftOff!$AH$102:$AH$103</c:f>
              <c:numCache>
                <c:formatCode>0" sec"</c:formatCode>
                <c:ptCount val="2"/>
                <c:pt idx="0" formatCode="General">
                  <c:v>81</c:v>
                </c:pt>
                <c:pt idx="1">
                  <c:v>0</c:v>
                </c:pt>
              </c:numCache>
            </c:numRef>
          </c:xVal>
          <c:yVal>
            <c:numRef>
              <c:f>DriftOff!$AG$102:$AG$103</c:f>
              <c:numCache>
                <c:formatCode>0.00%</c:formatCode>
                <c:ptCount val="2"/>
                <c:pt idx="0">
                  <c:v>0.05</c:v>
                </c:pt>
                <c:pt idx="1">
                  <c:v>0.05</c:v>
                </c:pt>
              </c:numCache>
            </c:numRef>
          </c:yVal>
          <c:smooth val="1"/>
        </c:ser>
        <c:ser>
          <c:idx val="0"/>
          <c:order val="3"/>
          <c:tx>
            <c:strRef>
              <c:f>DriftOff!$AF$104</c:f>
              <c:strCache>
                <c:ptCount val="1"/>
                <c:pt idx="0">
                  <c:v>Yellow </c:v>
                </c:pt>
              </c:strCache>
            </c:strRef>
          </c:tx>
          <c:spPr>
            <a:ln>
              <a:solidFill>
                <a:srgbClr val="FFC000"/>
              </a:solidFill>
            </a:ln>
          </c:spPr>
          <c:marker>
            <c:symbol val="none"/>
          </c:marker>
          <c:xVal>
            <c:numRef>
              <c:f>DriftOff!$AH$104:$AH$105</c:f>
              <c:numCache>
                <c:formatCode>0" sec"</c:formatCode>
                <c:ptCount val="2"/>
                <c:pt idx="0">
                  <c:v>55</c:v>
                </c:pt>
                <c:pt idx="1">
                  <c:v>55</c:v>
                </c:pt>
              </c:numCache>
            </c:numRef>
          </c:xVal>
          <c:yVal>
            <c:numRef>
              <c:f>DriftOff!$AG$104:$AG$105</c:f>
              <c:numCache>
                <c:formatCode>0.00%</c:formatCode>
                <c:ptCount val="2"/>
                <c:pt idx="0">
                  <c:v>2.5000000000000001E-2</c:v>
                </c:pt>
                <c:pt idx="1">
                  <c:v>0</c:v>
                </c:pt>
              </c:numCache>
            </c:numRef>
          </c:yVal>
          <c:smooth val="1"/>
        </c:ser>
        <c:ser>
          <c:idx val="7"/>
          <c:order val="4"/>
          <c:tx>
            <c:strRef>
              <c:f>DriftOff!$AF$104</c:f>
              <c:strCache>
                <c:ptCount val="1"/>
                <c:pt idx="0">
                  <c:v>Yellow </c:v>
                </c:pt>
              </c:strCache>
            </c:strRef>
          </c:tx>
          <c:spPr>
            <a:ln>
              <a:solidFill>
                <a:srgbClr val="FFC000"/>
              </a:solidFill>
            </a:ln>
          </c:spPr>
          <c:marker>
            <c:symbol val="none"/>
          </c:marker>
          <c:dLbls>
            <c:dLbl>
              <c:idx val="0"/>
              <c:layout>
                <c:manualLayout>
                  <c:x val="-4.2337165389585263E-2"/>
                  <c:y val="-2.7017551324092091E-2"/>
                </c:manualLayout>
              </c:layout>
              <c:showLegendKey val="0"/>
              <c:showVal val="1"/>
              <c:showCatName val="0"/>
              <c:showSerName val="0"/>
              <c:showPercent val="0"/>
              <c:showBubbleSize val="0"/>
            </c:dLbl>
            <c:dLbl>
              <c:idx val="1"/>
              <c:layout>
                <c:manualLayout>
                  <c:x val="4.8850575449521311E-3"/>
                  <c:y val="-2.3333333333333334E-2"/>
                </c:manualLayout>
              </c:layout>
              <c:tx>
                <c:rich>
                  <a:bodyPr/>
                  <a:lstStyle/>
                  <a:p>
                    <a:r>
                      <a:rPr lang="en-US" sz="900" b="0" i="0" u="none" strike="noStrike" kern="1200" baseline="0">
                        <a:solidFill>
                          <a:srgbClr val="BD9A07"/>
                        </a:solidFill>
                        <a:latin typeface="Arial"/>
                        <a:ea typeface="Arial"/>
                        <a:cs typeface="Arial"/>
                      </a:rPr>
                      <a:t>Yellow Circle (Op. Manual)</a:t>
                    </a:r>
                    <a:endParaRPr lang="en-US"/>
                  </a:p>
                </c:rich>
              </c:tx>
              <c:showLegendKey val="0"/>
              <c:showVal val="1"/>
              <c:showCatName val="0"/>
              <c:showSerName val="0"/>
              <c:showPercent val="0"/>
              <c:showBubbleSize val="0"/>
            </c:dLbl>
            <c:spPr>
              <a:ln>
                <a:noFill/>
              </a:ln>
            </c:spPr>
            <c:txPr>
              <a:bodyPr/>
              <a:lstStyle/>
              <a:p>
                <a:pPr algn="ctr">
                  <a:defRPr lang="en-US" sz="900" b="0" i="0" u="none" strike="noStrike" kern="1200" baseline="0">
                    <a:solidFill>
                      <a:srgbClr val="BD9A07"/>
                    </a:solidFill>
                    <a:latin typeface="Arial"/>
                    <a:ea typeface="Arial"/>
                    <a:cs typeface="Arial"/>
                  </a:defRPr>
                </a:pPr>
                <a:endParaRPr lang="en-US"/>
              </a:p>
            </c:txPr>
            <c:showLegendKey val="0"/>
            <c:showVal val="1"/>
            <c:showCatName val="0"/>
            <c:showSerName val="0"/>
            <c:showPercent val="0"/>
            <c:showBubbleSize val="0"/>
            <c:showLeaderLines val="0"/>
          </c:dLbls>
          <c:xVal>
            <c:numRef>
              <c:f>DriftOff!$AH$106:$AH$107</c:f>
              <c:numCache>
                <c:formatCode>0" sec"</c:formatCode>
                <c:ptCount val="2"/>
                <c:pt idx="0" formatCode="General">
                  <c:v>55</c:v>
                </c:pt>
                <c:pt idx="1">
                  <c:v>0</c:v>
                </c:pt>
              </c:numCache>
            </c:numRef>
          </c:xVal>
          <c:yVal>
            <c:numRef>
              <c:f>DriftOff!$AG$106:$AG$107</c:f>
              <c:numCache>
                <c:formatCode>0.00%</c:formatCode>
                <c:ptCount val="2"/>
                <c:pt idx="0">
                  <c:v>2.5000000000000001E-2</c:v>
                </c:pt>
                <c:pt idx="1">
                  <c:v>2.5000000000000001E-2</c:v>
                </c:pt>
              </c:numCache>
            </c:numRef>
          </c:yVal>
          <c:smooth val="1"/>
        </c:ser>
        <c:dLbls>
          <c:showLegendKey val="0"/>
          <c:showVal val="0"/>
          <c:showCatName val="0"/>
          <c:showSerName val="0"/>
          <c:showPercent val="0"/>
          <c:showBubbleSize val="0"/>
        </c:dLbls>
        <c:axId val="178134016"/>
        <c:axId val="178155520"/>
      </c:scatterChart>
      <c:valAx>
        <c:axId val="178134016"/>
        <c:scaling>
          <c:orientation val="minMax"/>
          <c:max val="150"/>
          <c:min val="0"/>
        </c:scaling>
        <c:delete val="0"/>
        <c:axPos val="b"/>
        <c:majorGridlines>
          <c:spPr>
            <a:ln w="3175">
              <a:solidFill>
                <a:schemeClr val="bg1">
                  <a:lumMod val="75000"/>
                </a:schemeClr>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Time (sec)</a:t>
                </a:r>
              </a:p>
            </c:rich>
          </c:tx>
          <c:layout>
            <c:manualLayout>
              <c:xMode val="edge"/>
              <c:yMode val="edge"/>
              <c:x val="0.45956032729690915"/>
              <c:y val="0.9186812735364601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155520"/>
        <c:crossesAt val="-200000"/>
        <c:crossBetween val="midCat"/>
        <c:majorUnit val="30"/>
        <c:minorUnit val="5"/>
      </c:valAx>
      <c:valAx>
        <c:axId val="178155520"/>
        <c:scaling>
          <c:orientation val="minMax"/>
          <c:min val="0"/>
        </c:scaling>
        <c:delete val="0"/>
        <c:axPos val="l"/>
        <c:majorGridlines>
          <c:spPr>
            <a:ln w="3175">
              <a:solidFill>
                <a:schemeClr val="bg1">
                  <a:lumMod val="75000"/>
                </a:schemeClr>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Radius (%WD)</a:t>
                </a:r>
              </a:p>
            </c:rich>
          </c:tx>
          <c:layout>
            <c:manualLayout>
              <c:xMode val="edge"/>
              <c:yMode val="edge"/>
              <c:x val="2.4539815020062517E-2"/>
              <c:y val="0.41318680817071779"/>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8134016"/>
        <c:crossesAt val="-200000"/>
        <c:crossBetween val="midCat"/>
      </c:valAx>
      <c:spPr>
        <a:noFill/>
        <a:ln w="12700">
          <a:solidFill>
            <a:srgbClr val="000000"/>
          </a:solidFill>
          <a:prstDash val="solid"/>
        </a:ln>
      </c:spPr>
    </c:plotArea>
    <c:plotVisOnly val="1"/>
    <c:dispBlanksAs val="gap"/>
    <c:showDLblsOverMax val="0"/>
  </c:chart>
  <c:spPr>
    <a:solidFill>
      <a:schemeClr val="bg1"/>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jpeg"/><Relationship Id="rId5" Type="http://schemas.openxmlformats.org/officeDocument/2006/relationships/chart" Target="../charts/chart4.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0</xdr:colOff>
      <xdr:row>73</xdr:row>
      <xdr:rowOff>0</xdr:rowOff>
    </xdr:from>
    <xdr:to>
      <xdr:col>14</xdr:col>
      <xdr:colOff>0</xdr:colOff>
      <xdr:row>103</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2</xdr:col>
      <xdr:colOff>0</xdr:colOff>
      <xdr:row>102</xdr:row>
      <xdr:rowOff>179295</xdr:rowOff>
    </xdr:from>
    <xdr:to>
      <xdr:col>14</xdr:col>
      <xdr:colOff>0</xdr:colOff>
      <xdr:row>122</xdr:row>
      <xdr:rowOff>179295</xdr:rowOff>
    </xdr:to>
    <xdr:graphicFrame macro="">
      <xdr:nvGraphicFramePr>
        <xdr:cNvPr id="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11</xdr:col>
          <xdr:colOff>38100</xdr:colOff>
          <xdr:row>60</xdr:row>
          <xdr:rowOff>9525</xdr:rowOff>
        </xdr:from>
        <xdr:to>
          <xdr:col>14</xdr:col>
          <xdr:colOff>19050</xdr:colOff>
          <xdr:row>62</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50" b="1" i="0" u="none" strike="noStrike" baseline="0">
                  <a:solidFill>
                    <a:srgbClr val="0000FF"/>
                  </a:solidFill>
                  <a:latin typeface="Arial"/>
                  <a:cs typeface="Arial"/>
                </a:rPr>
                <a:t>Press Here to Update </a:t>
              </a:r>
            </a:p>
            <a:p>
              <a:pPr algn="ctr" rtl="0">
                <a:defRPr sz="1000"/>
              </a:pPr>
              <a:r>
                <a:rPr lang="en-US" sz="950" b="1" i="0" u="none" strike="noStrike" baseline="0">
                  <a:solidFill>
                    <a:srgbClr val="0000FF"/>
                  </a:solidFill>
                  <a:latin typeface="Arial"/>
                  <a:cs typeface="Arial"/>
                </a:rPr>
                <a:t>Drift-off Calculation</a:t>
              </a:r>
            </a:p>
          </xdr:txBody>
        </xdr:sp>
        <xdr:clientData fPrintsWithSheet="0"/>
      </xdr:twoCellAnchor>
    </mc:Choice>
    <mc:Fallback/>
  </mc:AlternateContent>
  <xdr:twoCellAnchor>
    <xdr:from>
      <xdr:col>2</xdr:col>
      <xdr:colOff>0</xdr:colOff>
      <xdr:row>141</xdr:row>
      <xdr:rowOff>156883</xdr:rowOff>
    </xdr:from>
    <xdr:to>
      <xdr:col>14</xdr:col>
      <xdr:colOff>1</xdr:colOff>
      <xdr:row>158</xdr:row>
      <xdr:rowOff>156883</xdr:rowOff>
    </xdr:to>
    <xdr:graphicFrame macro="">
      <xdr:nvGraphicFramePr>
        <xdr:cNvPr id="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392205</xdr:colOff>
      <xdr:row>0</xdr:row>
      <xdr:rowOff>67238</xdr:rowOff>
    </xdr:from>
    <xdr:to>
      <xdr:col>14</xdr:col>
      <xdr:colOff>156881</xdr:colOff>
      <xdr:row>3</xdr:row>
      <xdr:rowOff>149226</xdr:rowOff>
    </xdr:to>
    <xdr:pic>
      <xdr:nvPicPr>
        <xdr:cNvPr id="6" name="Picture 5" descr="GE_LOGO"/>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747" t="26695" r="4929" b="27582"/>
        <a:stretch>
          <a:fillRect/>
        </a:stretch>
      </xdr:blipFill>
      <xdr:spPr bwMode="auto">
        <a:xfrm>
          <a:off x="6600264" y="67238"/>
          <a:ext cx="1714499" cy="6534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122</xdr:row>
      <xdr:rowOff>156885</xdr:rowOff>
    </xdr:from>
    <xdr:to>
      <xdr:col>14</xdr:col>
      <xdr:colOff>0</xdr:colOff>
      <xdr:row>141</xdr:row>
      <xdr:rowOff>156884</xdr:rowOff>
    </xdr:to>
    <xdr:graphicFrame macro="">
      <xdr:nvGraphicFramePr>
        <xdr:cNvPr id="9"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22412</xdr:colOff>
      <xdr:row>0</xdr:row>
      <xdr:rowOff>0</xdr:rowOff>
    </xdr:from>
    <xdr:to>
      <xdr:col>3</xdr:col>
      <xdr:colOff>504349</xdr:colOff>
      <xdr:row>5</xdr:row>
      <xdr:rowOff>99060</xdr:rowOff>
    </xdr:to>
    <xdr:pic>
      <xdr:nvPicPr>
        <xdr:cNvPr id="8" name="Picture 7"/>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01706" y="0"/>
          <a:ext cx="1311172" cy="105156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xmlns:mc="http://schemas.openxmlformats.org/markup-compatibility/2006" xmlns:a14="http://schemas.microsoft.com/office/drawing/2010/main" val="FFFFFF" mc:Ignorable="a14" a14:legacySpreadsheetColorIndex="9"/>
        </a:solidFill>
        <a:ln w="19050" cap="flat" cmpd="sng" algn="ctr">
          <a:solidFill>
            <a:schemeClr val="tx2">
              <a:lumMod val="60000"/>
              <a:lumOff val="4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horzOverflow="clip" wrap="square" lIns="18288" tIns="0" rIns="0" bIns="0" rtlCol="0" anchor="t" upright="1"/>
      <a:lstStyle>
        <a:defPPr algn="l">
          <a:defRPr sz="1100"/>
        </a:defP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J1110"/>
  <sheetViews>
    <sheetView tabSelected="1" zoomScale="85" zoomScaleNormal="85" zoomScaleSheetLayoutView="100" workbookViewId="0"/>
  </sheetViews>
  <sheetFormatPr defaultRowHeight="15" customHeight="1" x14ac:dyDescent="0.2"/>
  <cols>
    <col min="1" max="2" width="3.1640625" style="24" customWidth="1"/>
    <col min="3" max="14" width="11.33203125" style="24" customWidth="1"/>
    <col min="15" max="15" width="3.1640625" style="24" customWidth="1"/>
    <col min="16" max="17" width="9.33203125" style="24"/>
    <col min="18" max="28" width="9.33203125" style="71"/>
    <col min="29" max="30" width="9.33203125" style="237" hidden="1" customWidth="1"/>
    <col min="31" max="32" width="9.33203125" style="24"/>
    <col min="33" max="34" width="10.83203125" style="24" bestFit="1" customWidth="1"/>
    <col min="35" max="35" width="11.5" style="24" bestFit="1" customWidth="1"/>
    <col min="36" max="36" width="9.33203125" style="24"/>
    <col min="37" max="37" width="9.33203125" style="71"/>
    <col min="38" max="38" width="9.83203125" style="24" customWidth="1"/>
    <col min="39" max="40" width="9.33203125" style="24" customWidth="1"/>
    <col min="41" max="41" width="8.6640625" style="69" bestFit="1" customWidth="1"/>
    <col min="42" max="42" width="9" style="24" customWidth="1"/>
    <col min="43" max="43" width="8.6640625" style="24" bestFit="1" customWidth="1"/>
    <col min="44" max="44" width="10.83203125" style="24" bestFit="1" customWidth="1"/>
    <col min="45" max="45" width="9.33203125" style="69"/>
    <col min="46" max="46" width="10.83203125" style="24" bestFit="1" customWidth="1"/>
    <col min="47" max="47" width="9.33203125" style="24"/>
    <col min="48" max="48" width="9.83203125" style="24" bestFit="1" customWidth="1"/>
    <col min="49" max="49" width="9.33203125" style="24"/>
    <col min="50" max="50" width="11.33203125" style="24" bestFit="1" customWidth="1"/>
    <col min="51" max="52" width="9.33203125" style="24"/>
    <col min="53" max="53" width="9.33203125" style="73"/>
    <col min="54" max="54" width="9.33203125" style="24"/>
    <col min="55" max="55" width="10" style="71" bestFit="1" customWidth="1"/>
    <col min="56" max="56" width="9.33203125" style="73"/>
    <col min="57" max="58" width="9.33203125" style="24"/>
    <col min="59" max="59" width="9.33203125" style="73"/>
    <col min="60" max="60" width="9.33203125" style="24"/>
    <col min="61" max="61" width="10" style="24" bestFit="1" customWidth="1"/>
    <col min="62" max="62" width="9.33203125" style="73"/>
    <col min="63" max="276" width="9.33203125" style="24"/>
    <col min="277" max="278" width="3.1640625" style="24" customWidth="1"/>
    <col min="279" max="290" width="11.33203125" style="24" customWidth="1"/>
    <col min="291" max="291" width="3.1640625" style="24" customWidth="1"/>
    <col min="292" max="293" width="9.33203125" style="24"/>
    <col min="294" max="295" width="10.83203125" style="24" bestFit="1" customWidth="1"/>
    <col min="296" max="296" width="11.5" style="24" bestFit="1" customWidth="1"/>
    <col min="297" max="532" width="9.33203125" style="24"/>
    <col min="533" max="534" width="3.1640625" style="24" customWidth="1"/>
    <col min="535" max="546" width="11.33203125" style="24" customWidth="1"/>
    <col min="547" max="547" width="3.1640625" style="24" customWidth="1"/>
    <col min="548" max="549" width="9.33203125" style="24"/>
    <col min="550" max="551" width="10.83203125" style="24" bestFit="1" customWidth="1"/>
    <col min="552" max="552" width="11.5" style="24" bestFit="1" customWidth="1"/>
    <col min="553" max="788" width="9.33203125" style="24"/>
    <col min="789" max="790" width="3.1640625" style="24" customWidth="1"/>
    <col min="791" max="802" width="11.33203125" style="24" customWidth="1"/>
    <col min="803" max="803" width="3.1640625" style="24" customWidth="1"/>
    <col min="804" max="805" width="9.33203125" style="24"/>
    <col min="806" max="807" width="10.83203125" style="24" bestFit="1" customWidth="1"/>
    <col min="808" max="808" width="11.5" style="24" bestFit="1" customWidth="1"/>
    <col min="809" max="1044" width="9.33203125" style="24"/>
    <col min="1045" max="1046" width="3.1640625" style="24" customWidth="1"/>
    <col min="1047" max="1058" width="11.33203125" style="24" customWidth="1"/>
    <col min="1059" max="1059" width="3.1640625" style="24" customWidth="1"/>
    <col min="1060" max="1061" width="9.33203125" style="24"/>
    <col min="1062" max="1063" width="10.83203125" style="24" bestFit="1" customWidth="1"/>
    <col min="1064" max="1064" width="11.5" style="24" bestFit="1" customWidth="1"/>
    <col min="1065" max="1300" width="9.33203125" style="24"/>
    <col min="1301" max="1302" width="3.1640625" style="24" customWidth="1"/>
    <col min="1303" max="1314" width="11.33203125" style="24" customWidth="1"/>
    <col min="1315" max="1315" width="3.1640625" style="24" customWidth="1"/>
    <col min="1316" max="1317" width="9.33203125" style="24"/>
    <col min="1318" max="1319" width="10.83203125" style="24" bestFit="1" customWidth="1"/>
    <col min="1320" max="1320" width="11.5" style="24" bestFit="1" customWidth="1"/>
    <col min="1321" max="1556" width="9.33203125" style="24"/>
    <col min="1557" max="1558" width="3.1640625" style="24" customWidth="1"/>
    <col min="1559" max="1570" width="11.33203125" style="24" customWidth="1"/>
    <col min="1571" max="1571" width="3.1640625" style="24" customWidth="1"/>
    <col min="1572" max="1573" width="9.33203125" style="24"/>
    <col min="1574" max="1575" width="10.83203125" style="24" bestFit="1" customWidth="1"/>
    <col min="1576" max="1576" width="11.5" style="24" bestFit="1" customWidth="1"/>
    <col min="1577" max="1812" width="9.33203125" style="24"/>
    <col min="1813" max="1814" width="3.1640625" style="24" customWidth="1"/>
    <col min="1815" max="1826" width="11.33203125" style="24" customWidth="1"/>
    <col min="1827" max="1827" width="3.1640625" style="24" customWidth="1"/>
    <col min="1828" max="1829" width="9.33203125" style="24"/>
    <col min="1830" max="1831" width="10.83203125" style="24" bestFit="1" customWidth="1"/>
    <col min="1832" max="1832" width="11.5" style="24" bestFit="1" customWidth="1"/>
    <col min="1833" max="2068" width="9.33203125" style="24"/>
    <col min="2069" max="2070" width="3.1640625" style="24" customWidth="1"/>
    <col min="2071" max="2082" width="11.33203125" style="24" customWidth="1"/>
    <col min="2083" max="2083" width="3.1640625" style="24" customWidth="1"/>
    <col min="2084" max="2085" width="9.33203125" style="24"/>
    <col min="2086" max="2087" width="10.83203125" style="24" bestFit="1" customWidth="1"/>
    <col min="2088" max="2088" width="11.5" style="24" bestFit="1" customWidth="1"/>
    <col min="2089" max="2324" width="9.33203125" style="24"/>
    <col min="2325" max="2326" width="3.1640625" style="24" customWidth="1"/>
    <col min="2327" max="2338" width="11.33203125" style="24" customWidth="1"/>
    <col min="2339" max="2339" width="3.1640625" style="24" customWidth="1"/>
    <col min="2340" max="2341" width="9.33203125" style="24"/>
    <col min="2342" max="2343" width="10.83203125" style="24" bestFit="1" customWidth="1"/>
    <col min="2344" max="2344" width="11.5" style="24" bestFit="1" customWidth="1"/>
    <col min="2345" max="2580" width="9.33203125" style="24"/>
    <col min="2581" max="2582" width="3.1640625" style="24" customWidth="1"/>
    <col min="2583" max="2594" width="11.33203125" style="24" customWidth="1"/>
    <col min="2595" max="2595" width="3.1640625" style="24" customWidth="1"/>
    <col min="2596" max="2597" width="9.33203125" style="24"/>
    <col min="2598" max="2599" width="10.83203125" style="24" bestFit="1" customWidth="1"/>
    <col min="2600" max="2600" width="11.5" style="24" bestFit="1" customWidth="1"/>
    <col min="2601" max="2836" width="9.33203125" style="24"/>
    <col min="2837" max="2838" width="3.1640625" style="24" customWidth="1"/>
    <col min="2839" max="2850" width="11.33203125" style="24" customWidth="1"/>
    <col min="2851" max="2851" width="3.1640625" style="24" customWidth="1"/>
    <col min="2852" max="2853" width="9.33203125" style="24"/>
    <col min="2854" max="2855" width="10.83203125" style="24" bestFit="1" customWidth="1"/>
    <col min="2856" max="2856" width="11.5" style="24" bestFit="1" customWidth="1"/>
    <col min="2857" max="3092" width="9.33203125" style="24"/>
    <col min="3093" max="3094" width="3.1640625" style="24" customWidth="1"/>
    <col min="3095" max="3106" width="11.33203125" style="24" customWidth="1"/>
    <col min="3107" max="3107" width="3.1640625" style="24" customWidth="1"/>
    <col min="3108" max="3109" width="9.33203125" style="24"/>
    <col min="3110" max="3111" width="10.83203125" style="24" bestFit="1" customWidth="1"/>
    <col min="3112" max="3112" width="11.5" style="24" bestFit="1" customWidth="1"/>
    <col min="3113" max="3348" width="9.33203125" style="24"/>
    <col min="3349" max="3350" width="3.1640625" style="24" customWidth="1"/>
    <col min="3351" max="3362" width="11.33203125" style="24" customWidth="1"/>
    <col min="3363" max="3363" width="3.1640625" style="24" customWidth="1"/>
    <col min="3364" max="3365" width="9.33203125" style="24"/>
    <col min="3366" max="3367" width="10.83203125" style="24" bestFit="1" customWidth="1"/>
    <col min="3368" max="3368" width="11.5" style="24" bestFit="1" customWidth="1"/>
    <col min="3369" max="3604" width="9.33203125" style="24"/>
    <col min="3605" max="3606" width="3.1640625" style="24" customWidth="1"/>
    <col min="3607" max="3618" width="11.33203125" style="24" customWidth="1"/>
    <col min="3619" max="3619" width="3.1640625" style="24" customWidth="1"/>
    <col min="3620" max="3621" width="9.33203125" style="24"/>
    <col min="3622" max="3623" width="10.83203125" style="24" bestFit="1" customWidth="1"/>
    <col min="3624" max="3624" width="11.5" style="24" bestFit="1" customWidth="1"/>
    <col min="3625" max="3860" width="9.33203125" style="24"/>
    <col min="3861" max="3862" width="3.1640625" style="24" customWidth="1"/>
    <col min="3863" max="3874" width="11.33203125" style="24" customWidth="1"/>
    <col min="3875" max="3875" width="3.1640625" style="24" customWidth="1"/>
    <col min="3876" max="3877" width="9.33203125" style="24"/>
    <col min="3878" max="3879" width="10.83203125" style="24" bestFit="1" customWidth="1"/>
    <col min="3880" max="3880" width="11.5" style="24" bestFit="1" customWidth="1"/>
    <col min="3881" max="4116" width="9.33203125" style="24"/>
    <col min="4117" max="4118" width="3.1640625" style="24" customWidth="1"/>
    <col min="4119" max="4130" width="11.33203125" style="24" customWidth="1"/>
    <col min="4131" max="4131" width="3.1640625" style="24" customWidth="1"/>
    <col min="4132" max="4133" width="9.33203125" style="24"/>
    <col min="4134" max="4135" width="10.83203125" style="24" bestFit="1" customWidth="1"/>
    <col min="4136" max="4136" width="11.5" style="24" bestFit="1" customWidth="1"/>
    <col min="4137" max="4372" width="9.33203125" style="24"/>
    <col min="4373" max="4374" width="3.1640625" style="24" customWidth="1"/>
    <col min="4375" max="4386" width="11.33203125" style="24" customWidth="1"/>
    <col min="4387" max="4387" width="3.1640625" style="24" customWidth="1"/>
    <col min="4388" max="4389" width="9.33203125" style="24"/>
    <col min="4390" max="4391" width="10.83203125" style="24" bestFit="1" customWidth="1"/>
    <col min="4392" max="4392" width="11.5" style="24" bestFit="1" customWidth="1"/>
    <col min="4393" max="4628" width="9.33203125" style="24"/>
    <col min="4629" max="4630" width="3.1640625" style="24" customWidth="1"/>
    <col min="4631" max="4642" width="11.33203125" style="24" customWidth="1"/>
    <col min="4643" max="4643" width="3.1640625" style="24" customWidth="1"/>
    <col min="4644" max="4645" width="9.33203125" style="24"/>
    <col min="4646" max="4647" width="10.83203125" style="24" bestFit="1" customWidth="1"/>
    <col min="4648" max="4648" width="11.5" style="24" bestFit="1" customWidth="1"/>
    <col min="4649" max="4884" width="9.33203125" style="24"/>
    <col min="4885" max="4886" width="3.1640625" style="24" customWidth="1"/>
    <col min="4887" max="4898" width="11.33203125" style="24" customWidth="1"/>
    <col min="4899" max="4899" width="3.1640625" style="24" customWidth="1"/>
    <col min="4900" max="4901" width="9.33203125" style="24"/>
    <col min="4902" max="4903" width="10.83203125" style="24" bestFit="1" customWidth="1"/>
    <col min="4904" max="4904" width="11.5" style="24" bestFit="1" customWidth="1"/>
    <col min="4905" max="5140" width="9.33203125" style="24"/>
    <col min="5141" max="5142" width="3.1640625" style="24" customWidth="1"/>
    <col min="5143" max="5154" width="11.33203125" style="24" customWidth="1"/>
    <col min="5155" max="5155" width="3.1640625" style="24" customWidth="1"/>
    <col min="5156" max="5157" width="9.33203125" style="24"/>
    <col min="5158" max="5159" width="10.83203125" style="24" bestFit="1" customWidth="1"/>
    <col min="5160" max="5160" width="11.5" style="24" bestFit="1" customWidth="1"/>
    <col min="5161" max="5396" width="9.33203125" style="24"/>
    <col min="5397" max="5398" width="3.1640625" style="24" customWidth="1"/>
    <col min="5399" max="5410" width="11.33203125" style="24" customWidth="1"/>
    <col min="5411" max="5411" width="3.1640625" style="24" customWidth="1"/>
    <col min="5412" max="5413" width="9.33203125" style="24"/>
    <col min="5414" max="5415" width="10.83203125" style="24" bestFit="1" customWidth="1"/>
    <col min="5416" max="5416" width="11.5" style="24" bestFit="1" customWidth="1"/>
    <col min="5417" max="5652" width="9.33203125" style="24"/>
    <col min="5653" max="5654" width="3.1640625" style="24" customWidth="1"/>
    <col min="5655" max="5666" width="11.33203125" style="24" customWidth="1"/>
    <col min="5667" max="5667" width="3.1640625" style="24" customWidth="1"/>
    <col min="5668" max="5669" width="9.33203125" style="24"/>
    <col min="5670" max="5671" width="10.83203125" style="24" bestFit="1" customWidth="1"/>
    <col min="5672" max="5672" width="11.5" style="24" bestFit="1" customWidth="1"/>
    <col min="5673" max="5908" width="9.33203125" style="24"/>
    <col min="5909" max="5910" width="3.1640625" style="24" customWidth="1"/>
    <col min="5911" max="5922" width="11.33203125" style="24" customWidth="1"/>
    <col min="5923" max="5923" width="3.1640625" style="24" customWidth="1"/>
    <col min="5924" max="5925" width="9.33203125" style="24"/>
    <col min="5926" max="5927" width="10.83203125" style="24" bestFit="1" customWidth="1"/>
    <col min="5928" max="5928" width="11.5" style="24" bestFit="1" customWidth="1"/>
    <col min="5929" max="6164" width="9.33203125" style="24"/>
    <col min="6165" max="6166" width="3.1640625" style="24" customWidth="1"/>
    <col min="6167" max="6178" width="11.33203125" style="24" customWidth="1"/>
    <col min="6179" max="6179" width="3.1640625" style="24" customWidth="1"/>
    <col min="6180" max="6181" width="9.33203125" style="24"/>
    <col min="6182" max="6183" width="10.83203125" style="24" bestFit="1" customWidth="1"/>
    <col min="6184" max="6184" width="11.5" style="24" bestFit="1" customWidth="1"/>
    <col min="6185" max="6420" width="9.33203125" style="24"/>
    <col min="6421" max="6422" width="3.1640625" style="24" customWidth="1"/>
    <col min="6423" max="6434" width="11.33203125" style="24" customWidth="1"/>
    <col min="6435" max="6435" width="3.1640625" style="24" customWidth="1"/>
    <col min="6436" max="6437" width="9.33203125" style="24"/>
    <col min="6438" max="6439" width="10.83203125" style="24" bestFit="1" customWidth="1"/>
    <col min="6440" max="6440" width="11.5" style="24" bestFit="1" customWidth="1"/>
    <col min="6441" max="6676" width="9.33203125" style="24"/>
    <col min="6677" max="6678" width="3.1640625" style="24" customWidth="1"/>
    <col min="6679" max="6690" width="11.33203125" style="24" customWidth="1"/>
    <col min="6691" max="6691" width="3.1640625" style="24" customWidth="1"/>
    <col min="6692" max="6693" width="9.33203125" style="24"/>
    <col min="6694" max="6695" width="10.83203125" style="24" bestFit="1" customWidth="1"/>
    <col min="6696" max="6696" width="11.5" style="24" bestFit="1" customWidth="1"/>
    <col min="6697" max="6932" width="9.33203125" style="24"/>
    <col min="6933" max="6934" width="3.1640625" style="24" customWidth="1"/>
    <col min="6935" max="6946" width="11.33203125" style="24" customWidth="1"/>
    <col min="6947" max="6947" width="3.1640625" style="24" customWidth="1"/>
    <col min="6948" max="6949" width="9.33203125" style="24"/>
    <col min="6950" max="6951" width="10.83203125" style="24" bestFit="1" customWidth="1"/>
    <col min="6952" max="6952" width="11.5" style="24" bestFit="1" customWidth="1"/>
    <col min="6953" max="7188" width="9.33203125" style="24"/>
    <col min="7189" max="7190" width="3.1640625" style="24" customWidth="1"/>
    <col min="7191" max="7202" width="11.33203125" style="24" customWidth="1"/>
    <col min="7203" max="7203" width="3.1640625" style="24" customWidth="1"/>
    <col min="7204" max="7205" width="9.33203125" style="24"/>
    <col min="7206" max="7207" width="10.83203125" style="24" bestFit="1" customWidth="1"/>
    <col min="7208" max="7208" width="11.5" style="24" bestFit="1" customWidth="1"/>
    <col min="7209" max="7444" width="9.33203125" style="24"/>
    <col min="7445" max="7446" width="3.1640625" style="24" customWidth="1"/>
    <col min="7447" max="7458" width="11.33203125" style="24" customWidth="1"/>
    <col min="7459" max="7459" width="3.1640625" style="24" customWidth="1"/>
    <col min="7460" max="7461" width="9.33203125" style="24"/>
    <col min="7462" max="7463" width="10.83203125" style="24" bestFit="1" customWidth="1"/>
    <col min="7464" max="7464" width="11.5" style="24" bestFit="1" customWidth="1"/>
    <col min="7465" max="7700" width="9.33203125" style="24"/>
    <col min="7701" max="7702" width="3.1640625" style="24" customWidth="1"/>
    <col min="7703" max="7714" width="11.33203125" style="24" customWidth="1"/>
    <col min="7715" max="7715" width="3.1640625" style="24" customWidth="1"/>
    <col min="7716" max="7717" width="9.33203125" style="24"/>
    <col min="7718" max="7719" width="10.83203125" style="24" bestFit="1" customWidth="1"/>
    <col min="7720" max="7720" width="11.5" style="24" bestFit="1" customWidth="1"/>
    <col min="7721" max="7956" width="9.33203125" style="24"/>
    <col min="7957" max="7958" width="3.1640625" style="24" customWidth="1"/>
    <col min="7959" max="7970" width="11.33203125" style="24" customWidth="1"/>
    <col min="7971" max="7971" width="3.1640625" style="24" customWidth="1"/>
    <col min="7972" max="7973" width="9.33203125" style="24"/>
    <col min="7974" max="7975" width="10.83203125" style="24" bestFit="1" customWidth="1"/>
    <col min="7976" max="7976" width="11.5" style="24" bestFit="1" customWidth="1"/>
    <col min="7977" max="8212" width="9.33203125" style="24"/>
    <col min="8213" max="8214" width="3.1640625" style="24" customWidth="1"/>
    <col min="8215" max="8226" width="11.33203125" style="24" customWidth="1"/>
    <col min="8227" max="8227" width="3.1640625" style="24" customWidth="1"/>
    <col min="8228" max="8229" width="9.33203125" style="24"/>
    <col min="8230" max="8231" width="10.83203125" style="24" bestFit="1" customWidth="1"/>
    <col min="8232" max="8232" width="11.5" style="24" bestFit="1" customWidth="1"/>
    <col min="8233" max="8468" width="9.33203125" style="24"/>
    <col min="8469" max="8470" width="3.1640625" style="24" customWidth="1"/>
    <col min="8471" max="8482" width="11.33203125" style="24" customWidth="1"/>
    <col min="8483" max="8483" width="3.1640625" style="24" customWidth="1"/>
    <col min="8484" max="8485" width="9.33203125" style="24"/>
    <col min="8486" max="8487" width="10.83203125" style="24" bestFit="1" customWidth="1"/>
    <col min="8488" max="8488" width="11.5" style="24" bestFit="1" customWidth="1"/>
    <col min="8489" max="8724" width="9.33203125" style="24"/>
    <col min="8725" max="8726" width="3.1640625" style="24" customWidth="1"/>
    <col min="8727" max="8738" width="11.33203125" style="24" customWidth="1"/>
    <col min="8739" max="8739" width="3.1640625" style="24" customWidth="1"/>
    <col min="8740" max="8741" width="9.33203125" style="24"/>
    <col min="8742" max="8743" width="10.83203125" style="24" bestFit="1" customWidth="1"/>
    <col min="8744" max="8744" width="11.5" style="24" bestFit="1" customWidth="1"/>
    <col min="8745" max="8980" width="9.33203125" style="24"/>
    <col min="8981" max="8982" width="3.1640625" style="24" customWidth="1"/>
    <col min="8983" max="8994" width="11.33203125" style="24" customWidth="1"/>
    <col min="8995" max="8995" width="3.1640625" style="24" customWidth="1"/>
    <col min="8996" max="8997" width="9.33203125" style="24"/>
    <col min="8998" max="8999" width="10.83203125" style="24" bestFit="1" customWidth="1"/>
    <col min="9000" max="9000" width="11.5" style="24" bestFit="1" customWidth="1"/>
    <col min="9001" max="9236" width="9.33203125" style="24"/>
    <col min="9237" max="9238" width="3.1640625" style="24" customWidth="1"/>
    <col min="9239" max="9250" width="11.33203125" style="24" customWidth="1"/>
    <col min="9251" max="9251" width="3.1640625" style="24" customWidth="1"/>
    <col min="9252" max="9253" width="9.33203125" style="24"/>
    <col min="9254" max="9255" width="10.83203125" style="24" bestFit="1" customWidth="1"/>
    <col min="9256" max="9256" width="11.5" style="24" bestFit="1" customWidth="1"/>
    <col min="9257" max="9492" width="9.33203125" style="24"/>
    <col min="9493" max="9494" width="3.1640625" style="24" customWidth="1"/>
    <col min="9495" max="9506" width="11.33203125" style="24" customWidth="1"/>
    <col min="9507" max="9507" width="3.1640625" style="24" customWidth="1"/>
    <col min="9508" max="9509" width="9.33203125" style="24"/>
    <col min="9510" max="9511" width="10.83203125" style="24" bestFit="1" customWidth="1"/>
    <col min="9512" max="9512" width="11.5" style="24" bestFit="1" customWidth="1"/>
    <col min="9513" max="9748" width="9.33203125" style="24"/>
    <col min="9749" max="9750" width="3.1640625" style="24" customWidth="1"/>
    <col min="9751" max="9762" width="11.33203125" style="24" customWidth="1"/>
    <col min="9763" max="9763" width="3.1640625" style="24" customWidth="1"/>
    <col min="9764" max="9765" width="9.33203125" style="24"/>
    <col min="9766" max="9767" width="10.83203125" style="24" bestFit="1" customWidth="1"/>
    <col min="9768" max="9768" width="11.5" style="24" bestFit="1" customWidth="1"/>
    <col min="9769" max="10004" width="9.33203125" style="24"/>
    <col min="10005" max="10006" width="3.1640625" style="24" customWidth="1"/>
    <col min="10007" max="10018" width="11.33203125" style="24" customWidth="1"/>
    <col min="10019" max="10019" width="3.1640625" style="24" customWidth="1"/>
    <col min="10020" max="10021" width="9.33203125" style="24"/>
    <col min="10022" max="10023" width="10.83203125" style="24" bestFit="1" customWidth="1"/>
    <col min="10024" max="10024" width="11.5" style="24" bestFit="1" customWidth="1"/>
    <col min="10025" max="10260" width="9.33203125" style="24"/>
    <col min="10261" max="10262" width="3.1640625" style="24" customWidth="1"/>
    <col min="10263" max="10274" width="11.33203125" style="24" customWidth="1"/>
    <col min="10275" max="10275" width="3.1640625" style="24" customWidth="1"/>
    <col min="10276" max="10277" width="9.33203125" style="24"/>
    <col min="10278" max="10279" width="10.83203125" style="24" bestFit="1" customWidth="1"/>
    <col min="10280" max="10280" width="11.5" style="24" bestFit="1" customWidth="1"/>
    <col min="10281" max="10516" width="9.33203125" style="24"/>
    <col min="10517" max="10518" width="3.1640625" style="24" customWidth="1"/>
    <col min="10519" max="10530" width="11.33203125" style="24" customWidth="1"/>
    <col min="10531" max="10531" width="3.1640625" style="24" customWidth="1"/>
    <col min="10532" max="10533" width="9.33203125" style="24"/>
    <col min="10534" max="10535" width="10.83203125" style="24" bestFit="1" customWidth="1"/>
    <col min="10536" max="10536" width="11.5" style="24" bestFit="1" customWidth="1"/>
    <col min="10537" max="10772" width="9.33203125" style="24"/>
    <col min="10773" max="10774" width="3.1640625" style="24" customWidth="1"/>
    <col min="10775" max="10786" width="11.33203125" style="24" customWidth="1"/>
    <col min="10787" max="10787" width="3.1640625" style="24" customWidth="1"/>
    <col min="10788" max="10789" width="9.33203125" style="24"/>
    <col min="10790" max="10791" width="10.83203125" style="24" bestFit="1" customWidth="1"/>
    <col min="10792" max="10792" width="11.5" style="24" bestFit="1" customWidth="1"/>
    <col min="10793" max="11028" width="9.33203125" style="24"/>
    <col min="11029" max="11030" width="3.1640625" style="24" customWidth="1"/>
    <col min="11031" max="11042" width="11.33203125" style="24" customWidth="1"/>
    <col min="11043" max="11043" width="3.1640625" style="24" customWidth="1"/>
    <col min="11044" max="11045" width="9.33203125" style="24"/>
    <col min="11046" max="11047" width="10.83203125" style="24" bestFit="1" customWidth="1"/>
    <col min="11048" max="11048" width="11.5" style="24" bestFit="1" customWidth="1"/>
    <col min="11049" max="11284" width="9.33203125" style="24"/>
    <col min="11285" max="11286" width="3.1640625" style="24" customWidth="1"/>
    <col min="11287" max="11298" width="11.33203125" style="24" customWidth="1"/>
    <col min="11299" max="11299" width="3.1640625" style="24" customWidth="1"/>
    <col min="11300" max="11301" width="9.33203125" style="24"/>
    <col min="11302" max="11303" width="10.83203125" style="24" bestFit="1" customWidth="1"/>
    <col min="11304" max="11304" width="11.5" style="24" bestFit="1" customWidth="1"/>
    <col min="11305" max="11540" width="9.33203125" style="24"/>
    <col min="11541" max="11542" width="3.1640625" style="24" customWidth="1"/>
    <col min="11543" max="11554" width="11.33203125" style="24" customWidth="1"/>
    <col min="11555" max="11555" width="3.1640625" style="24" customWidth="1"/>
    <col min="11556" max="11557" width="9.33203125" style="24"/>
    <col min="11558" max="11559" width="10.83203125" style="24" bestFit="1" customWidth="1"/>
    <col min="11560" max="11560" width="11.5" style="24" bestFit="1" customWidth="1"/>
    <col min="11561" max="11796" width="9.33203125" style="24"/>
    <col min="11797" max="11798" width="3.1640625" style="24" customWidth="1"/>
    <col min="11799" max="11810" width="11.33203125" style="24" customWidth="1"/>
    <col min="11811" max="11811" width="3.1640625" style="24" customWidth="1"/>
    <col min="11812" max="11813" width="9.33203125" style="24"/>
    <col min="11814" max="11815" width="10.83203125" style="24" bestFit="1" customWidth="1"/>
    <col min="11816" max="11816" width="11.5" style="24" bestFit="1" customWidth="1"/>
    <col min="11817" max="12052" width="9.33203125" style="24"/>
    <col min="12053" max="12054" width="3.1640625" style="24" customWidth="1"/>
    <col min="12055" max="12066" width="11.33203125" style="24" customWidth="1"/>
    <col min="12067" max="12067" width="3.1640625" style="24" customWidth="1"/>
    <col min="12068" max="12069" width="9.33203125" style="24"/>
    <col min="12070" max="12071" width="10.83203125" style="24" bestFit="1" customWidth="1"/>
    <col min="12072" max="12072" width="11.5" style="24" bestFit="1" customWidth="1"/>
    <col min="12073" max="12308" width="9.33203125" style="24"/>
    <col min="12309" max="12310" width="3.1640625" style="24" customWidth="1"/>
    <col min="12311" max="12322" width="11.33203125" style="24" customWidth="1"/>
    <col min="12323" max="12323" width="3.1640625" style="24" customWidth="1"/>
    <col min="12324" max="12325" width="9.33203125" style="24"/>
    <col min="12326" max="12327" width="10.83203125" style="24" bestFit="1" customWidth="1"/>
    <col min="12328" max="12328" width="11.5" style="24" bestFit="1" customWidth="1"/>
    <col min="12329" max="12564" width="9.33203125" style="24"/>
    <col min="12565" max="12566" width="3.1640625" style="24" customWidth="1"/>
    <col min="12567" max="12578" width="11.33203125" style="24" customWidth="1"/>
    <col min="12579" max="12579" width="3.1640625" style="24" customWidth="1"/>
    <col min="12580" max="12581" width="9.33203125" style="24"/>
    <col min="12582" max="12583" width="10.83203125" style="24" bestFit="1" customWidth="1"/>
    <col min="12584" max="12584" width="11.5" style="24" bestFit="1" customWidth="1"/>
    <col min="12585" max="12820" width="9.33203125" style="24"/>
    <col min="12821" max="12822" width="3.1640625" style="24" customWidth="1"/>
    <col min="12823" max="12834" width="11.33203125" style="24" customWidth="1"/>
    <col min="12835" max="12835" width="3.1640625" style="24" customWidth="1"/>
    <col min="12836" max="12837" width="9.33203125" style="24"/>
    <col min="12838" max="12839" width="10.83203125" style="24" bestFit="1" customWidth="1"/>
    <col min="12840" max="12840" width="11.5" style="24" bestFit="1" customWidth="1"/>
    <col min="12841" max="13076" width="9.33203125" style="24"/>
    <col min="13077" max="13078" width="3.1640625" style="24" customWidth="1"/>
    <col min="13079" max="13090" width="11.33203125" style="24" customWidth="1"/>
    <col min="13091" max="13091" width="3.1640625" style="24" customWidth="1"/>
    <col min="13092" max="13093" width="9.33203125" style="24"/>
    <col min="13094" max="13095" width="10.83203125" style="24" bestFit="1" customWidth="1"/>
    <col min="13096" max="13096" width="11.5" style="24" bestFit="1" customWidth="1"/>
    <col min="13097" max="13332" width="9.33203125" style="24"/>
    <col min="13333" max="13334" width="3.1640625" style="24" customWidth="1"/>
    <col min="13335" max="13346" width="11.33203125" style="24" customWidth="1"/>
    <col min="13347" max="13347" width="3.1640625" style="24" customWidth="1"/>
    <col min="13348" max="13349" width="9.33203125" style="24"/>
    <col min="13350" max="13351" width="10.83203125" style="24" bestFit="1" customWidth="1"/>
    <col min="13352" max="13352" width="11.5" style="24" bestFit="1" customWidth="1"/>
    <col min="13353" max="13588" width="9.33203125" style="24"/>
    <col min="13589" max="13590" width="3.1640625" style="24" customWidth="1"/>
    <col min="13591" max="13602" width="11.33203125" style="24" customWidth="1"/>
    <col min="13603" max="13603" width="3.1640625" style="24" customWidth="1"/>
    <col min="13604" max="13605" width="9.33203125" style="24"/>
    <col min="13606" max="13607" width="10.83203125" style="24" bestFit="1" customWidth="1"/>
    <col min="13608" max="13608" width="11.5" style="24" bestFit="1" customWidth="1"/>
    <col min="13609" max="13844" width="9.33203125" style="24"/>
    <col min="13845" max="13846" width="3.1640625" style="24" customWidth="1"/>
    <col min="13847" max="13858" width="11.33203125" style="24" customWidth="1"/>
    <col min="13859" max="13859" width="3.1640625" style="24" customWidth="1"/>
    <col min="13860" max="13861" width="9.33203125" style="24"/>
    <col min="13862" max="13863" width="10.83203125" style="24" bestFit="1" customWidth="1"/>
    <col min="13864" max="13864" width="11.5" style="24" bestFit="1" customWidth="1"/>
    <col min="13865" max="14100" width="9.33203125" style="24"/>
    <col min="14101" max="14102" width="3.1640625" style="24" customWidth="1"/>
    <col min="14103" max="14114" width="11.33203125" style="24" customWidth="1"/>
    <col min="14115" max="14115" width="3.1640625" style="24" customWidth="1"/>
    <col min="14116" max="14117" width="9.33203125" style="24"/>
    <col min="14118" max="14119" width="10.83203125" style="24" bestFit="1" customWidth="1"/>
    <col min="14120" max="14120" width="11.5" style="24" bestFit="1" customWidth="1"/>
    <col min="14121" max="14356" width="9.33203125" style="24"/>
    <col min="14357" max="14358" width="3.1640625" style="24" customWidth="1"/>
    <col min="14359" max="14370" width="11.33203125" style="24" customWidth="1"/>
    <col min="14371" max="14371" width="3.1640625" style="24" customWidth="1"/>
    <col min="14372" max="14373" width="9.33203125" style="24"/>
    <col min="14374" max="14375" width="10.83203125" style="24" bestFit="1" customWidth="1"/>
    <col min="14376" max="14376" width="11.5" style="24" bestFit="1" customWidth="1"/>
    <col min="14377" max="14612" width="9.33203125" style="24"/>
    <col min="14613" max="14614" width="3.1640625" style="24" customWidth="1"/>
    <col min="14615" max="14626" width="11.33203125" style="24" customWidth="1"/>
    <col min="14627" max="14627" width="3.1640625" style="24" customWidth="1"/>
    <col min="14628" max="14629" width="9.33203125" style="24"/>
    <col min="14630" max="14631" width="10.83203125" style="24" bestFit="1" customWidth="1"/>
    <col min="14632" max="14632" width="11.5" style="24" bestFit="1" customWidth="1"/>
    <col min="14633" max="14868" width="9.33203125" style="24"/>
    <col min="14869" max="14870" width="3.1640625" style="24" customWidth="1"/>
    <col min="14871" max="14882" width="11.33203125" style="24" customWidth="1"/>
    <col min="14883" max="14883" width="3.1640625" style="24" customWidth="1"/>
    <col min="14884" max="14885" width="9.33203125" style="24"/>
    <col min="14886" max="14887" width="10.83203125" style="24" bestFit="1" customWidth="1"/>
    <col min="14888" max="14888" width="11.5" style="24" bestFit="1" customWidth="1"/>
    <col min="14889" max="15124" width="9.33203125" style="24"/>
    <col min="15125" max="15126" width="3.1640625" style="24" customWidth="1"/>
    <col min="15127" max="15138" width="11.33203125" style="24" customWidth="1"/>
    <col min="15139" max="15139" width="3.1640625" style="24" customWidth="1"/>
    <col min="15140" max="15141" width="9.33203125" style="24"/>
    <col min="15142" max="15143" width="10.83203125" style="24" bestFit="1" customWidth="1"/>
    <col min="15144" max="15144" width="11.5" style="24" bestFit="1" customWidth="1"/>
    <col min="15145" max="15380" width="9.33203125" style="24"/>
    <col min="15381" max="15382" width="3.1640625" style="24" customWidth="1"/>
    <col min="15383" max="15394" width="11.33203125" style="24" customWidth="1"/>
    <col min="15395" max="15395" width="3.1640625" style="24" customWidth="1"/>
    <col min="15396" max="15397" width="9.33203125" style="24"/>
    <col min="15398" max="15399" width="10.83203125" style="24" bestFit="1" customWidth="1"/>
    <col min="15400" max="15400" width="11.5" style="24" bestFit="1" customWidth="1"/>
    <col min="15401" max="15636" width="9.33203125" style="24"/>
    <col min="15637" max="15638" width="3.1640625" style="24" customWidth="1"/>
    <col min="15639" max="15650" width="11.33203125" style="24" customWidth="1"/>
    <col min="15651" max="15651" width="3.1640625" style="24" customWidth="1"/>
    <col min="15652" max="15653" width="9.33203125" style="24"/>
    <col min="15654" max="15655" width="10.83203125" style="24" bestFit="1" customWidth="1"/>
    <col min="15656" max="15656" width="11.5" style="24" bestFit="1" customWidth="1"/>
    <col min="15657" max="15892" width="9.33203125" style="24"/>
    <col min="15893" max="15894" width="3.1640625" style="24" customWidth="1"/>
    <col min="15895" max="15906" width="11.33203125" style="24" customWidth="1"/>
    <col min="15907" max="15907" width="3.1640625" style="24" customWidth="1"/>
    <col min="15908" max="15909" width="9.33203125" style="24"/>
    <col min="15910" max="15911" width="10.83203125" style="24" bestFit="1" customWidth="1"/>
    <col min="15912" max="15912" width="11.5" style="24" bestFit="1" customWidth="1"/>
    <col min="15913" max="16147" width="9.33203125" style="24"/>
    <col min="16148" max="16157" width="11.33203125" style="24" customWidth="1"/>
    <col min="16158" max="16158" width="9.33203125" style="24"/>
    <col min="16159" max="16160" width="10.83203125" style="24" bestFit="1" customWidth="1"/>
    <col min="16161" max="16161" width="11.5" style="24" bestFit="1" customWidth="1"/>
    <col min="16162" max="16384" width="9.33203125" style="24"/>
  </cols>
  <sheetData>
    <row r="1" spans="2:62" ht="15" customHeight="1" x14ac:dyDescent="0.2">
      <c r="D1" s="25"/>
      <c r="E1" s="323" t="s">
        <v>119</v>
      </c>
      <c r="F1" s="323"/>
      <c r="G1" s="323"/>
      <c r="H1" s="323"/>
      <c r="I1" s="323"/>
      <c r="J1" s="323"/>
      <c r="K1" s="323"/>
      <c r="L1" s="26"/>
      <c r="M1" s="26"/>
      <c r="N1" s="26"/>
      <c r="O1" s="26"/>
      <c r="BD1" s="24"/>
      <c r="BG1" s="24"/>
      <c r="BJ1" s="24"/>
    </row>
    <row r="2" spans="2:62" ht="15" customHeight="1" x14ac:dyDescent="0.2">
      <c r="B2" s="25"/>
      <c r="C2" s="25"/>
      <c r="D2" s="25"/>
      <c r="E2" s="323"/>
      <c r="F2" s="323"/>
      <c r="G2" s="323"/>
      <c r="H2" s="323"/>
      <c r="I2" s="323"/>
      <c r="J2" s="323"/>
      <c r="K2" s="323"/>
      <c r="L2" s="169"/>
      <c r="M2" s="169"/>
      <c r="N2" s="169"/>
      <c r="O2" s="169"/>
      <c r="AY2" s="101"/>
      <c r="BD2" s="24"/>
      <c r="BG2" s="24"/>
      <c r="BJ2" s="24"/>
    </row>
    <row r="3" spans="2:62" ht="15" customHeight="1" x14ac:dyDescent="0.2">
      <c r="B3" s="25"/>
      <c r="C3" s="25"/>
      <c r="D3" s="25"/>
      <c r="E3" s="323" t="s">
        <v>178</v>
      </c>
      <c r="F3" s="323"/>
      <c r="G3" s="323"/>
      <c r="H3" s="323"/>
      <c r="I3" s="323"/>
      <c r="J3" s="323"/>
      <c r="K3" s="323"/>
      <c r="L3" s="169"/>
      <c r="M3" s="169"/>
      <c r="N3" s="169"/>
      <c r="O3" s="169"/>
      <c r="AY3" s="101"/>
      <c r="AZ3" s="72"/>
      <c r="BA3" s="74"/>
      <c r="BB3" s="25"/>
      <c r="BD3" s="24"/>
      <c r="BG3" s="24"/>
      <c r="BJ3" s="24"/>
    </row>
    <row r="4" spans="2:62" ht="15" customHeight="1" x14ac:dyDescent="0.2">
      <c r="B4" s="25"/>
      <c r="C4" s="25"/>
      <c r="D4" s="25"/>
      <c r="E4" s="323"/>
      <c r="F4" s="323"/>
      <c r="G4" s="323"/>
      <c r="H4" s="323"/>
      <c r="I4" s="323"/>
      <c r="J4" s="323"/>
      <c r="K4" s="323"/>
      <c r="L4" s="169"/>
      <c r="M4" s="169"/>
      <c r="N4" s="169"/>
      <c r="O4" s="169"/>
      <c r="AY4" s="101"/>
      <c r="AZ4" s="72"/>
      <c r="BA4" s="74"/>
      <c r="BB4" s="25"/>
      <c r="BD4" s="24"/>
      <c r="BG4" s="24"/>
      <c r="BJ4" s="24"/>
    </row>
    <row r="5" spans="2:62" ht="15" customHeight="1" x14ac:dyDescent="0.2">
      <c r="B5" s="25"/>
      <c r="C5" s="25"/>
      <c r="D5" s="25"/>
      <c r="E5" s="27" t="s">
        <v>179</v>
      </c>
      <c r="G5" s="25" t="s">
        <v>47</v>
      </c>
      <c r="H5" s="25"/>
      <c r="I5" s="25"/>
      <c r="J5" s="25"/>
      <c r="K5" s="25"/>
      <c r="L5" s="169"/>
      <c r="M5" s="169"/>
      <c r="N5" s="169"/>
      <c r="O5" s="169"/>
      <c r="AY5" s="101"/>
      <c r="AZ5" s="72"/>
      <c r="BA5" s="74"/>
      <c r="BB5" s="25"/>
      <c r="BD5" s="24"/>
      <c r="BG5" s="24"/>
      <c r="BJ5" s="24"/>
    </row>
    <row r="6" spans="2:62" ht="15" customHeight="1" thickBot="1" x14ac:dyDescent="0.25">
      <c r="B6" s="25"/>
      <c r="C6" s="25"/>
      <c r="D6" s="25"/>
      <c r="E6" s="25" t="s">
        <v>180</v>
      </c>
      <c r="F6" s="25"/>
      <c r="G6" s="25"/>
      <c r="H6" s="25"/>
      <c r="I6" s="25"/>
      <c r="J6" s="25"/>
      <c r="K6" s="25"/>
      <c r="L6" s="25"/>
      <c r="M6" s="25"/>
      <c r="N6" s="25"/>
      <c r="O6" s="25"/>
      <c r="AY6" s="101"/>
      <c r="AZ6" s="72"/>
      <c r="BA6" s="74"/>
      <c r="BB6" s="25"/>
      <c r="BD6" s="24"/>
      <c r="BG6" s="24"/>
      <c r="BJ6" s="24"/>
    </row>
    <row r="7" spans="2:62" ht="15" customHeight="1" thickBot="1" x14ac:dyDescent="0.25">
      <c r="B7" s="30"/>
      <c r="C7" s="31" t="s">
        <v>48</v>
      </c>
      <c r="D7" s="31"/>
      <c r="E7" s="31"/>
      <c r="F7" s="32" t="s">
        <v>49</v>
      </c>
      <c r="G7" s="33"/>
      <c r="H7" s="33"/>
      <c r="I7" s="33"/>
      <c r="J7" s="33"/>
      <c r="K7" s="33"/>
      <c r="L7" s="33"/>
      <c r="M7" s="33"/>
      <c r="N7" s="33"/>
      <c r="O7" s="34"/>
      <c r="AY7" s="101"/>
      <c r="BD7" s="24"/>
      <c r="BG7" s="24"/>
      <c r="BJ7" s="24"/>
    </row>
    <row r="8" spans="2:62" s="25" customFormat="1" ht="15" customHeight="1" thickTop="1" x14ac:dyDescent="0.2">
      <c r="B8" s="35"/>
      <c r="C8" s="36"/>
      <c r="D8" s="36"/>
      <c r="E8" s="36"/>
      <c r="F8" s="36"/>
      <c r="G8" s="36"/>
      <c r="H8" s="36"/>
      <c r="I8" s="36"/>
      <c r="J8" s="36"/>
      <c r="K8" s="36"/>
      <c r="L8" s="36"/>
      <c r="M8" s="36"/>
      <c r="N8" s="36"/>
      <c r="O8" s="37"/>
      <c r="Q8" s="24"/>
      <c r="R8" s="71"/>
      <c r="S8" s="71"/>
      <c r="T8" s="71"/>
      <c r="U8" s="71"/>
      <c r="V8" s="71"/>
      <c r="W8" s="71"/>
      <c r="X8" s="71"/>
      <c r="Y8" s="71"/>
      <c r="Z8" s="71"/>
      <c r="AA8" s="71"/>
      <c r="AB8" s="71"/>
      <c r="AC8" s="237"/>
      <c r="AD8" s="237"/>
      <c r="AE8" s="24"/>
      <c r="AF8" s="24"/>
      <c r="AG8" s="24"/>
      <c r="AH8" s="24"/>
      <c r="AI8" s="24"/>
      <c r="AJ8" s="24"/>
      <c r="AK8" s="71"/>
      <c r="AL8" s="24"/>
      <c r="AM8" s="24"/>
      <c r="AN8" s="24"/>
      <c r="AO8" s="69"/>
      <c r="AP8" s="24"/>
      <c r="AQ8" s="24"/>
      <c r="AR8" s="24"/>
      <c r="AS8" s="69"/>
      <c r="AT8" s="24"/>
      <c r="AU8" s="24"/>
      <c r="AV8" s="24"/>
      <c r="AW8" s="24"/>
      <c r="AX8" s="24"/>
      <c r="AY8" s="101"/>
      <c r="BA8" s="74"/>
      <c r="BC8" s="72"/>
    </row>
    <row r="9" spans="2:62" s="25" customFormat="1" ht="15" customHeight="1" x14ac:dyDescent="0.2">
      <c r="B9" s="38"/>
      <c r="C9" s="76" t="s">
        <v>50</v>
      </c>
      <c r="D9" s="77"/>
      <c r="E9" s="77"/>
      <c r="F9" s="78"/>
      <c r="G9" s="330" t="s">
        <v>113</v>
      </c>
      <c r="H9" s="331"/>
      <c r="I9" s="332"/>
      <c r="J9" s="36" t="s">
        <v>51</v>
      </c>
      <c r="K9" s="36"/>
      <c r="L9" s="36"/>
      <c r="M9" s="36"/>
      <c r="N9" s="36"/>
      <c r="O9" s="37"/>
      <c r="Q9" s="24"/>
      <c r="R9" s="71"/>
      <c r="S9" s="71"/>
      <c r="T9" s="71"/>
      <c r="U9" s="71"/>
      <c r="V9" s="71"/>
      <c r="W9" s="71"/>
      <c r="X9" s="71"/>
      <c r="Y9" s="71"/>
      <c r="Z9" s="71"/>
      <c r="AA9" s="71"/>
      <c r="AB9" s="71"/>
      <c r="AC9" s="237"/>
      <c r="AD9" s="237"/>
      <c r="AE9" s="24"/>
      <c r="AF9" s="24"/>
      <c r="AG9" s="24"/>
      <c r="AH9" s="24"/>
      <c r="AI9" s="24"/>
      <c r="AJ9" s="24"/>
      <c r="AK9" s="71"/>
      <c r="AL9" s="24"/>
      <c r="AM9" s="24"/>
      <c r="AN9" s="24"/>
      <c r="AO9" s="69"/>
      <c r="AP9" s="24"/>
      <c r="AQ9" s="24"/>
      <c r="AR9" s="24"/>
      <c r="AS9" s="69"/>
      <c r="AT9" s="24"/>
      <c r="AU9" s="24"/>
      <c r="AV9" s="24"/>
      <c r="AW9" s="24"/>
      <c r="AX9" s="24"/>
      <c r="AY9" s="101"/>
      <c r="BA9" s="74"/>
      <c r="BC9" s="72"/>
    </row>
    <row r="10" spans="2:62" s="25" customFormat="1" ht="15" customHeight="1" x14ac:dyDescent="0.2">
      <c r="B10" s="38"/>
      <c r="C10" s="76" t="s">
        <v>52</v>
      </c>
      <c r="D10" s="77"/>
      <c r="E10" s="77"/>
      <c r="F10" s="78"/>
      <c r="G10" s="39" t="s">
        <v>114</v>
      </c>
      <c r="H10" s="40"/>
      <c r="I10" s="41"/>
      <c r="J10" s="36"/>
      <c r="K10" s="36"/>
      <c r="L10" s="36"/>
      <c r="M10" s="36"/>
      <c r="N10" s="36"/>
      <c r="O10" s="37"/>
      <c r="Q10" s="24"/>
      <c r="R10" s="71"/>
      <c r="S10" s="71"/>
      <c r="T10" s="71"/>
      <c r="U10" s="71"/>
      <c r="V10" s="71"/>
      <c r="W10" s="71"/>
      <c r="X10" s="71"/>
      <c r="Y10" s="71"/>
      <c r="Z10" s="71"/>
      <c r="AA10" s="71"/>
      <c r="AB10" s="71"/>
      <c r="AC10" s="237"/>
      <c r="AD10" s="237"/>
      <c r="AE10" s="24"/>
      <c r="AF10" s="24"/>
      <c r="AG10" s="24"/>
      <c r="AH10" s="24"/>
      <c r="AI10" s="24"/>
      <c r="AJ10" s="24"/>
      <c r="AK10" s="71"/>
      <c r="AL10" s="24"/>
      <c r="AM10" s="24"/>
      <c r="AN10" s="24"/>
      <c r="AO10" s="69"/>
      <c r="AP10" s="24"/>
      <c r="AQ10" s="24"/>
      <c r="AR10" s="24"/>
      <c r="AS10" s="69"/>
      <c r="AT10" s="24"/>
      <c r="AU10" s="24"/>
      <c r="AV10" s="24"/>
      <c r="AW10" s="24"/>
      <c r="AX10" s="24"/>
      <c r="AY10" s="101"/>
      <c r="BA10" s="74"/>
      <c r="BC10" s="72"/>
    </row>
    <row r="11" spans="2:62" s="25" customFormat="1" ht="15" customHeight="1" x14ac:dyDescent="0.2">
      <c r="B11" s="38"/>
      <c r="C11" s="76" t="s">
        <v>53</v>
      </c>
      <c r="D11" s="77"/>
      <c r="E11" s="77"/>
      <c r="F11" s="78"/>
      <c r="G11" s="330"/>
      <c r="H11" s="331"/>
      <c r="I11" s="332"/>
      <c r="J11" s="36"/>
      <c r="K11" s="36"/>
      <c r="L11" s="36"/>
      <c r="M11" s="36"/>
      <c r="N11" s="36"/>
      <c r="O11" s="37"/>
      <c r="Q11" s="24"/>
      <c r="R11" s="71"/>
      <c r="S11" s="71"/>
      <c r="T11" s="71"/>
      <c r="U11" s="71"/>
      <c r="V11" s="71"/>
      <c r="W11" s="71"/>
      <c r="X11" s="71"/>
      <c r="Y11" s="71"/>
      <c r="Z11" s="71"/>
      <c r="AA11" s="71"/>
      <c r="AB11" s="71"/>
      <c r="AC11" s="237"/>
      <c r="AD11" s="237"/>
      <c r="AE11" s="24"/>
      <c r="AF11" s="24"/>
      <c r="AG11" s="24"/>
      <c r="AH11" s="24"/>
      <c r="AI11" s="24"/>
      <c r="AJ11" s="24"/>
      <c r="AK11" s="71"/>
      <c r="AL11" s="24"/>
      <c r="AM11" s="24"/>
      <c r="AN11" s="24"/>
      <c r="AO11" s="69"/>
      <c r="AP11" s="24"/>
      <c r="AQ11" s="24"/>
      <c r="AR11" s="24"/>
      <c r="AS11" s="69"/>
      <c r="AT11" s="24"/>
      <c r="AU11" s="24"/>
      <c r="AV11" s="24"/>
      <c r="AW11" s="24"/>
      <c r="AX11" s="24"/>
      <c r="AY11" s="101"/>
      <c r="BA11" s="74"/>
      <c r="BC11" s="72"/>
    </row>
    <row r="12" spans="2:62" s="25" customFormat="1" ht="15" customHeight="1" x14ac:dyDescent="0.2">
      <c r="B12" s="38"/>
      <c r="C12" s="76" t="s">
        <v>54</v>
      </c>
      <c r="D12" s="77"/>
      <c r="E12" s="77"/>
      <c r="F12" s="78"/>
      <c r="G12" s="324">
        <v>41975</v>
      </c>
      <c r="H12" s="325"/>
      <c r="I12" s="326"/>
      <c r="J12" s="36"/>
      <c r="K12" s="36"/>
      <c r="L12" s="36"/>
      <c r="M12" s="36"/>
      <c r="N12" s="36"/>
      <c r="O12" s="37"/>
      <c r="Q12" s="24"/>
      <c r="R12" s="71"/>
      <c r="S12" s="71"/>
      <c r="T12" s="71"/>
      <c r="U12" s="71"/>
      <c r="V12" s="71"/>
      <c r="W12" s="71"/>
      <c r="X12" s="71"/>
      <c r="Y12" s="71"/>
      <c r="Z12" s="71"/>
      <c r="AA12" s="71"/>
      <c r="AB12" s="71"/>
      <c r="AC12" s="237"/>
      <c r="AD12" s="237"/>
      <c r="AE12" s="24"/>
      <c r="AF12" s="24"/>
      <c r="AG12" s="24"/>
      <c r="AH12" s="24"/>
      <c r="AI12" s="24"/>
      <c r="AJ12" s="24"/>
      <c r="AK12" s="71"/>
      <c r="AL12" s="24"/>
      <c r="AM12" s="24"/>
      <c r="AN12" s="24"/>
      <c r="AO12" s="69"/>
      <c r="AP12" s="24"/>
      <c r="AQ12" s="24"/>
      <c r="AR12" s="24"/>
      <c r="AS12" s="69"/>
      <c r="AT12" s="24"/>
      <c r="AU12" s="24"/>
      <c r="AV12" s="24"/>
      <c r="AW12" s="24"/>
      <c r="AX12" s="24"/>
      <c r="AY12" s="101"/>
      <c r="BA12" s="74"/>
      <c r="BC12" s="72"/>
    </row>
    <row r="13" spans="2:62" s="25" customFormat="1" ht="15" customHeight="1" x14ac:dyDescent="0.2">
      <c r="B13" s="38"/>
      <c r="C13" s="76" t="s">
        <v>55</v>
      </c>
      <c r="D13" s="77"/>
      <c r="E13" s="77"/>
      <c r="F13" s="78"/>
      <c r="G13" s="290">
        <v>800</v>
      </c>
      <c r="H13" s="192" t="s">
        <v>46</v>
      </c>
      <c r="I13" s="288">
        <f>G13*3.281</f>
        <v>2624.8</v>
      </c>
      <c r="K13" s="36"/>
      <c r="L13" s="36"/>
      <c r="M13" s="36"/>
      <c r="N13" s="36"/>
      <c r="O13" s="37"/>
      <c r="Q13" s="24"/>
      <c r="R13" s="71"/>
      <c r="S13" s="71"/>
      <c r="T13" s="71"/>
      <c r="U13" s="71"/>
      <c r="V13" s="71"/>
      <c r="W13" s="71"/>
      <c r="X13" s="71"/>
      <c r="Y13" s="71"/>
      <c r="Z13" s="71"/>
      <c r="AA13" s="71"/>
      <c r="AB13" s="71"/>
      <c r="AC13" s="237"/>
      <c r="AD13" s="237"/>
      <c r="AE13" s="24"/>
      <c r="AF13" s="24"/>
      <c r="AG13" s="24"/>
      <c r="AH13" s="24"/>
      <c r="AI13" s="24"/>
      <c r="AJ13" s="24"/>
      <c r="AK13" s="71"/>
      <c r="AL13" s="24"/>
      <c r="AM13" s="24"/>
      <c r="AN13" s="24"/>
      <c r="AO13" s="69"/>
      <c r="AP13" s="24"/>
      <c r="AQ13" s="24"/>
      <c r="AR13" s="24"/>
      <c r="AS13" s="69"/>
      <c r="AT13" s="24"/>
      <c r="AU13" s="24"/>
      <c r="AV13" s="24"/>
      <c r="AW13" s="24"/>
      <c r="AX13" s="24"/>
      <c r="AY13" s="101"/>
      <c r="BA13" s="74"/>
      <c r="BC13" s="72"/>
    </row>
    <row r="14" spans="2:62" s="25" customFormat="1" ht="15" customHeight="1" x14ac:dyDescent="0.2">
      <c r="B14" s="38"/>
      <c r="C14" s="76" t="s">
        <v>141</v>
      </c>
      <c r="D14" s="77"/>
      <c r="E14" s="77"/>
      <c r="F14" s="78"/>
      <c r="G14" s="290">
        <v>0</v>
      </c>
      <c r="H14" s="77" t="s">
        <v>129</v>
      </c>
      <c r="I14" s="225"/>
      <c r="J14" s="78"/>
      <c r="K14" s="290">
        <v>0</v>
      </c>
      <c r="L14" s="78" t="s">
        <v>130</v>
      </c>
      <c r="M14" s="36"/>
      <c r="N14" s="36"/>
      <c r="O14" s="37"/>
      <c r="Q14" s="24"/>
      <c r="R14" s="71"/>
      <c r="S14" s="71"/>
      <c r="T14" s="71"/>
      <c r="U14" s="71"/>
      <c r="V14" s="71"/>
      <c r="W14" s="71"/>
      <c r="X14" s="71"/>
      <c r="Y14" s="71"/>
      <c r="Z14" s="71"/>
      <c r="AA14" s="71"/>
      <c r="AB14" s="71"/>
      <c r="AC14" s="237"/>
      <c r="AD14" s="237"/>
      <c r="AE14" s="24"/>
      <c r="AF14" s="24"/>
      <c r="AG14" s="24"/>
      <c r="AH14" s="24"/>
      <c r="AI14" s="24"/>
      <c r="AJ14" s="24"/>
      <c r="AK14" s="71"/>
      <c r="AL14" s="24"/>
      <c r="AM14" s="24"/>
      <c r="AN14" s="24"/>
      <c r="AO14" s="69"/>
      <c r="AP14" s="24"/>
      <c r="AQ14" s="24"/>
      <c r="AR14" s="24"/>
      <c r="AS14" s="69"/>
      <c r="AT14" s="24"/>
      <c r="AU14" s="24"/>
      <c r="AV14" s="24"/>
      <c r="AW14" s="24"/>
      <c r="AX14" s="24"/>
      <c r="AY14" s="101"/>
      <c r="BA14" s="74"/>
      <c r="BC14" s="72"/>
    </row>
    <row r="15" spans="2:62" s="25" customFormat="1" ht="15" customHeight="1" thickBot="1" x14ac:dyDescent="0.25">
      <c r="B15" s="43"/>
      <c r="C15" s="44"/>
      <c r="D15" s="44"/>
      <c r="E15" s="44"/>
      <c r="F15" s="44"/>
      <c r="G15" s="44"/>
      <c r="H15" s="44"/>
      <c r="I15" s="44"/>
      <c r="J15" s="44"/>
      <c r="K15" s="44"/>
      <c r="L15" s="44"/>
      <c r="M15" s="44"/>
      <c r="N15" s="44"/>
      <c r="O15" s="45"/>
      <c r="Q15" s="24"/>
      <c r="R15" s="71"/>
      <c r="S15" s="71"/>
      <c r="T15" s="71"/>
      <c r="U15" s="71"/>
      <c r="V15" s="71"/>
      <c r="W15" s="71"/>
      <c r="X15" s="71"/>
      <c r="Y15" s="71"/>
      <c r="Z15" s="71"/>
      <c r="AA15" s="71"/>
      <c r="AB15" s="71"/>
      <c r="AC15" s="237"/>
      <c r="AD15" s="237"/>
      <c r="AE15" s="24"/>
      <c r="AF15" s="24"/>
      <c r="AG15" s="24"/>
      <c r="AH15" s="24"/>
      <c r="AI15" s="24"/>
      <c r="AJ15" s="24"/>
      <c r="AK15" s="71"/>
      <c r="AL15" s="24"/>
      <c r="AM15" s="24"/>
      <c r="AN15" s="24"/>
      <c r="AO15" s="69"/>
      <c r="AP15" s="24"/>
      <c r="AQ15" s="24"/>
      <c r="AR15" s="24"/>
      <c r="AS15" s="69"/>
      <c r="AT15" s="24"/>
      <c r="AU15" s="24"/>
      <c r="AV15" s="24"/>
      <c r="AW15" s="24"/>
      <c r="AX15" s="24"/>
      <c r="BA15" s="74"/>
      <c r="BC15" s="72"/>
    </row>
    <row r="16" spans="2:62" s="25" customFormat="1" ht="15" customHeight="1" thickBot="1" x14ac:dyDescent="0.25">
      <c r="B16" s="30"/>
      <c r="C16" s="31" t="s">
        <v>56</v>
      </c>
      <c r="D16" s="31"/>
      <c r="E16" s="31"/>
      <c r="F16" s="33"/>
      <c r="G16" s="33"/>
      <c r="H16" s="33"/>
      <c r="I16" s="33"/>
      <c r="J16" s="33"/>
      <c r="K16" s="33"/>
      <c r="L16" s="33"/>
      <c r="M16" s="33"/>
      <c r="N16" s="33"/>
      <c r="O16" s="34"/>
      <c r="Q16" s="24"/>
      <c r="R16" s="71"/>
      <c r="S16" s="71"/>
      <c r="T16" s="71"/>
      <c r="U16" s="71"/>
      <c r="V16" s="71"/>
      <c r="W16" s="71"/>
      <c r="X16" s="71"/>
      <c r="Y16" s="71"/>
      <c r="Z16" s="71"/>
      <c r="AA16" s="71"/>
      <c r="AB16" s="71"/>
      <c r="AC16" s="237"/>
      <c r="AD16" s="237"/>
      <c r="AE16" s="24"/>
      <c r="AF16" s="24"/>
      <c r="AG16" s="24"/>
      <c r="AH16" s="24"/>
      <c r="AI16" s="24"/>
      <c r="AJ16" s="24"/>
      <c r="AK16" s="71"/>
      <c r="AL16" s="24"/>
      <c r="AM16" s="24"/>
      <c r="AN16" s="24"/>
      <c r="AO16" s="69"/>
      <c r="AP16" s="24"/>
      <c r="AQ16" s="24"/>
      <c r="AR16" s="24"/>
      <c r="AS16" s="69"/>
      <c r="AT16" s="24"/>
      <c r="AU16" s="24"/>
      <c r="AV16" s="24"/>
      <c r="AW16" s="24"/>
      <c r="AX16" s="24"/>
      <c r="BA16" s="74"/>
      <c r="BC16" s="72"/>
    </row>
    <row r="17" spans="2:55" s="25" customFormat="1" ht="15" customHeight="1" thickTop="1" x14ac:dyDescent="0.2">
      <c r="B17" s="35"/>
      <c r="C17" s="36"/>
      <c r="D17" s="36"/>
      <c r="E17" s="36"/>
      <c r="F17" s="36"/>
      <c r="G17" s="36"/>
      <c r="H17" s="36"/>
      <c r="I17" s="36"/>
      <c r="J17" s="36"/>
      <c r="K17" s="36"/>
      <c r="L17" s="36"/>
      <c r="M17" s="36"/>
      <c r="N17" s="36"/>
      <c r="O17" s="37"/>
      <c r="Q17" s="24"/>
      <c r="R17" s="71"/>
      <c r="S17" s="71"/>
      <c r="T17" s="71"/>
      <c r="U17" s="71"/>
      <c r="V17" s="71"/>
      <c r="W17" s="71"/>
      <c r="X17" s="71"/>
      <c r="Y17" s="71"/>
      <c r="Z17" s="71"/>
      <c r="AA17" s="71"/>
      <c r="AB17" s="71"/>
      <c r="AC17" s="237"/>
      <c r="AD17" s="237"/>
      <c r="AE17" s="24"/>
      <c r="AF17" s="24"/>
      <c r="AG17" s="24"/>
      <c r="AH17" s="24"/>
      <c r="AI17" s="24"/>
      <c r="AJ17" s="24"/>
      <c r="AK17" s="71"/>
      <c r="AL17" s="24"/>
      <c r="AM17" s="24"/>
      <c r="AN17" s="24"/>
      <c r="AO17" s="69"/>
      <c r="AP17" s="24"/>
      <c r="AQ17" s="24"/>
      <c r="AR17" s="24"/>
      <c r="AS17" s="69"/>
      <c r="AT17" s="24"/>
      <c r="AU17" s="24"/>
      <c r="AV17" s="24"/>
      <c r="AW17" s="24"/>
      <c r="AX17" s="24"/>
      <c r="BA17" s="74"/>
      <c r="BC17" s="72"/>
    </row>
    <row r="18" spans="2:55" s="25" customFormat="1" ht="15" customHeight="1" x14ac:dyDescent="0.2">
      <c r="B18" s="35"/>
      <c r="C18" s="46" t="s">
        <v>57</v>
      </c>
      <c r="D18" s="36"/>
      <c r="E18" s="36"/>
      <c r="F18" s="36"/>
      <c r="G18" s="36"/>
      <c r="H18" s="36"/>
      <c r="I18" s="36"/>
      <c r="J18" s="36"/>
      <c r="K18" s="36"/>
      <c r="L18" s="36"/>
      <c r="M18" s="36"/>
      <c r="N18" s="36"/>
      <c r="O18" s="37"/>
      <c r="Q18" s="24"/>
      <c r="R18" s="71"/>
      <c r="S18" s="71"/>
      <c r="T18" s="71"/>
      <c r="U18" s="71"/>
      <c r="V18" s="71"/>
      <c r="W18" s="71"/>
      <c r="X18" s="71"/>
      <c r="Y18" s="71"/>
      <c r="Z18" s="71"/>
      <c r="AA18" s="71"/>
      <c r="AB18" s="71"/>
      <c r="AC18" s="237"/>
      <c r="AD18" s="237"/>
      <c r="AE18" s="24"/>
      <c r="AF18" s="24"/>
      <c r="AG18" s="24"/>
      <c r="AH18" s="24"/>
      <c r="AI18" s="24"/>
      <c r="AJ18" s="24"/>
      <c r="AK18" s="71"/>
      <c r="AL18" s="24"/>
      <c r="AM18" s="24"/>
      <c r="AN18" s="24"/>
      <c r="AO18" s="69"/>
      <c r="AP18" s="24"/>
      <c r="AQ18" s="24"/>
      <c r="AR18" s="24"/>
      <c r="AS18" s="69"/>
      <c r="AT18" s="24"/>
      <c r="AU18" s="24"/>
      <c r="AV18" s="24"/>
      <c r="AW18" s="24"/>
      <c r="AX18" s="24"/>
      <c r="BA18" s="74"/>
      <c r="BC18" s="72"/>
    </row>
    <row r="19" spans="2:55" s="25" customFormat="1" ht="15" customHeight="1" x14ac:dyDescent="0.2">
      <c r="B19" s="47"/>
      <c r="C19" s="82" t="s">
        <v>58</v>
      </c>
      <c r="D19" s="79"/>
      <c r="E19" s="79"/>
      <c r="F19" s="80"/>
      <c r="G19" s="320" t="s">
        <v>59</v>
      </c>
      <c r="H19" s="321"/>
      <c r="I19" s="320" t="s">
        <v>60</v>
      </c>
      <c r="J19" s="327"/>
      <c r="K19" s="327"/>
      <c r="L19" s="321"/>
      <c r="O19" s="37"/>
      <c r="Q19" s="24"/>
      <c r="R19" s="71"/>
      <c r="S19" s="71"/>
      <c r="T19" s="71"/>
      <c r="U19" s="71"/>
      <c r="V19" s="71"/>
      <c r="W19" s="71"/>
      <c r="X19" s="71"/>
      <c r="Y19" s="71"/>
      <c r="Z19" s="71"/>
      <c r="AA19" s="71"/>
      <c r="AB19" s="71"/>
      <c r="AC19" s="237"/>
      <c r="AD19" s="237"/>
      <c r="AE19" s="24"/>
      <c r="AF19" s="24"/>
      <c r="AG19" s="24"/>
      <c r="AH19" s="24"/>
      <c r="AI19" s="24"/>
      <c r="AJ19" s="24"/>
      <c r="AK19" s="71"/>
      <c r="AL19" s="24"/>
      <c r="AM19" s="24"/>
      <c r="AN19" s="24"/>
      <c r="AO19" s="69"/>
      <c r="AP19" s="24"/>
      <c r="AQ19" s="24"/>
      <c r="AR19" s="24"/>
      <c r="AS19" s="69"/>
      <c r="AT19" s="24"/>
      <c r="AU19" s="24"/>
      <c r="AV19" s="24"/>
      <c r="AW19" s="24"/>
      <c r="AX19" s="24"/>
      <c r="BA19" s="74"/>
      <c r="BC19" s="72"/>
    </row>
    <row r="20" spans="2:55" s="25" customFormat="1" ht="15" customHeight="1" x14ac:dyDescent="0.2">
      <c r="B20" s="35"/>
      <c r="C20" s="81" t="s">
        <v>126</v>
      </c>
      <c r="D20" s="77"/>
      <c r="E20" s="77"/>
      <c r="F20" s="78"/>
      <c r="G20" s="222">
        <v>8</v>
      </c>
      <c r="H20" s="192" t="s">
        <v>29</v>
      </c>
      <c r="I20" s="193">
        <f>((TAN(G20/57.2958))*$G$13)/$G$13</f>
        <v>0.14054078379092161</v>
      </c>
      <c r="J20" s="81" t="s">
        <v>61</v>
      </c>
      <c r="K20" s="291">
        <f>I20*$G$13</f>
        <v>112.43262703273729</v>
      </c>
      <c r="L20" s="288">
        <f>I20*$I$13</f>
        <v>368.89144929441107</v>
      </c>
      <c r="O20" s="37"/>
      <c r="Q20" s="24"/>
      <c r="R20" s="71"/>
      <c r="S20" s="71"/>
      <c r="T20" s="71"/>
      <c r="U20" s="71"/>
      <c r="V20" s="71"/>
      <c r="W20" s="71"/>
      <c r="X20" s="71"/>
      <c r="Y20" s="71"/>
      <c r="Z20" s="71"/>
      <c r="AA20" s="71"/>
      <c r="AB20" s="71"/>
      <c r="AC20" s="237"/>
      <c r="AD20" s="237"/>
      <c r="AE20" s="24"/>
      <c r="AF20" s="24"/>
      <c r="AG20" s="24"/>
      <c r="AH20" s="24"/>
      <c r="AI20" s="24"/>
      <c r="AJ20" s="24"/>
      <c r="AK20" s="71"/>
      <c r="AL20" s="24"/>
      <c r="AM20" s="24"/>
      <c r="AN20" s="24"/>
      <c r="AO20" s="69"/>
      <c r="AP20" s="24"/>
      <c r="AQ20" s="24"/>
      <c r="AR20" s="24"/>
      <c r="AS20" s="69"/>
      <c r="AT20" s="24"/>
      <c r="AU20" s="24"/>
      <c r="AV20" s="24"/>
      <c r="AW20" s="24"/>
      <c r="AX20" s="24"/>
      <c r="BA20" s="74"/>
      <c r="BC20" s="72"/>
    </row>
    <row r="21" spans="2:55" s="25" customFormat="1" ht="15" customHeight="1" x14ac:dyDescent="0.2">
      <c r="B21" s="35"/>
      <c r="C21" s="53" t="s">
        <v>125</v>
      </c>
      <c r="D21" s="48"/>
      <c r="E21" s="48"/>
      <c r="F21" s="49"/>
      <c r="G21" s="222">
        <v>4.5</v>
      </c>
      <c r="H21" s="52" t="s">
        <v>29</v>
      </c>
      <c r="I21" s="50">
        <f>((TAN(G21/57.2958))*$G$13)/$G$13</f>
        <v>7.8701678567659514E-2</v>
      </c>
      <c r="J21" s="53" t="s">
        <v>61</v>
      </c>
      <c r="K21" s="292">
        <f>I21*$G$13</f>
        <v>62.961342854127608</v>
      </c>
      <c r="L21" s="293">
        <f>I21*$I$13</f>
        <v>206.5761659043927</v>
      </c>
      <c r="O21" s="37"/>
      <c r="Q21" s="24"/>
      <c r="R21" s="71"/>
      <c r="S21" s="71"/>
      <c r="T21" s="71"/>
      <c r="U21" s="71"/>
      <c r="V21" s="71"/>
      <c r="W21" s="71"/>
      <c r="X21" s="71"/>
      <c r="Y21" s="71"/>
      <c r="Z21" s="71"/>
      <c r="AA21" s="71"/>
      <c r="AB21" s="71"/>
      <c r="AC21" s="237"/>
      <c r="AD21" s="237"/>
      <c r="AE21" s="24"/>
      <c r="AF21" s="24"/>
      <c r="AG21" s="24"/>
      <c r="AH21" s="24"/>
      <c r="AI21" s="24"/>
      <c r="AJ21" s="24"/>
      <c r="AK21" s="71"/>
      <c r="AL21" s="24"/>
      <c r="AM21" s="24"/>
      <c r="AN21" s="24"/>
      <c r="AO21" s="69"/>
      <c r="AP21" s="24"/>
      <c r="AQ21" s="24"/>
      <c r="AR21" s="24"/>
      <c r="AS21" s="69"/>
      <c r="AT21" s="24"/>
      <c r="AU21" s="24"/>
      <c r="AV21" s="24"/>
      <c r="AW21" s="24"/>
      <c r="AX21" s="24"/>
      <c r="BA21" s="74"/>
      <c r="BC21" s="72"/>
    </row>
    <row r="22" spans="2:55" s="25" customFormat="1" ht="15" customHeight="1" x14ac:dyDescent="0.2">
      <c r="B22" s="35"/>
      <c r="C22" s="53" t="s">
        <v>124</v>
      </c>
      <c r="D22" s="48"/>
      <c r="E22" s="48"/>
      <c r="F22" s="49"/>
      <c r="G22" s="51">
        <v>30</v>
      </c>
      <c r="H22" s="52" t="s">
        <v>62</v>
      </c>
      <c r="I22" s="50">
        <f>((TAN(ACOS(I13/(I13+G22)))*I13)/I13)</f>
        <v>0.15162294231556203</v>
      </c>
      <c r="J22" s="53" t="s">
        <v>61</v>
      </c>
      <c r="K22" s="292">
        <f>I22*$G$13</f>
        <v>121.29835385244962</v>
      </c>
      <c r="L22" s="293">
        <f>I22*$I$13</f>
        <v>397.97989898988726</v>
      </c>
      <c r="O22" s="37"/>
      <c r="Q22" s="24"/>
      <c r="R22" s="71"/>
      <c r="S22" s="71"/>
      <c r="T22" s="71"/>
      <c r="U22" s="71"/>
      <c r="V22" s="71"/>
      <c r="W22" s="71"/>
      <c r="X22" s="71"/>
      <c r="Y22" s="71"/>
      <c r="Z22" s="71"/>
      <c r="AA22" s="71"/>
      <c r="AB22" s="71"/>
      <c r="AC22" s="237"/>
      <c r="AD22" s="237"/>
      <c r="AE22" s="24"/>
      <c r="AF22" s="24"/>
      <c r="AG22" s="24"/>
      <c r="AH22" s="24"/>
      <c r="AI22" s="24"/>
      <c r="AJ22" s="24"/>
      <c r="AK22" s="71"/>
      <c r="AL22" s="24"/>
      <c r="AM22" s="24"/>
      <c r="AN22" s="24"/>
      <c r="AO22" s="69"/>
      <c r="AP22" s="24"/>
      <c r="AQ22" s="24"/>
      <c r="AR22" s="24"/>
      <c r="AS22" s="69"/>
      <c r="AT22" s="24"/>
      <c r="AU22" s="24"/>
      <c r="AV22" s="24"/>
      <c r="AW22" s="24"/>
      <c r="AX22" s="24"/>
      <c r="BA22" s="74"/>
      <c r="BC22" s="72"/>
    </row>
    <row r="23" spans="2:55" s="25" customFormat="1" ht="15" customHeight="1" x14ac:dyDescent="0.2">
      <c r="B23" s="35"/>
      <c r="C23" s="53" t="s">
        <v>128</v>
      </c>
      <c r="D23" s="48"/>
      <c r="E23" s="48"/>
      <c r="F23" s="48"/>
      <c r="G23" s="182"/>
      <c r="H23" s="49"/>
      <c r="I23" s="54">
        <v>0.08</v>
      </c>
      <c r="J23" s="53" t="s">
        <v>61</v>
      </c>
      <c r="K23" s="292">
        <f>I23*$G$13</f>
        <v>64</v>
      </c>
      <c r="L23" s="293">
        <f>I23*$I$13</f>
        <v>209.98400000000001</v>
      </c>
      <c r="O23" s="37"/>
      <c r="Q23" s="24"/>
      <c r="R23" s="71"/>
      <c r="S23" s="71"/>
      <c r="T23" s="71"/>
      <c r="U23" s="71"/>
      <c r="V23" s="71"/>
      <c r="W23" s="71"/>
      <c r="X23" s="71"/>
      <c r="Y23" s="71"/>
      <c r="Z23" s="71"/>
      <c r="AA23" s="71"/>
      <c r="AB23" s="71"/>
      <c r="AC23" s="237"/>
      <c r="AD23" s="237"/>
      <c r="AE23" s="24"/>
      <c r="AF23" s="24"/>
      <c r="AG23" s="24"/>
      <c r="AH23" s="24"/>
      <c r="AI23" s="24"/>
      <c r="AJ23" s="24"/>
      <c r="AK23" s="71"/>
      <c r="AL23" s="24"/>
      <c r="AM23" s="24"/>
      <c r="AN23" s="24"/>
      <c r="AO23" s="69"/>
      <c r="AP23" s="24"/>
      <c r="AQ23" s="24"/>
      <c r="AR23" s="24"/>
      <c r="AS23" s="69"/>
      <c r="AT23" s="24"/>
      <c r="AU23" s="24"/>
      <c r="AV23" s="24"/>
      <c r="AW23" s="24"/>
      <c r="AX23" s="24"/>
      <c r="BA23" s="74"/>
      <c r="BC23" s="72"/>
    </row>
    <row r="24" spans="2:55" s="25" customFormat="1" ht="15" customHeight="1" x14ac:dyDescent="0.2">
      <c r="B24" s="35"/>
      <c r="C24" s="187" t="s">
        <v>127</v>
      </c>
      <c r="D24" s="188"/>
      <c r="E24" s="188"/>
      <c r="F24" s="188"/>
      <c r="G24" s="189"/>
      <c r="H24" s="190"/>
      <c r="I24" s="191">
        <v>7.0000000000000007E-2</v>
      </c>
      <c r="J24" s="187" t="s">
        <v>61</v>
      </c>
      <c r="K24" s="294">
        <f>I24*$G$13</f>
        <v>56.000000000000007</v>
      </c>
      <c r="L24" s="295">
        <f>I24*$I$13</f>
        <v>183.73600000000002</v>
      </c>
      <c r="O24" s="37"/>
      <c r="Q24" s="24"/>
      <c r="R24" s="71"/>
      <c r="S24" s="71"/>
      <c r="T24" s="71"/>
      <c r="U24" s="71"/>
      <c r="V24" s="71"/>
      <c r="W24" s="71"/>
      <c r="X24" s="71"/>
      <c r="Y24" s="71"/>
      <c r="Z24" s="71"/>
      <c r="AA24" s="71"/>
      <c r="AB24" s="71"/>
      <c r="AC24" s="237"/>
      <c r="AD24" s="237"/>
      <c r="AE24" s="24"/>
      <c r="AF24" s="24"/>
      <c r="AG24" s="24"/>
      <c r="AH24" s="24"/>
      <c r="AI24" s="24"/>
      <c r="AJ24" s="24"/>
      <c r="AK24" s="71"/>
      <c r="AL24" s="24"/>
      <c r="AM24" s="24"/>
      <c r="AN24" s="24"/>
      <c r="AO24" s="69"/>
      <c r="AP24" s="24"/>
      <c r="AQ24" s="24"/>
      <c r="AR24" s="24"/>
      <c r="AS24" s="69"/>
      <c r="AT24" s="24"/>
      <c r="AU24" s="24"/>
      <c r="AV24" s="24"/>
      <c r="AW24" s="24"/>
      <c r="AX24" s="24"/>
      <c r="BA24" s="74"/>
      <c r="BC24" s="72"/>
    </row>
    <row r="25" spans="2:55" s="25" customFormat="1" ht="15" customHeight="1" x14ac:dyDescent="0.2">
      <c r="B25" s="35"/>
      <c r="C25" s="55" t="s">
        <v>140</v>
      </c>
      <c r="D25" s="36"/>
      <c r="E25" s="36"/>
      <c r="F25" s="36"/>
      <c r="G25" s="36"/>
      <c r="H25" s="36"/>
      <c r="I25" s="36"/>
      <c r="J25" s="36"/>
      <c r="K25" s="36"/>
      <c r="L25" s="36"/>
      <c r="M25" s="36"/>
      <c r="O25" s="37"/>
      <c r="Q25" s="24"/>
      <c r="R25" s="71"/>
      <c r="S25" s="71"/>
      <c r="T25" s="71"/>
      <c r="U25" s="71"/>
      <c r="V25" s="71"/>
      <c r="W25" s="71"/>
      <c r="X25" s="71"/>
      <c r="Y25" s="71"/>
      <c r="Z25" s="71"/>
      <c r="AA25" s="71"/>
      <c r="AB25" s="71"/>
      <c r="AC25" s="237"/>
      <c r="AD25" s="237"/>
      <c r="AE25" s="24"/>
      <c r="AF25" s="24"/>
      <c r="AG25" s="24"/>
      <c r="AH25" s="24"/>
      <c r="AI25" s="24"/>
      <c r="AJ25" s="24"/>
      <c r="AK25" s="71"/>
      <c r="AL25" s="24"/>
      <c r="AM25" s="24"/>
      <c r="AN25" s="24"/>
      <c r="AO25" s="69"/>
      <c r="AP25" s="24"/>
      <c r="AQ25" s="24"/>
      <c r="AR25" s="24"/>
      <c r="AS25" s="69"/>
      <c r="AT25" s="24"/>
      <c r="AU25" s="24"/>
      <c r="AV25" s="24"/>
      <c r="AW25" s="24"/>
      <c r="AX25" s="24"/>
      <c r="BA25" s="74"/>
      <c r="BC25" s="72"/>
    </row>
    <row r="26" spans="2:55" s="25" customFormat="1" ht="15" customHeight="1" x14ac:dyDescent="0.2">
      <c r="B26" s="35"/>
      <c r="C26" s="36"/>
      <c r="D26" s="36"/>
      <c r="E26" s="36"/>
      <c r="F26" s="36"/>
      <c r="G26" s="36"/>
      <c r="H26" s="36"/>
      <c r="I26" s="36"/>
      <c r="J26" s="36"/>
      <c r="K26" s="36"/>
      <c r="L26" s="36"/>
      <c r="M26" s="36"/>
      <c r="N26" s="36"/>
      <c r="O26" s="37"/>
      <c r="Q26" s="24"/>
      <c r="R26" s="71"/>
      <c r="S26" s="71"/>
      <c r="T26" s="71"/>
      <c r="U26" s="71"/>
      <c r="V26" s="71"/>
      <c r="W26" s="71"/>
      <c r="X26" s="71"/>
      <c r="Y26" s="71"/>
      <c r="Z26" s="71"/>
      <c r="AA26" s="71"/>
      <c r="AB26" s="71"/>
      <c r="AC26" s="237"/>
      <c r="AD26" s="237"/>
      <c r="AE26" s="24"/>
      <c r="AF26" s="24"/>
      <c r="AG26" s="24"/>
      <c r="AH26" s="24"/>
      <c r="AI26" s="24"/>
      <c r="AJ26" s="24"/>
      <c r="AK26" s="71"/>
      <c r="AL26" s="24"/>
      <c r="AM26" s="24"/>
      <c r="AN26" s="24"/>
      <c r="AO26" s="69"/>
      <c r="AP26" s="24"/>
      <c r="AQ26" s="24"/>
      <c r="AR26" s="24"/>
      <c r="AS26" s="69"/>
      <c r="AT26" s="24"/>
      <c r="AU26" s="24"/>
      <c r="AV26" s="24"/>
      <c r="AW26" s="24"/>
      <c r="AX26" s="24"/>
      <c r="BA26" s="74"/>
      <c r="BC26" s="72"/>
    </row>
    <row r="27" spans="2:55" s="25" customFormat="1" ht="15" customHeight="1" x14ac:dyDescent="0.2">
      <c r="B27" s="35"/>
      <c r="C27" s="46" t="s">
        <v>63</v>
      </c>
      <c r="D27" s="36"/>
      <c r="E27" s="36"/>
      <c r="F27" s="36"/>
      <c r="G27" s="36"/>
      <c r="H27" s="36"/>
      <c r="I27" s="36"/>
      <c r="J27" s="36"/>
      <c r="K27" s="62"/>
      <c r="L27" s="36"/>
      <c r="M27" s="36"/>
      <c r="N27" s="36"/>
      <c r="O27" s="37"/>
      <c r="Q27" s="24"/>
      <c r="R27" s="71"/>
      <c r="S27" s="71"/>
      <c r="T27" s="71"/>
      <c r="U27" s="71"/>
      <c r="V27" s="71"/>
      <c r="W27" s="71"/>
      <c r="X27" s="71"/>
      <c r="Y27" s="71"/>
      <c r="Z27" s="71"/>
      <c r="AA27" s="71"/>
      <c r="AB27" s="71"/>
      <c r="AC27" s="237"/>
      <c r="AD27" s="237"/>
      <c r="AE27" s="24"/>
      <c r="AF27" s="24"/>
      <c r="AG27" s="24"/>
      <c r="AH27" s="24"/>
      <c r="AI27" s="24"/>
      <c r="AJ27" s="24"/>
      <c r="AK27" s="71"/>
      <c r="AL27" s="24"/>
      <c r="AM27" s="24"/>
      <c r="AN27" s="24"/>
      <c r="AO27" s="69"/>
      <c r="AP27" s="24"/>
      <c r="AQ27" s="24"/>
      <c r="AR27" s="24"/>
      <c r="AS27" s="69"/>
      <c r="AT27" s="24"/>
      <c r="AU27" s="24"/>
      <c r="AV27" s="24"/>
      <c r="AW27" s="24"/>
      <c r="AX27" s="24"/>
      <c r="BA27" s="74"/>
      <c r="BC27" s="72"/>
    </row>
    <row r="28" spans="2:55" s="25" customFormat="1" ht="15" customHeight="1" x14ac:dyDescent="0.2">
      <c r="B28" s="35"/>
      <c r="C28" s="82" t="s">
        <v>64</v>
      </c>
      <c r="D28" s="82" t="s">
        <v>65</v>
      </c>
      <c r="E28" s="79"/>
      <c r="F28" s="80"/>
      <c r="G28" s="320" t="s">
        <v>66</v>
      </c>
      <c r="H28" s="321"/>
      <c r="I28" s="197" t="s">
        <v>67</v>
      </c>
      <c r="K28" s="100"/>
      <c r="L28" s="100"/>
      <c r="M28" s="100"/>
      <c r="N28" s="36"/>
      <c r="O28" s="37"/>
      <c r="Q28" s="24"/>
      <c r="R28" s="71"/>
      <c r="S28" s="71"/>
      <c r="T28" s="71"/>
      <c r="U28" s="71"/>
      <c r="V28" s="71"/>
      <c r="W28" s="71"/>
      <c r="X28" s="71"/>
      <c r="Y28" s="71"/>
      <c r="Z28" s="71"/>
      <c r="AA28" s="71"/>
      <c r="AB28" s="71"/>
      <c r="AC28" s="237"/>
      <c r="AD28" s="237"/>
      <c r="AE28" s="24"/>
      <c r="AF28" s="24"/>
      <c r="AG28" s="24"/>
      <c r="AH28" s="24"/>
      <c r="AI28" s="24"/>
      <c r="AJ28" s="24"/>
      <c r="AK28" s="71"/>
      <c r="AL28" s="24"/>
      <c r="AM28" s="24"/>
      <c r="AN28" s="24"/>
      <c r="AO28" s="69"/>
      <c r="AP28" s="24"/>
      <c r="AQ28" s="24"/>
      <c r="AR28" s="24"/>
      <c r="AS28" s="69"/>
      <c r="AT28" s="24"/>
      <c r="AU28" s="24"/>
      <c r="AV28" s="24"/>
      <c r="AW28" s="24"/>
      <c r="AX28" s="24"/>
      <c r="BA28" s="74"/>
      <c r="BC28" s="72"/>
    </row>
    <row r="29" spans="2:55" s="25" customFormat="1" ht="15" customHeight="1" x14ac:dyDescent="0.2">
      <c r="B29" s="35"/>
      <c r="C29" s="196">
        <v>1</v>
      </c>
      <c r="D29" s="81" t="s">
        <v>121</v>
      </c>
      <c r="E29" s="77"/>
      <c r="F29" s="78"/>
      <c r="G29" s="181">
        <v>25</v>
      </c>
      <c r="H29" s="192" t="s">
        <v>68</v>
      </c>
      <c r="I29" s="194"/>
      <c r="K29" s="36"/>
      <c r="L29" s="36"/>
      <c r="M29" s="36"/>
      <c r="N29" s="36"/>
      <c r="O29" s="37"/>
      <c r="Q29" s="24"/>
      <c r="R29" s="71"/>
      <c r="S29" s="71"/>
      <c r="T29" s="71"/>
      <c r="U29" s="71"/>
      <c r="V29" s="71"/>
      <c r="W29" s="71"/>
      <c r="X29" s="71"/>
      <c r="Y29" s="71"/>
      <c r="Z29" s="71"/>
      <c r="AA29" s="71"/>
      <c r="AB29" s="71"/>
      <c r="AC29" s="237"/>
      <c r="AD29" s="237"/>
      <c r="AE29" s="24"/>
      <c r="AF29" s="24"/>
      <c r="AG29" s="24"/>
      <c r="AH29" s="24"/>
      <c r="AI29" s="24"/>
      <c r="AJ29" s="24"/>
      <c r="AK29" s="71"/>
      <c r="AL29" s="24"/>
      <c r="AM29" s="24"/>
      <c r="AN29" s="24"/>
      <c r="AO29" s="69"/>
      <c r="AP29" s="24"/>
      <c r="AQ29" s="24"/>
      <c r="AR29" s="24"/>
      <c r="AS29" s="69"/>
      <c r="AT29" s="24"/>
      <c r="AU29" s="24"/>
      <c r="AV29" s="24"/>
      <c r="AW29" s="24"/>
      <c r="AX29" s="24"/>
      <c r="BA29" s="74"/>
      <c r="BC29" s="72"/>
    </row>
    <row r="30" spans="2:55" s="25" customFormat="1" ht="15" customHeight="1" x14ac:dyDescent="0.2">
      <c r="B30" s="35"/>
      <c r="C30" s="195">
        <v>2</v>
      </c>
      <c r="D30" s="53" t="s">
        <v>122</v>
      </c>
      <c r="E30" s="48"/>
      <c r="F30" s="49"/>
      <c r="G30" s="56">
        <v>25</v>
      </c>
      <c r="H30" s="52" t="s">
        <v>68</v>
      </c>
      <c r="I30" s="194" t="s">
        <v>35</v>
      </c>
      <c r="K30" s="36"/>
      <c r="L30" s="100"/>
      <c r="M30" s="100"/>
      <c r="N30" s="36"/>
      <c r="O30" s="37"/>
      <c r="Q30" s="24"/>
      <c r="R30" s="71"/>
      <c r="S30" s="71"/>
      <c r="T30" s="71"/>
      <c r="U30" s="71"/>
      <c r="V30" s="71"/>
      <c r="W30" s="71"/>
      <c r="X30" s="71"/>
      <c r="Y30" s="71"/>
      <c r="Z30" s="71"/>
      <c r="AA30" s="71"/>
      <c r="AB30" s="71"/>
      <c r="AC30" s="237"/>
      <c r="AD30" s="237"/>
      <c r="AE30" s="24"/>
      <c r="AF30" s="24"/>
      <c r="AG30" s="24"/>
      <c r="AH30" s="24"/>
      <c r="AI30" s="24"/>
      <c r="AJ30" s="24"/>
      <c r="AK30" s="71"/>
      <c r="AL30" s="24"/>
      <c r="AM30" s="24"/>
      <c r="AN30" s="24"/>
      <c r="AO30" s="69"/>
      <c r="AP30" s="24"/>
      <c r="AQ30" s="24"/>
      <c r="AR30" s="24"/>
      <c r="AS30" s="69"/>
      <c r="AT30" s="24"/>
      <c r="AU30" s="24"/>
      <c r="AV30" s="24"/>
      <c r="AW30" s="24"/>
      <c r="AX30" s="24"/>
      <c r="BA30" s="74"/>
      <c r="BC30" s="72"/>
    </row>
    <row r="31" spans="2:55" s="25" customFormat="1" ht="15" customHeight="1" x14ac:dyDescent="0.2">
      <c r="B31" s="35"/>
      <c r="C31" s="195">
        <v>3</v>
      </c>
      <c r="D31" s="183" t="s">
        <v>123</v>
      </c>
      <c r="E31" s="184"/>
      <c r="F31" s="185"/>
      <c r="G31" s="57">
        <v>50</v>
      </c>
      <c r="H31" s="52" t="s">
        <v>68</v>
      </c>
      <c r="I31" s="194"/>
      <c r="K31" s="36"/>
      <c r="L31" s="36"/>
      <c r="M31" s="36"/>
      <c r="N31" s="36"/>
      <c r="O31" s="37"/>
      <c r="Q31" s="24"/>
      <c r="R31" s="71"/>
      <c r="S31" s="71"/>
      <c r="T31" s="71"/>
      <c r="U31" s="71"/>
      <c r="V31" s="71"/>
      <c r="W31" s="71"/>
      <c r="X31" s="71"/>
      <c r="Y31" s="71"/>
      <c r="Z31" s="71"/>
      <c r="AA31" s="71"/>
      <c r="AB31" s="71"/>
      <c r="AC31" s="237"/>
      <c r="AD31" s="237"/>
      <c r="AE31" s="24"/>
      <c r="AF31" s="24"/>
      <c r="AG31" s="24"/>
      <c r="AH31" s="24"/>
      <c r="AI31" s="24"/>
      <c r="AJ31" s="24"/>
      <c r="AK31" s="71"/>
      <c r="AL31" s="24"/>
      <c r="AM31" s="24"/>
      <c r="AN31" s="24"/>
      <c r="AO31" s="69"/>
      <c r="AP31" s="24"/>
      <c r="AQ31" s="24"/>
      <c r="AR31" s="24"/>
      <c r="AS31" s="69"/>
      <c r="AT31" s="24"/>
      <c r="AU31" s="24"/>
      <c r="AV31" s="24"/>
      <c r="AW31" s="24"/>
      <c r="AX31" s="24"/>
      <c r="BA31" s="74"/>
      <c r="BC31" s="72"/>
    </row>
    <row r="32" spans="2:55" s="25" customFormat="1" ht="15" customHeight="1" x14ac:dyDescent="0.2">
      <c r="B32" s="35"/>
      <c r="C32" s="195">
        <v>4</v>
      </c>
      <c r="D32" s="53"/>
      <c r="E32" s="48"/>
      <c r="F32" s="49"/>
      <c r="G32" s="56"/>
      <c r="H32" s="52" t="s">
        <v>68</v>
      </c>
      <c r="I32" s="194"/>
      <c r="O32" s="37"/>
      <c r="Q32" s="24"/>
      <c r="R32" s="71"/>
      <c r="S32" s="71"/>
      <c r="T32" s="71"/>
      <c r="U32" s="71"/>
      <c r="V32" s="71"/>
      <c r="W32" s="71"/>
      <c r="X32" s="71"/>
      <c r="Y32" s="71"/>
      <c r="Z32" s="71"/>
      <c r="AA32" s="71"/>
      <c r="AB32" s="71"/>
      <c r="AC32" s="237"/>
      <c r="AD32" s="237"/>
      <c r="AE32" s="24"/>
      <c r="AF32" s="24"/>
      <c r="AG32" s="24"/>
      <c r="AH32" s="24"/>
      <c r="AI32" s="24"/>
      <c r="AJ32" s="24"/>
      <c r="AK32" s="71"/>
      <c r="AL32" s="24"/>
      <c r="AM32" s="24"/>
      <c r="AN32" s="24"/>
      <c r="AO32" s="69"/>
      <c r="AP32" s="24"/>
      <c r="AQ32" s="24"/>
      <c r="AR32" s="24"/>
      <c r="AS32" s="69"/>
      <c r="AT32" s="24"/>
      <c r="AU32" s="24"/>
      <c r="AV32" s="24"/>
      <c r="AW32" s="24"/>
      <c r="AX32" s="24"/>
      <c r="BA32" s="74"/>
      <c r="BC32" s="72"/>
    </row>
    <row r="33" spans="2:55" s="25" customFormat="1" ht="15" hidden="1" customHeight="1" x14ac:dyDescent="0.2">
      <c r="B33" s="35"/>
      <c r="C33" s="195">
        <v>5</v>
      </c>
      <c r="D33" s="53"/>
      <c r="E33" s="48"/>
      <c r="F33" s="49"/>
      <c r="G33" s="56"/>
      <c r="H33" s="52" t="s">
        <v>68</v>
      </c>
      <c r="I33" s="194"/>
      <c r="O33" s="37"/>
      <c r="Q33" s="24"/>
      <c r="R33" s="71"/>
      <c r="S33" s="71"/>
      <c r="T33" s="71"/>
      <c r="U33" s="71"/>
      <c r="V33" s="71"/>
      <c r="W33" s="71"/>
      <c r="X33" s="71"/>
      <c r="Y33" s="71"/>
      <c r="Z33" s="71"/>
      <c r="AA33" s="71"/>
      <c r="AB33" s="71"/>
      <c r="AC33" s="237"/>
      <c r="AD33" s="237"/>
      <c r="AE33" s="24"/>
      <c r="AF33" s="24"/>
      <c r="AG33" s="24"/>
      <c r="AH33" s="24"/>
      <c r="AI33" s="24"/>
      <c r="AJ33" s="24"/>
      <c r="AK33" s="71"/>
      <c r="AL33" s="24"/>
      <c r="AM33" s="24"/>
      <c r="AN33" s="24"/>
      <c r="AO33" s="69"/>
      <c r="AP33" s="24"/>
      <c r="AQ33" s="24"/>
      <c r="AR33" s="24"/>
      <c r="AS33" s="69"/>
      <c r="AT33" s="24"/>
      <c r="AU33" s="24"/>
      <c r="AV33" s="24"/>
      <c r="AW33" s="24"/>
      <c r="AX33" s="24"/>
      <c r="BA33" s="74"/>
      <c r="BC33" s="72"/>
    </row>
    <row r="34" spans="2:55" s="25" customFormat="1" ht="15" hidden="1" customHeight="1" x14ac:dyDescent="0.2">
      <c r="B34" s="35"/>
      <c r="C34" s="58"/>
      <c r="E34" s="36"/>
      <c r="F34" s="36"/>
      <c r="G34" s="36"/>
      <c r="H34" s="36"/>
      <c r="I34" s="36"/>
      <c r="J34" s="36"/>
      <c r="K34" s="36"/>
      <c r="L34" s="36"/>
      <c r="M34" s="36"/>
      <c r="N34" s="36"/>
      <c r="O34" s="37"/>
      <c r="Q34" s="24"/>
      <c r="R34" s="71"/>
      <c r="S34" s="71"/>
      <c r="T34" s="71"/>
      <c r="U34" s="71"/>
      <c r="V34" s="71"/>
      <c r="W34" s="71"/>
      <c r="X34" s="71"/>
      <c r="Y34" s="71"/>
      <c r="Z34" s="71"/>
      <c r="AA34" s="71"/>
      <c r="AB34" s="71"/>
      <c r="AC34" s="237"/>
      <c r="AD34" s="237"/>
      <c r="AE34" s="24"/>
      <c r="AF34" s="24"/>
      <c r="AG34" s="24"/>
      <c r="AH34" s="24"/>
      <c r="AI34" s="24"/>
      <c r="AJ34" s="24"/>
      <c r="AK34" s="71"/>
      <c r="AL34" s="24"/>
      <c r="AM34" s="24"/>
      <c r="AN34" s="24"/>
      <c r="AO34" s="69"/>
      <c r="AP34" s="24"/>
      <c r="AQ34" s="24"/>
      <c r="AR34" s="24"/>
      <c r="AS34" s="69"/>
      <c r="AT34" s="24"/>
      <c r="AU34" s="24"/>
      <c r="AV34" s="24"/>
      <c r="AW34" s="24"/>
      <c r="AX34" s="24"/>
      <c r="BA34" s="74"/>
      <c r="BC34" s="72"/>
    </row>
    <row r="35" spans="2:55" s="25" customFormat="1" ht="15" customHeight="1" x14ac:dyDescent="0.2">
      <c r="B35" s="59"/>
      <c r="C35" s="195" t="s">
        <v>166</v>
      </c>
      <c r="D35" s="53" t="s">
        <v>167</v>
      </c>
      <c r="E35" s="48"/>
      <c r="F35" s="49"/>
      <c r="G35" s="57">
        <v>45</v>
      </c>
      <c r="H35" s="52" t="s">
        <v>68</v>
      </c>
      <c r="I35" s="29"/>
      <c r="J35" s="36"/>
      <c r="K35" s="36"/>
      <c r="L35" s="36"/>
      <c r="M35" s="36"/>
      <c r="N35" s="36"/>
      <c r="O35" s="37"/>
      <c r="Q35" s="24"/>
      <c r="R35" s="71"/>
      <c r="S35" s="71"/>
      <c r="T35" s="71"/>
      <c r="U35" s="71"/>
      <c r="V35" s="71"/>
      <c r="W35" s="71"/>
      <c r="X35" s="71"/>
      <c r="Y35" s="71"/>
      <c r="Z35" s="71"/>
      <c r="AA35" s="71"/>
      <c r="AB35" s="71"/>
      <c r="AC35" s="237"/>
      <c r="AD35" s="237"/>
      <c r="AE35" s="24"/>
      <c r="AF35" s="24"/>
      <c r="AG35" s="24"/>
      <c r="AH35" s="24"/>
      <c r="AI35" s="24"/>
      <c r="AJ35" s="24"/>
      <c r="AK35" s="71"/>
      <c r="AL35" s="24"/>
      <c r="AM35" s="24"/>
      <c r="AN35" s="24"/>
      <c r="AO35" s="69"/>
      <c r="AP35" s="24"/>
      <c r="AQ35" s="24"/>
      <c r="AR35" s="24"/>
      <c r="AS35" s="69"/>
      <c r="AT35" s="24"/>
      <c r="AU35" s="24"/>
      <c r="AV35" s="24"/>
      <c r="AW35" s="24"/>
      <c r="AX35" s="24"/>
      <c r="BA35" s="74"/>
      <c r="BC35" s="72"/>
    </row>
    <row r="36" spans="2:55" s="25" customFormat="1" ht="15" customHeight="1" thickBot="1" x14ac:dyDescent="0.25">
      <c r="B36" s="43"/>
      <c r="C36" s="44"/>
      <c r="D36" s="44"/>
      <c r="E36" s="44"/>
      <c r="F36" s="44"/>
      <c r="G36" s="44"/>
      <c r="H36" s="44"/>
      <c r="I36" s="44"/>
      <c r="J36" s="44"/>
      <c r="K36" s="44"/>
      <c r="L36" s="44"/>
      <c r="M36" s="44"/>
      <c r="N36" s="44"/>
      <c r="O36" s="45"/>
      <c r="Q36" s="24"/>
      <c r="R36" s="71"/>
      <c r="S36" s="71"/>
      <c r="T36" s="71"/>
      <c r="U36" s="71"/>
      <c r="V36" s="71"/>
      <c r="W36" s="71"/>
      <c r="X36" s="71"/>
      <c r="Y36" s="71"/>
      <c r="Z36" s="71"/>
      <c r="AA36" s="71"/>
      <c r="AB36" s="71"/>
      <c r="AC36" s="237"/>
      <c r="AD36" s="237"/>
      <c r="AE36" s="24"/>
      <c r="AF36" s="24"/>
      <c r="AG36" s="24"/>
      <c r="AH36" s="24"/>
      <c r="AI36" s="24"/>
      <c r="AJ36" s="24"/>
      <c r="AK36" s="71"/>
      <c r="AL36" s="24"/>
      <c r="AM36" s="24"/>
      <c r="AN36" s="24"/>
      <c r="AO36" s="69"/>
      <c r="AP36" s="24"/>
      <c r="AQ36" s="24"/>
      <c r="AR36" s="24"/>
      <c r="AS36" s="69"/>
      <c r="AT36" s="24"/>
      <c r="AU36" s="24"/>
      <c r="AV36" s="24"/>
      <c r="AW36" s="24"/>
      <c r="AX36" s="24"/>
      <c r="BA36" s="74"/>
      <c r="BC36" s="72"/>
    </row>
    <row r="37" spans="2:55" s="25" customFormat="1" ht="15" customHeight="1" thickBot="1" x14ac:dyDescent="0.25">
      <c r="B37" s="30"/>
      <c r="C37" s="31" t="s">
        <v>134</v>
      </c>
      <c r="D37" s="31"/>
      <c r="E37" s="31"/>
      <c r="F37" s="33"/>
      <c r="G37" s="33"/>
      <c r="H37" s="33"/>
      <c r="I37" s="33"/>
      <c r="J37" s="33"/>
      <c r="K37" s="33"/>
      <c r="L37" s="33"/>
      <c r="M37" s="33"/>
      <c r="N37" s="33"/>
      <c r="O37" s="34"/>
      <c r="Q37" s="24"/>
      <c r="R37" s="71"/>
      <c r="S37" s="71"/>
      <c r="T37" s="71"/>
      <c r="U37" s="71"/>
      <c r="V37" s="71"/>
      <c r="W37" s="71"/>
      <c r="X37" s="71"/>
      <c r="Y37" s="71"/>
      <c r="Z37" s="71"/>
      <c r="AA37" s="71"/>
      <c r="AB37" s="71"/>
      <c r="AC37" s="237"/>
      <c r="AD37" s="237"/>
      <c r="AE37" s="24"/>
      <c r="AF37" s="24"/>
      <c r="AG37" s="24"/>
      <c r="AH37" s="24"/>
      <c r="AI37" s="24"/>
      <c r="AJ37" s="24"/>
      <c r="AK37" s="71"/>
      <c r="AL37" s="24"/>
      <c r="AM37" s="24"/>
      <c r="AN37" s="24"/>
      <c r="AO37" s="69"/>
      <c r="AP37" s="24"/>
      <c r="AQ37" s="24"/>
      <c r="AR37" s="24"/>
      <c r="AS37" s="69"/>
      <c r="AT37" s="24"/>
      <c r="AU37" s="24"/>
      <c r="AV37" s="24"/>
      <c r="AW37" s="24"/>
      <c r="AX37" s="24"/>
      <c r="BA37" s="74"/>
      <c r="BC37" s="72"/>
    </row>
    <row r="38" spans="2:55" s="25" customFormat="1" ht="15" customHeight="1" thickTop="1" x14ac:dyDescent="0.2">
      <c r="B38" s="35"/>
      <c r="G38" s="62"/>
      <c r="H38" s="36"/>
      <c r="M38" s="36"/>
      <c r="N38" s="36"/>
      <c r="O38" s="37"/>
      <c r="Q38" s="24"/>
      <c r="R38" s="71"/>
      <c r="S38" s="71"/>
      <c r="T38" s="71"/>
      <c r="U38" s="71"/>
      <c r="V38" s="71"/>
      <c r="W38" s="71"/>
      <c r="X38" s="71"/>
      <c r="Y38" s="71"/>
      <c r="Z38" s="71"/>
      <c r="AA38" s="71"/>
      <c r="AB38" s="71"/>
      <c r="AC38" s="237"/>
      <c r="AD38" s="237"/>
      <c r="AE38" s="24"/>
      <c r="AF38" s="24"/>
      <c r="AG38" s="24"/>
      <c r="AH38" s="24"/>
      <c r="AI38" s="24"/>
      <c r="AJ38" s="24"/>
      <c r="AK38" s="71"/>
      <c r="AL38" s="24"/>
      <c r="AM38" s="24"/>
      <c r="AN38" s="24"/>
      <c r="AO38" s="69"/>
      <c r="AP38" s="24"/>
      <c r="AQ38" s="24"/>
      <c r="AR38" s="24"/>
      <c r="AS38" s="69"/>
      <c r="AT38" s="24"/>
      <c r="AU38" s="24"/>
      <c r="AV38" s="24"/>
      <c r="AW38" s="24"/>
      <c r="AX38" s="24"/>
      <c r="BA38" s="74"/>
      <c r="BC38" s="72"/>
    </row>
    <row r="39" spans="2:55" s="25" customFormat="1" ht="15" customHeight="1" x14ac:dyDescent="0.2">
      <c r="B39" s="38"/>
      <c r="C39" s="76" t="s">
        <v>69</v>
      </c>
      <c r="D39" s="77"/>
      <c r="E39" s="77"/>
      <c r="F39" s="77"/>
      <c r="G39" s="57">
        <v>60</v>
      </c>
      <c r="H39" s="77" t="s">
        <v>70</v>
      </c>
      <c r="I39" s="77"/>
      <c r="J39" s="77"/>
      <c r="K39" s="77"/>
      <c r="L39" s="78"/>
      <c r="N39" s="36"/>
      <c r="O39" s="37"/>
      <c r="Q39" s="24"/>
      <c r="R39" s="71"/>
      <c r="S39" s="71"/>
      <c r="T39" s="71"/>
      <c r="U39" s="71"/>
      <c r="V39" s="71"/>
      <c r="W39" s="71"/>
      <c r="X39" s="71"/>
      <c r="Y39" s="71"/>
      <c r="Z39" s="71"/>
      <c r="AA39" s="71"/>
      <c r="AB39" s="71"/>
      <c r="AC39" s="237"/>
      <c r="AD39" s="237"/>
      <c r="AE39" s="24"/>
      <c r="AF39" s="24"/>
      <c r="AG39" s="24"/>
      <c r="AH39" s="24"/>
      <c r="AI39" s="24"/>
      <c r="AJ39" s="24"/>
      <c r="AK39" s="71"/>
      <c r="AL39" s="24"/>
      <c r="AM39" s="24"/>
      <c r="AN39" s="24"/>
      <c r="AO39" s="69"/>
      <c r="AP39" s="24"/>
      <c r="AQ39" s="24"/>
      <c r="AR39" s="24"/>
      <c r="AS39" s="69"/>
      <c r="AT39" s="24"/>
      <c r="AU39" s="24"/>
      <c r="AV39" s="24"/>
      <c r="AW39" s="24"/>
      <c r="AX39" s="24"/>
      <c r="BA39" s="74"/>
      <c r="BC39" s="72"/>
    </row>
    <row r="40" spans="2:55" s="25" customFormat="1" ht="15" customHeight="1" x14ac:dyDescent="0.2">
      <c r="B40" s="38"/>
      <c r="C40" s="76" t="s">
        <v>145</v>
      </c>
      <c r="D40" s="77"/>
      <c r="E40" s="77"/>
      <c r="F40" s="186"/>
      <c r="G40" s="60">
        <v>1</v>
      </c>
      <c r="H40" s="77" t="s">
        <v>129</v>
      </c>
      <c r="I40" s="77"/>
      <c r="J40" s="77"/>
      <c r="K40" s="60">
        <v>3</v>
      </c>
      <c r="L40" s="78" t="s">
        <v>130</v>
      </c>
      <c r="N40" s="36"/>
      <c r="O40" s="37"/>
      <c r="Q40" s="24"/>
      <c r="R40" s="71"/>
      <c r="S40" s="71"/>
      <c r="T40" s="71"/>
      <c r="U40" s="71"/>
      <c r="V40" s="71"/>
      <c r="W40" s="71"/>
      <c r="X40" s="71"/>
      <c r="Y40" s="71"/>
      <c r="Z40" s="71"/>
      <c r="AA40" s="71"/>
      <c r="AB40" s="71"/>
      <c r="AC40" s="237"/>
      <c r="AD40" s="237"/>
      <c r="AE40" s="24"/>
      <c r="AF40" s="24"/>
      <c r="AG40" s="24"/>
      <c r="AH40" s="24"/>
      <c r="AI40" s="24"/>
      <c r="AJ40" s="24"/>
      <c r="AK40" s="71"/>
      <c r="AL40" s="24"/>
      <c r="AM40" s="24"/>
      <c r="AN40" s="24"/>
      <c r="AO40" s="69"/>
      <c r="AP40" s="24"/>
      <c r="AQ40" s="24"/>
      <c r="AR40" s="24"/>
      <c r="AS40" s="69"/>
      <c r="AT40" s="24"/>
      <c r="AU40" s="24"/>
      <c r="AV40" s="24"/>
      <c r="AW40" s="24"/>
      <c r="AX40" s="24"/>
      <c r="BA40" s="74"/>
      <c r="BC40" s="72"/>
    </row>
    <row r="41" spans="2:55" s="25" customFormat="1" ht="15" customHeight="1" x14ac:dyDescent="0.2">
      <c r="B41" s="38"/>
      <c r="C41" s="76" t="s">
        <v>144</v>
      </c>
      <c r="D41" s="77"/>
      <c r="E41" s="77"/>
      <c r="F41" s="186"/>
      <c r="G41" s="60">
        <v>-1</v>
      </c>
      <c r="H41" s="77" t="s">
        <v>129</v>
      </c>
      <c r="I41" s="77"/>
      <c r="J41" s="77"/>
      <c r="K41" s="60">
        <v>2</v>
      </c>
      <c r="L41" s="78" t="s">
        <v>130</v>
      </c>
      <c r="N41" s="36"/>
      <c r="O41" s="37"/>
      <c r="Q41" s="24"/>
      <c r="R41" s="71"/>
      <c r="S41" s="71"/>
      <c r="T41" s="71"/>
      <c r="U41" s="71"/>
      <c r="V41" s="71"/>
      <c r="W41" s="71"/>
      <c r="X41" s="71"/>
      <c r="Y41" s="71"/>
      <c r="Z41" s="71"/>
      <c r="AA41" s="71"/>
      <c r="AB41" s="71"/>
      <c r="AC41" s="237"/>
      <c r="AD41" s="237"/>
      <c r="AE41" s="24"/>
      <c r="AF41" s="24"/>
      <c r="AG41" s="24"/>
      <c r="AH41" s="24"/>
      <c r="AI41" s="24"/>
      <c r="AJ41" s="24"/>
      <c r="AK41" s="71"/>
      <c r="AL41" s="24"/>
      <c r="AM41" s="24"/>
      <c r="AN41" s="24"/>
      <c r="AO41" s="69"/>
      <c r="AP41" s="24"/>
      <c r="AQ41" s="24"/>
      <c r="AR41" s="24"/>
      <c r="AS41" s="69"/>
      <c r="AT41" s="24"/>
      <c r="AU41" s="24"/>
      <c r="AV41" s="24"/>
      <c r="AW41" s="24"/>
      <c r="AX41" s="24"/>
      <c r="BA41" s="74"/>
      <c r="BC41" s="72"/>
    </row>
    <row r="42" spans="2:55" s="25" customFormat="1" ht="15" customHeight="1" x14ac:dyDescent="0.2">
      <c r="B42" s="38"/>
      <c r="C42" s="218"/>
      <c r="D42" s="77"/>
      <c r="E42" s="77"/>
      <c r="F42" s="186"/>
      <c r="G42" s="77"/>
      <c r="H42" s="77"/>
      <c r="I42" s="77"/>
      <c r="J42" s="77"/>
      <c r="K42" s="77"/>
      <c r="L42" s="77"/>
      <c r="N42" s="36"/>
      <c r="O42" s="37"/>
      <c r="Q42" s="24"/>
      <c r="R42" s="71"/>
      <c r="S42" s="71"/>
      <c r="T42" s="71"/>
      <c r="U42" s="71"/>
      <c r="V42" s="71"/>
      <c r="W42" s="71"/>
      <c r="X42" s="71"/>
      <c r="Y42" s="71"/>
      <c r="Z42" s="71"/>
      <c r="AA42" s="71"/>
      <c r="AB42" s="71"/>
      <c r="AC42" s="237"/>
      <c r="AD42" s="237"/>
      <c r="AE42" s="24"/>
      <c r="AF42" s="24"/>
      <c r="AG42" s="24"/>
      <c r="AH42" s="24"/>
      <c r="AI42" s="24"/>
      <c r="AJ42" s="24"/>
      <c r="AK42" s="71"/>
      <c r="AL42" s="24"/>
      <c r="AM42" s="24"/>
      <c r="AN42" s="24"/>
      <c r="AO42" s="69"/>
      <c r="AP42" s="24"/>
      <c r="AQ42" s="24"/>
      <c r="AR42" s="24"/>
      <c r="AS42" s="69"/>
      <c r="AT42" s="24"/>
      <c r="AU42" s="24"/>
      <c r="AV42" s="24"/>
      <c r="AW42" s="24"/>
      <c r="AX42" s="24"/>
      <c r="BA42" s="74"/>
      <c r="BC42" s="72"/>
    </row>
    <row r="43" spans="2:55" s="25" customFormat="1" ht="15" customHeight="1" x14ac:dyDescent="0.2">
      <c r="B43" s="35"/>
      <c r="C43" s="81" t="s">
        <v>72</v>
      </c>
      <c r="D43" s="77"/>
      <c r="E43" s="77"/>
      <c r="F43" s="77"/>
      <c r="G43" s="324">
        <v>41975</v>
      </c>
      <c r="H43" s="325"/>
      <c r="I43" s="326"/>
      <c r="J43" s="328">
        <v>0.54166666666666663</v>
      </c>
      <c r="K43" s="328"/>
      <c r="L43" s="328"/>
      <c r="M43" s="36"/>
      <c r="N43" s="36"/>
      <c r="O43" s="37"/>
      <c r="Q43" s="24"/>
      <c r="R43" s="71"/>
      <c r="S43" s="71"/>
      <c r="T43" s="71"/>
      <c r="U43" s="71"/>
      <c r="V43" s="71"/>
      <c r="W43" s="71"/>
      <c r="X43" s="71"/>
      <c r="Y43" s="71"/>
      <c r="Z43" s="71"/>
      <c r="AA43" s="71"/>
      <c r="AB43" s="71"/>
      <c r="AC43" s="237"/>
      <c r="AD43" s="237"/>
      <c r="AE43" s="24"/>
      <c r="AF43" s="24"/>
      <c r="AG43" s="24"/>
      <c r="AH43" s="24"/>
      <c r="AI43" s="24"/>
      <c r="AJ43" s="24"/>
      <c r="AK43" s="71"/>
      <c r="AL43" s="24"/>
      <c r="AM43" s="24"/>
      <c r="AN43" s="24"/>
      <c r="AO43" s="69"/>
      <c r="AP43" s="24"/>
      <c r="AQ43" s="24"/>
      <c r="AR43" s="24"/>
      <c r="AS43" s="69"/>
      <c r="AT43" s="24"/>
      <c r="AU43" s="24"/>
      <c r="AV43" s="24"/>
      <c r="AW43" s="24"/>
      <c r="AX43" s="24"/>
      <c r="BA43" s="74"/>
      <c r="BC43" s="72"/>
    </row>
    <row r="44" spans="2:55" s="25" customFormat="1" ht="15" customHeight="1" x14ac:dyDescent="0.2">
      <c r="B44" s="35"/>
      <c r="C44" s="198" t="s">
        <v>73</v>
      </c>
      <c r="D44" s="77"/>
      <c r="E44" s="77"/>
      <c r="F44" s="77"/>
      <c r="G44" s="70">
        <v>15</v>
      </c>
      <c r="H44" s="77" t="s">
        <v>74</v>
      </c>
      <c r="I44" s="199">
        <f>G44*1.94</f>
        <v>29.099999999999998</v>
      </c>
      <c r="J44" s="204" t="s">
        <v>138</v>
      </c>
      <c r="K44" s="63">
        <v>75</v>
      </c>
      <c r="L44" s="78" t="s">
        <v>70</v>
      </c>
      <c r="M44" s="36"/>
      <c r="N44" s="36"/>
      <c r="O44" s="37"/>
      <c r="Q44" s="24"/>
      <c r="R44" s="71"/>
      <c r="S44" s="71"/>
      <c r="T44" s="71"/>
      <c r="U44" s="71"/>
      <c r="V44" s="71"/>
      <c r="W44" s="71"/>
      <c r="X44" s="71"/>
      <c r="Y44" s="71"/>
      <c r="Z44" s="71"/>
      <c r="AA44" s="71"/>
      <c r="AB44" s="71"/>
      <c r="AC44" s="237"/>
      <c r="AD44" s="237"/>
      <c r="AE44" s="24"/>
      <c r="AF44" s="24"/>
      <c r="AG44" s="24"/>
      <c r="AH44" s="24"/>
      <c r="AI44" s="24"/>
      <c r="AJ44" s="24"/>
      <c r="AK44" s="71"/>
      <c r="AL44" s="24"/>
      <c r="AM44" s="24"/>
      <c r="AN44" s="24"/>
      <c r="AO44" s="69"/>
      <c r="AP44" s="24"/>
      <c r="AQ44" s="24"/>
      <c r="AR44" s="24"/>
      <c r="AS44" s="69"/>
      <c r="AT44" s="24"/>
      <c r="AU44" s="24"/>
      <c r="AV44" s="24"/>
      <c r="AW44" s="24"/>
      <c r="AX44" s="24"/>
      <c r="BA44" s="74"/>
      <c r="BC44" s="72"/>
    </row>
    <row r="45" spans="2:55" s="25" customFormat="1" ht="15" customHeight="1" x14ac:dyDescent="0.2">
      <c r="B45" s="35"/>
      <c r="C45" s="198" t="s">
        <v>75</v>
      </c>
      <c r="D45" s="77"/>
      <c r="E45" s="77"/>
      <c r="F45" s="77"/>
      <c r="G45" s="70">
        <v>1</v>
      </c>
      <c r="H45" s="77" t="s">
        <v>74</v>
      </c>
      <c r="I45" s="199">
        <f>G45*1.94</f>
        <v>1.94</v>
      </c>
      <c r="J45" s="204" t="s">
        <v>138</v>
      </c>
      <c r="K45" s="63">
        <v>45</v>
      </c>
      <c r="L45" s="78" t="s">
        <v>70</v>
      </c>
      <c r="M45" s="36"/>
      <c r="O45" s="37"/>
      <c r="Q45" s="24"/>
      <c r="R45" s="71"/>
      <c r="S45" s="71"/>
      <c r="T45" s="71"/>
      <c r="U45" s="71"/>
      <c r="V45" s="71"/>
      <c r="W45" s="71"/>
      <c r="X45" s="71"/>
      <c r="Y45" s="71"/>
      <c r="Z45" s="71"/>
      <c r="AA45" s="71"/>
      <c r="AB45" s="71"/>
      <c r="AC45" s="237"/>
      <c r="AD45" s="237"/>
      <c r="AE45" s="24"/>
      <c r="AF45" s="24"/>
      <c r="AG45" s="24"/>
      <c r="AH45" s="24"/>
      <c r="AI45" s="24"/>
      <c r="AJ45" s="24"/>
      <c r="AK45" s="71"/>
      <c r="AL45" s="24"/>
      <c r="AM45" s="24"/>
      <c r="AN45" s="24"/>
      <c r="AO45" s="69"/>
      <c r="AP45" s="24"/>
      <c r="AQ45" s="24"/>
      <c r="AR45" s="24"/>
      <c r="AS45" s="69"/>
      <c r="AT45" s="24"/>
      <c r="AU45" s="24"/>
      <c r="AV45" s="24"/>
      <c r="AW45" s="24"/>
      <c r="AX45" s="24"/>
      <c r="BA45" s="74"/>
      <c r="BC45" s="72"/>
    </row>
    <row r="46" spans="2:55" s="25" customFormat="1" ht="15" customHeight="1" x14ac:dyDescent="0.2">
      <c r="B46" s="35"/>
      <c r="C46" s="198" t="s">
        <v>76</v>
      </c>
      <c r="D46" s="77"/>
      <c r="E46" s="77"/>
      <c r="F46" s="77"/>
      <c r="G46" s="70">
        <v>2.5</v>
      </c>
      <c r="H46" s="77" t="s">
        <v>77</v>
      </c>
      <c r="I46" s="201">
        <f>G46*3.281</f>
        <v>8.2025000000000006</v>
      </c>
      <c r="J46" s="204" t="s">
        <v>138</v>
      </c>
      <c r="K46" s="63">
        <v>80</v>
      </c>
      <c r="L46" s="78" t="s">
        <v>70</v>
      </c>
      <c r="M46" s="36"/>
      <c r="O46" s="37"/>
      <c r="Q46" s="24"/>
      <c r="R46" s="71"/>
      <c r="S46" s="71"/>
      <c r="T46" s="71"/>
      <c r="U46" s="71"/>
      <c r="V46" s="71"/>
      <c r="W46" s="71"/>
      <c r="X46" s="71"/>
      <c r="Y46" s="71"/>
      <c r="Z46" s="71"/>
      <c r="AA46" s="71"/>
      <c r="AB46" s="71"/>
      <c r="AC46" s="237"/>
      <c r="AD46" s="237"/>
      <c r="AE46" s="24"/>
      <c r="AF46" s="24"/>
      <c r="AG46" s="24"/>
      <c r="AH46" s="24"/>
      <c r="AI46" s="24"/>
      <c r="AJ46" s="24"/>
      <c r="AK46" s="71"/>
      <c r="AL46" s="24"/>
      <c r="AM46" s="24"/>
      <c r="AN46" s="24"/>
      <c r="AO46" s="69"/>
      <c r="AP46" s="24"/>
      <c r="AQ46" s="24"/>
      <c r="AR46" s="24"/>
      <c r="AS46" s="69"/>
      <c r="AT46" s="24"/>
      <c r="AU46" s="24"/>
      <c r="AV46" s="24"/>
      <c r="AW46" s="24"/>
      <c r="AX46" s="24"/>
      <c r="BA46" s="74"/>
      <c r="BC46" s="72"/>
    </row>
    <row r="47" spans="2:55" s="25" customFormat="1" ht="15" customHeight="1" x14ac:dyDescent="0.2">
      <c r="B47" s="35"/>
      <c r="C47" s="202" t="s">
        <v>78</v>
      </c>
      <c r="D47" s="77"/>
      <c r="E47" s="77"/>
      <c r="F47" s="77"/>
      <c r="G47" s="64">
        <v>8</v>
      </c>
      <c r="H47" s="77" t="s">
        <v>68</v>
      </c>
      <c r="I47" s="203"/>
      <c r="J47" s="200"/>
      <c r="K47" s="205"/>
      <c r="L47" s="78"/>
      <c r="M47" s="36"/>
      <c r="O47" s="37"/>
      <c r="Q47" s="24"/>
      <c r="R47" s="71"/>
      <c r="S47" s="71"/>
      <c r="T47" s="71"/>
      <c r="U47" s="71"/>
      <c r="V47" s="71"/>
      <c r="W47" s="71"/>
      <c r="X47" s="71"/>
      <c r="Y47" s="71"/>
      <c r="Z47" s="71"/>
      <c r="AA47" s="71"/>
      <c r="AB47" s="71"/>
      <c r="AC47" s="237"/>
      <c r="AD47" s="237"/>
      <c r="AE47" s="24"/>
      <c r="AF47" s="24"/>
      <c r="AG47" s="24"/>
      <c r="AH47" s="24"/>
      <c r="AI47" s="24"/>
      <c r="AJ47" s="24"/>
      <c r="AK47" s="71"/>
      <c r="AL47" s="24"/>
      <c r="AM47" s="24"/>
      <c r="AN47" s="24"/>
      <c r="AO47" s="69"/>
      <c r="AP47" s="24"/>
      <c r="AQ47" s="24"/>
      <c r="AR47" s="24"/>
      <c r="AS47" s="69"/>
      <c r="AT47" s="24"/>
      <c r="AU47" s="24"/>
      <c r="AV47" s="24"/>
      <c r="AW47" s="24"/>
      <c r="AX47" s="24"/>
      <c r="BA47" s="74"/>
      <c r="BC47" s="72"/>
    </row>
    <row r="48" spans="2:55" s="25" customFormat="1" ht="15" customHeight="1" x14ac:dyDescent="0.2">
      <c r="B48" s="35"/>
      <c r="C48" s="202" t="s">
        <v>79</v>
      </c>
      <c r="D48" s="77"/>
      <c r="E48" s="77"/>
      <c r="F48" s="77"/>
      <c r="G48" s="66" t="s">
        <v>99</v>
      </c>
      <c r="H48" s="77"/>
      <c r="I48" s="77"/>
      <c r="J48" s="204" t="s">
        <v>80</v>
      </c>
      <c r="K48" s="60">
        <v>1</v>
      </c>
      <c r="L48" s="78"/>
      <c r="M48" s="36"/>
      <c r="O48" s="37"/>
      <c r="Q48" s="24"/>
      <c r="R48" s="71"/>
      <c r="S48" s="71"/>
      <c r="T48" s="71"/>
      <c r="U48" s="71"/>
      <c r="V48" s="71"/>
      <c r="W48" s="71"/>
      <c r="X48" s="71"/>
      <c r="Y48" s="71"/>
      <c r="Z48" s="71"/>
      <c r="AA48" s="71"/>
      <c r="AB48" s="71"/>
      <c r="AC48" s="237"/>
      <c r="AD48" s="237"/>
      <c r="AE48" s="24"/>
      <c r="AF48" s="24"/>
      <c r="AG48" s="24"/>
      <c r="AH48" s="24"/>
      <c r="AI48" s="24"/>
      <c r="AJ48" s="24"/>
      <c r="AK48" s="71"/>
      <c r="AL48" s="24"/>
      <c r="AM48" s="24"/>
      <c r="AN48" s="24"/>
      <c r="AO48" s="69"/>
      <c r="AP48" s="24"/>
      <c r="AQ48" s="24"/>
      <c r="AR48" s="24"/>
      <c r="AS48" s="69"/>
      <c r="AT48" s="24"/>
      <c r="AU48" s="24"/>
      <c r="AV48" s="24"/>
      <c r="AW48" s="24"/>
      <c r="AX48" s="24"/>
      <c r="BA48" s="74"/>
      <c r="BC48" s="72"/>
    </row>
    <row r="49" spans="2:55" s="25" customFormat="1" ht="15" customHeight="1" x14ac:dyDescent="0.2">
      <c r="B49" s="35"/>
      <c r="C49" s="198" t="s">
        <v>81</v>
      </c>
      <c r="D49" s="77"/>
      <c r="E49" s="77"/>
      <c r="F49" s="77"/>
      <c r="G49" s="70">
        <v>2</v>
      </c>
      <c r="H49" s="77" t="s">
        <v>77</v>
      </c>
      <c r="I49" s="201">
        <f>G49*3.281</f>
        <v>6.5620000000000003</v>
      </c>
      <c r="J49" s="204" t="s">
        <v>138</v>
      </c>
      <c r="K49" s="63">
        <v>200</v>
      </c>
      <c r="L49" s="78" t="s">
        <v>70</v>
      </c>
      <c r="O49" s="37"/>
      <c r="Q49" s="24"/>
      <c r="R49" s="71"/>
      <c r="S49" s="71"/>
      <c r="T49" s="71"/>
      <c r="U49" s="71"/>
      <c r="V49" s="71"/>
      <c r="W49" s="71"/>
      <c r="X49" s="71"/>
      <c r="Y49" s="71"/>
      <c r="Z49" s="71"/>
      <c r="AA49" s="71"/>
      <c r="AB49" s="71"/>
      <c r="AC49" s="237"/>
      <c r="AD49" s="237"/>
      <c r="AE49" s="24"/>
      <c r="AF49" s="24"/>
      <c r="AG49" s="24"/>
      <c r="AH49" s="24"/>
      <c r="AI49" s="24"/>
      <c r="AJ49" s="24"/>
      <c r="AK49" s="71"/>
      <c r="AL49" s="24"/>
      <c r="AM49" s="24"/>
      <c r="AN49" s="24"/>
      <c r="AO49" s="69"/>
      <c r="AP49" s="24"/>
      <c r="AQ49" s="24"/>
      <c r="AR49" s="24"/>
      <c r="AS49" s="69"/>
      <c r="AT49" s="24"/>
      <c r="AU49" s="24"/>
      <c r="AV49" s="24"/>
      <c r="AW49" s="24"/>
      <c r="AX49" s="24"/>
      <c r="BA49" s="74"/>
      <c r="BC49" s="72"/>
    </row>
    <row r="50" spans="2:55" s="25" customFormat="1" ht="15" customHeight="1" x14ac:dyDescent="0.2">
      <c r="B50" s="35"/>
      <c r="C50" s="202" t="s">
        <v>82</v>
      </c>
      <c r="D50" s="77"/>
      <c r="E50" s="77"/>
      <c r="F50" s="77"/>
      <c r="G50" s="64">
        <v>15</v>
      </c>
      <c r="H50" s="77" t="s">
        <v>68</v>
      </c>
      <c r="I50" s="203"/>
      <c r="J50" s="77"/>
      <c r="K50" s="205"/>
      <c r="L50" s="78"/>
      <c r="O50" s="37"/>
      <c r="Q50" s="24"/>
      <c r="R50" s="71"/>
      <c r="S50" s="71"/>
      <c r="T50" s="71"/>
      <c r="U50" s="71"/>
      <c r="V50" s="71"/>
      <c r="W50" s="71"/>
      <c r="X50" s="71"/>
      <c r="Y50" s="71"/>
      <c r="Z50" s="71"/>
      <c r="AA50" s="71"/>
      <c r="AB50" s="71"/>
      <c r="AC50" s="237"/>
      <c r="AD50" s="237"/>
      <c r="AE50" s="24"/>
      <c r="AF50" s="24"/>
      <c r="AG50" s="24"/>
      <c r="AH50" s="24"/>
      <c r="AI50" s="24"/>
      <c r="AJ50" s="24"/>
      <c r="AK50" s="71"/>
      <c r="AL50" s="24"/>
      <c r="AM50" s="24"/>
      <c r="AN50" s="24"/>
      <c r="AO50" s="69"/>
      <c r="AP50" s="24"/>
      <c r="AQ50" s="24"/>
      <c r="AR50" s="24"/>
      <c r="AS50" s="69"/>
      <c r="AT50" s="24"/>
      <c r="AU50" s="24"/>
      <c r="AV50" s="24"/>
      <c r="AW50" s="24"/>
      <c r="AX50" s="24"/>
      <c r="BA50" s="74"/>
      <c r="BC50" s="72"/>
    </row>
    <row r="51" spans="2:55" s="25" customFormat="1" ht="15" customHeight="1" x14ac:dyDescent="0.2">
      <c r="B51" s="35"/>
      <c r="C51" s="202" t="s">
        <v>79</v>
      </c>
      <c r="D51" s="77"/>
      <c r="E51" s="77"/>
      <c r="F51" s="77"/>
      <c r="G51" s="66" t="s">
        <v>99</v>
      </c>
      <c r="H51" s="77"/>
      <c r="I51" s="77"/>
      <c r="J51" s="204" t="s">
        <v>80</v>
      </c>
      <c r="K51" s="60">
        <v>7</v>
      </c>
      <c r="L51" s="78"/>
      <c r="O51" s="37"/>
      <c r="Q51" s="24"/>
      <c r="R51" s="71"/>
      <c r="S51" s="71"/>
      <c r="T51" s="71"/>
      <c r="U51" s="71"/>
      <c r="V51" s="71"/>
      <c r="W51" s="71"/>
      <c r="X51" s="71"/>
      <c r="Y51" s="71"/>
      <c r="Z51" s="71"/>
      <c r="AA51" s="71"/>
      <c r="AB51" s="71"/>
      <c r="AC51" s="237"/>
      <c r="AD51" s="237"/>
      <c r="AE51" s="24"/>
      <c r="AF51" s="24"/>
      <c r="AG51" s="24"/>
      <c r="AH51" s="24"/>
      <c r="AI51" s="24"/>
      <c r="AJ51" s="24"/>
      <c r="AK51" s="71"/>
      <c r="AL51" s="24"/>
      <c r="AM51" s="24"/>
      <c r="AN51" s="24"/>
      <c r="AO51" s="69"/>
      <c r="AP51" s="24"/>
      <c r="AQ51" s="24"/>
      <c r="AR51" s="24"/>
      <c r="AS51" s="69"/>
      <c r="AT51" s="24"/>
      <c r="AU51" s="24"/>
      <c r="AV51" s="24"/>
      <c r="AW51" s="24"/>
      <c r="AX51" s="24"/>
      <c r="BA51" s="74"/>
      <c r="BC51" s="72"/>
    </row>
    <row r="52" spans="2:55" s="25" customFormat="1" ht="15" customHeight="1" x14ac:dyDescent="0.2">
      <c r="B52" s="35"/>
      <c r="C52" s="207"/>
      <c r="D52" s="79"/>
      <c r="E52" s="79"/>
      <c r="F52" s="79"/>
      <c r="H52" s="36"/>
      <c r="I52" s="36"/>
      <c r="J52" s="42"/>
      <c r="L52" s="36"/>
      <c r="M52" s="36"/>
      <c r="N52" s="36"/>
      <c r="O52" s="37"/>
      <c r="Q52" s="24"/>
      <c r="R52" s="71"/>
      <c r="S52" s="71"/>
      <c r="T52" s="71"/>
      <c r="U52" s="71"/>
      <c r="V52" s="71"/>
      <c r="W52" s="71"/>
      <c r="X52" s="71"/>
      <c r="Y52" s="71"/>
      <c r="Z52" s="71"/>
      <c r="AA52" s="71"/>
      <c r="AB52" s="71"/>
      <c r="AC52" s="237"/>
      <c r="AD52" s="237"/>
      <c r="AE52" s="24"/>
      <c r="AF52" s="24"/>
      <c r="AG52" s="24"/>
      <c r="AH52" s="24"/>
      <c r="AI52" s="24"/>
      <c r="AJ52" s="24"/>
      <c r="AK52" s="71"/>
      <c r="AL52" s="24"/>
      <c r="AM52" s="24"/>
      <c r="AN52" s="24"/>
      <c r="AO52" s="69"/>
      <c r="AP52" s="24"/>
      <c r="AQ52" s="24"/>
      <c r="AR52" s="24"/>
      <c r="AS52" s="69"/>
      <c r="AT52" s="24"/>
      <c r="AU52" s="24"/>
      <c r="AV52" s="24"/>
      <c r="AW52" s="24"/>
      <c r="AX52" s="24"/>
      <c r="BA52" s="74"/>
      <c r="BC52" s="72"/>
    </row>
    <row r="53" spans="2:55" s="25" customFormat="1" ht="15" customHeight="1" x14ac:dyDescent="0.2">
      <c r="B53" s="35"/>
      <c r="C53" s="81" t="s">
        <v>131</v>
      </c>
      <c r="D53" s="77"/>
      <c r="E53" s="77"/>
      <c r="F53" s="78"/>
      <c r="G53" s="83">
        <v>1.0927964073368057</v>
      </c>
      <c r="H53" s="77" t="s">
        <v>132</v>
      </c>
      <c r="I53" s="77"/>
      <c r="J53" s="77"/>
      <c r="K53" s="83">
        <v>2.3017535847792847</v>
      </c>
      <c r="L53" s="78" t="s">
        <v>133</v>
      </c>
      <c r="M53" s="36"/>
      <c r="N53" s="36"/>
      <c r="O53" s="37"/>
      <c r="Q53" s="24"/>
      <c r="R53" s="71"/>
      <c r="S53" s="71"/>
      <c r="T53" s="71"/>
      <c r="U53" s="71"/>
      <c r="V53" s="71"/>
      <c r="W53" s="71"/>
      <c r="X53" s="71"/>
      <c r="Y53" s="71"/>
      <c r="Z53" s="71"/>
      <c r="AA53" s="71"/>
      <c r="AB53" s="71"/>
      <c r="AC53" s="237"/>
      <c r="AD53" s="237"/>
      <c r="AE53" s="24"/>
      <c r="AF53" s="24"/>
      <c r="AG53" s="24"/>
      <c r="AH53" s="24"/>
      <c r="AI53" s="24"/>
      <c r="AJ53" s="24"/>
      <c r="AK53" s="71"/>
      <c r="AL53" s="24"/>
      <c r="AM53" s="24"/>
      <c r="AN53" s="24"/>
      <c r="AO53" s="69"/>
      <c r="AP53" s="24"/>
      <c r="AQ53" s="24"/>
      <c r="AR53" s="24"/>
      <c r="AS53" s="69"/>
      <c r="AT53" s="24"/>
      <c r="AU53" s="24"/>
      <c r="AV53" s="24"/>
      <c r="AW53" s="24"/>
      <c r="AX53" s="24"/>
      <c r="BA53" s="74"/>
      <c r="BC53" s="72"/>
    </row>
    <row r="54" spans="2:55" s="25" customFormat="1" ht="15" customHeight="1" x14ac:dyDescent="0.2">
      <c r="B54" s="35"/>
      <c r="C54" s="81" t="s">
        <v>117</v>
      </c>
      <c r="D54" s="77"/>
      <c r="E54" s="77"/>
      <c r="F54" s="78"/>
      <c r="G54" s="83">
        <v>324</v>
      </c>
      <c r="H54" s="77" t="s">
        <v>71</v>
      </c>
      <c r="I54" s="77"/>
      <c r="J54" s="204" t="s">
        <v>138</v>
      </c>
      <c r="K54" s="83">
        <v>76</v>
      </c>
      <c r="L54" s="78" t="s">
        <v>70</v>
      </c>
      <c r="M54" s="36"/>
      <c r="N54" s="36"/>
      <c r="O54" s="37"/>
      <c r="Q54" s="24"/>
      <c r="R54" s="71"/>
      <c r="S54" s="71"/>
      <c r="T54" s="71"/>
      <c r="U54" s="71"/>
      <c r="V54" s="71"/>
      <c r="W54" s="71"/>
      <c r="X54" s="71"/>
      <c r="Y54" s="71"/>
      <c r="Z54" s="71"/>
      <c r="AA54" s="71"/>
      <c r="AB54" s="71"/>
      <c r="AC54" s="237"/>
      <c r="AD54" s="237"/>
      <c r="AE54" s="24"/>
      <c r="AF54" s="24"/>
      <c r="AG54" s="24"/>
      <c r="AH54" s="24"/>
      <c r="AI54" s="24"/>
      <c r="AJ54" s="24"/>
      <c r="AK54" s="71"/>
      <c r="AL54" s="24"/>
      <c r="AM54" s="24"/>
      <c r="AN54" s="24"/>
      <c r="AO54" s="69"/>
      <c r="AP54" s="24"/>
      <c r="AQ54" s="24"/>
      <c r="AR54" s="24"/>
      <c r="AS54" s="69"/>
      <c r="AT54" s="24"/>
      <c r="AU54" s="24"/>
      <c r="AV54" s="24"/>
      <c r="AW54" s="24"/>
      <c r="AX54" s="24"/>
      <c r="BA54" s="74"/>
      <c r="BC54" s="72"/>
    </row>
    <row r="55" spans="2:55" s="25" customFormat="1" ht="15" customHeight="1" x14ac:dyDescent="0.2">
      <c r="B55" s="61"/>
      <c r="O55" s="37"/>
      <c r="Q55" s="24"/>
      <c r="R55" s="71"/>
      <c r="S55" s="71"/>
      <c r="T55" s="71"/>
      <c r="U55" s="71"/>
      <c r="V55" s="71"/>
      <c r="W55" s="71"/>
      <c r="X55" s="71"/>
      <c r="Y55" s="71"/>
      <c r="Z55" s="71"/>
      <c r="AA55" s="71"/>
      <c r="AB55" s="71"/>
      <c r="AC55" s="237"/>
      <c r="AD55" s="237"/>
      <c r="AE55" s="24"/>
      <c r="AF55" s="24"/>
      <c r="AG55" s="24"/>
      <c r="AH55" s="24"/>
      <c r="AI55" s="24"/>
      <c r="AJ55" s="24"/>
      <c r="AK55" s="71"/>
      <c r="AL55" s="24"/>
      <c r="AM55" s="24"/>
      <c r="AN55" s="24"/>
      <c r="AO55" s="69"/>
      <c r="AP55" s="24"/>
      <c r="AQ55" s="24"/>
      <c r="AR55" s="24"/>
      <c r="AS55" s="69"/>
      <c r="AT55" s="24"/>
      <c r="AU55" s="24"/>
      <c r="AV55" s="24"/>
      <c r="AW55" s="24"/>
      <c r="AX55" s="24"/>
      <c r="BA55" s="74"/>
      <c r="BC55" s="72"/>
    </row>
    <row r="56" spans="2:55" s="25" customFormat="1" ht="15" customHeight="1" x14ac:dyDescent="0.2">
      <c r="B56" s="61"/>
      <c r="C56" s="215" t="s">
        <v>136</v>
      </c>
      <c r="D56" s="206"/>
      <c r="E56" s="206"/>
      <c r="F56" s="221"/>
      <c r="G56" s="219" t="s">
        <v>137</v>
      </c>
      <c r="H56" s="81"/>
      <c r="I56" s="77"/>
      <c r="J56" s="77"/>
      <c r="K56" s="77"/>
      <c r="L56" s="78"/>
      <c r="O56" s="37"/>
      <c r="Q56" s="24"/>
      <c r="R56" s="71"/>
      <c r="S56" s="71"/>
      <c r="T56" s="71"/>
      <c r="U56" s="71"/>
      <c r="V56" s="71"/>
      <c r="W56" s="71"/>
      <c r="X56" s="71"/>
      <c r="Y56" s="71"/>
      <c r="Z56" s="71"/>
      <c r="AA56" s="71"/>
      <c r="AB56" s="71"/>
      <c r="AC56" s="237"/>
      <c r="AD56" s="237"/>
      <c r="AE56" s="24"/>
      <c r="AF56" s="24"/>
      <c r="AG56" s="24"/>
      <c r="AH56" s="24"/>
      <c r="AI56" s="24"/>
      <c r="AJ56" s="24"/>
      <c r="AK56" s="71"/>
      <c r="AL56" s="24"/>
      <c r="AM56" s="24"/>
      <c r="AN56" s="24"/>
      <c r="AO56" s="69"/>
      <c r="AP56" s="24"/>
      <c r="AQ56" s="24"/>
      <c r="AR56" s="24"/>
      <c r="AS56" s="289"/>
      <c r="AT56" s="24"/>
      <c r="AU56" s="24"/>
      <c r="AV56" s="24"/>
      <c r="AW56" s="24"/>
      <c r="AX56" s="24"/>
      <c r="BA56" s="74"/>
      <c r="BC56" s="72"/>
    </row>
    <row r="57" spans="2:55" s="25" customFormat="1" ht="15" customHeight="1" thickBot="1" x14ac:dyDescent="0.25">
      <c r="B57" s="35"/>
      <c r="C57" s="116" t="s">
        <v>135</v>
      </c>
      <c r="D57" s="168"/>
      <c r="E57" s="168"/>
      <c r="F57" s="220"/>
      <c r="G57" s="216">
        <v>500</v>
      </c>
      <c r="H57" s="76" t="s">
        <v>71</v>
      </c>
      <c r="I57" s="77"/>
      <c r="J57" s="204" t="s">
        <v>139</v>
      </c>
      <c r="K57" s="216">
        <v>145</v>
      </c>
      <c r="L57" s="78" t="s">
        <v>70</v>
      </c>
      <c r="O57" s="37"/>
      <c r="Q57" s="68" t="s">
        <v>94</v>
      </c>
      <c r="R57" s="150"/>
      <c r="S57" s="150"/>
      <c r="T57" s="150"/>
      <c r="U57" s="150"/>
      <c r="V57" s="150"/>
      <c r="W57" s="150"/>
      <c r="X57" s="158"/>
      <c r="Y57" s="158"/>
      <c r="Z57" s="158"/>
      <c r="AA57" s="158"/>
      <c r="AB57" s="158"/>
      <c r="AC57" s="238"/>
      <c r="AD57" s="238"/>
      <c r="AE57" s="24"/>
      <c r="AF57" s="24"/>
      <c r="AG57" s="24"/>
      <c r="AH57" s="24"/>
      <c r="AI57" s="24"/>
      <c r="AM57" s="24"/>
      <c r="AN57" s="24"/>
      <c r="AO57" s="69"/>
      <c r="AP57" s="24"/>
      <c r="AQ57" s="24"/>
      <c r="AS57" s="102"/>
      <c r="BA57" s="74"/>
      <c r="BC57" s="72"/>
    </row>
    <row r="58" spans="2:55" s="25" customFormat="1" ht="15" customHeight="1" thickBot="1" x14ac:dyDescent="0.25">
      <c r="B58" s="35"/>
      <c r="C58" s="65"/>
      <c r="D58" s="36"/>
      <c r="E58" s="36"/>
      <c r="F58" s="36"/>
      <c r="I58" s="36"/>
      <c r="J58" s="42"/>
      <c r="O58" s="37"/>
      <c r="Q58" s="235" t="s">
        <v>43</v>
      </c>
      <c r="R58" s="236" t="s">
        <v>35</v>
      </c>
      <c r="S58" s="236" t="s">
        <v>36</v>
      </c>
      <c r="T58" s="236" t="s">
        <v>13</v>
      </c>
      <c r="U58" s="329" t="s">
        <v>101</v>
      </c>
      <c r="V58" s="329"/>
      <c r="W58" s="236" t="s">
        <v>102</v>
      </c>
      <c r="X58" s="329" t="s">
        <v>120</v>
      </c>
      <c r="Y58" s="329"/>
      <c r="Z58" s="329" t="s">
        <v>158</v>
      </c>
      <c r="AA58" s="329"/>
      <c r="AB58" s="236" t="s">
        <v>43</v>
      </c>
      <c r="AC58" s="239" t="s">
        <v>159</v>
      </c>
      <c r="AD58" s="239" t="s">
        <v>160</v>
      </c>
      <c r="AE58" s="24"/>
      <c r="AF58" s="107"/>
      <c r="AG58" s="104" t="s">
        <v>153</v>
      </c>
      <c r="AH58" s="108"/>
      <c r="AI58" s="82" t="s">
        <v>154</v>
      </c>
      <c r="AJ58" s="80"/>
      <c r="AK58" s="104" t="s">
        <v>163</v>
      </c>
      <c r="AL58" s="108"/>
      <c r="AM58" s="82" t="s">
        <v>164</v>
      </c>
      <c r="AN58" s="80"/>
      <c r="AO58" s="103" t="s">
        <v>88</v>
      </c>
      <c r="AP58" s="80"/>
      <c r="AQ58" s="79"/>
      <c r="AR58" s="104" t="s">
        <v>142</v>
      </c>
      <c r="AS58" s="108"/>
      <c r="AT58" s="82" t="s">
        <v>143</v>
      </c>
      <c r="AU58" s="80"/>
      <c r="AW58" s="113" t="s">
        <v>91</v>
      </c>
      <c r="AX58" s="114"/>
      <c r="AY58" s="114"/>
      <c r="AZ58" s="115"/>
      <c r="BA58" s="115"/>
      <c r="BB58" s="115"/>
    </row>
    <row r="59" spans="2:55" s="25" customFormat="1" ht="15" customHeight="1" thickBot="1" x14ac:dyDescent="0.25">
      <c r="B59" s="30"/>
      <c r="C59" s="31" t="s">
        <v>83</v>
      </c>
      <c r="D59" s="31"/>
      <c r="E59" s="31"/>
      <c r="F59" s="33"/>
      <c r="G59" s="33"/>
      <c r="H59" s="33"/>
      <c r="I59" s="33"/>
      <c r="J59" s="33"/>
      <c r="K59" s="33"/>
      <c r="L59" s="33"/>
      <c r="M59" s="33"/>
      <c r="N59" s="33"/>
      <c r="O59" s="34"/>
      <c r="Q59" s="297" t="s">
        <v>95</v>
      </c>
      <c r="R59" s="297" t="s">
        <v>96</v>
      </c>
      <c r="S59" s="297" t="s">
        <v>96</v>
      </c>
      <c r="T59" s="297" t="s">
        <v>97</v>
      </c>
      <c r="U59" s="297" t="s">
        <v>96</v>
      </c>
      <c r="V59" s="297" t="s">
        <v>112</v>
      </c>
      <c r="W59" s="297" t="s">
        <v>149</v>
      </c>
      <c r="X59" s="297" t="s">
        <v>96</v>
      </c>
      <c r="Y59" s="297" t="s">
        <v>112</v>
      </c>
      <c r="Z59" s="297" t="s">
        <v>96</v>
      </c>
      <c r="AA59" s="297" t="s">
        <v>112</v>
      </c>
      <c r="AB59" s="297" t="s">
        <v>95</v>
      </c>
      <c r="AC59" s="296" t="s">
        <v>96</v>
      </c>
      <c r="AD59" s="296" t="s">
        <v>96</v>
      </c>
      <c r="AE59" s="24"/>
      <c r="AF59" s="109" t="s">
        <v>89</v>
      </c>
      <c r="AG59" s="53" t="s">
        <v>90</v>
      </c>
      <c r="AH59" s="110">
        <f>J68</f>
        <v>40</v>
      </c>
      <c r="AI59" s="53" t="s">
        <v>90</v>
      </c>
      <c r="AJ59" s="111">
        <f>J69</f>
        <v>20</v>
      </c>
      <c r="AK59" s="53" t="s">
        <v>90</v>
      </c>
      <c r="AL59" s="110">
        <f>$J$70</f>
        <v>32.4</v>
      </c>
      <c r="AM59" s="53" t="s">
        <v>90</v>
      </c>
      <c r="AN59" s="111">
        <f>$J$71</f>
        <v>6.6</v>
      </c>
      <c r="AO59" s="112" t="s">
        <v>90</v>
      </c>
      <c r="AP59" s="110">
        <f>J63</f>
        <v>56.000000000000007</v>
      </c>
      <c r="AQ59" s="227"/>
      <c r="AR59" s="241">
        <f>M65+M64</f>
        <v>70</v>
      </c>
      <c r="AS59" s="240">
        <f>VLOOKUP($AR$59,$Q$60:$Z$460,10)</f>
        <v>28.490517703401423</v>
      </c>
      <c r="AT59" s="241">
        <f>M65</f>
        <v>45</v>
      </c>
      <c r="AU59" s="240">
        <f>$AS$59-VLOOKUP($AT$59,$Q$60:$Z$460,10)</f>
        <v>16.324754517873004</v>
      </c>
      <c r="AW59" s="117"/>
      <c r="AX59" s="114"/>
      <c r="AY59" s="114"/>
      <c r="AZ59" s="115"/>
      <c r="BA59" s="118" t="s">
        <v>35</v>
      </c>
      <c r="BB59" s="119" t="s">
        <v>36</v>
      </c>
    </row>
    <row r="60" spans="2:55" s="25" customFormat="1" ht="15" customHeight="1" thickTop="1" x14ac:dyDescent="0.2">
      <c r="B60" s="35"/>
      <c r="C60" s="36"/>
      <c r="D60" s="36"/>
      <c r="E60" s="36"/>
      <c r="F60" s="36"/>
      <c r="G60" s="36"/>
      <c r="H60" s="36"/>
      <c r="I60" s="36"/>
      <c r="J60" s="36"/>
      <c r="K60" s="36"/>
      <c r="L60" s="36"/>
      <c r="M60" s="36"/>
      <c r="N60" s="36"/>
      <c r="O60" s="37"/>
      <c r="Q60" s="24">
        <v>0</v>
      </c>
      <c r="R60" s="71">
        <v>2</v>
      </c>
      <c r="S60" s="71">
        <v>-1</v>
      </c>
      <c r="T60" s="71">
        <v>60</v>
      </c>
      <c r="U60" s="71">
        <v>2.2360679774997898</v>
      </c>
      <c r="V60" s="71">
        <v>2.7950849718747371E-3</v>
      </c>
      <c r="W60" s="71">
        <v>0</v>
      </c>
      <c r="X60" s="71">
        <v>2.2360679774997898</v>
      </c>
      <c r="Y60" s="71">
        <v>2.7950849718747371E-3</v>
      </c>
      <c r="Z60" s="71">
        <v>0</v>
      </c>
      <c r="AA60" s="71">
        <v>0</v>
      </c>
      <c r="AB60" s="71">
        <v>0</v>
      </c>
      <c r="AC60" s="237">
        <f>IF(Q60="","",SQRT(($R60-$AR$61)^2+($S60-$AS$61)^2))</f>
        <v>29.992798708015275</v>
      </c>
      <c r="AD60" s="237">
        <f>IF(Q60="","",SQRT(($R60-$AT$61)^2+($S60-$AU$61)^2))</f>
        <v>17.859858660803038</v>
      </c>
      <c r="AE60" s="24"/>
      <c r="AF60" s="52"/>
      <c r="AG60" s="81" t="s">
        <v>35</v>
      </c>
      <c r="AH60" s="78" t="s">
        <v>36</v>
      </c>
      <c r="AI60" s="81" t="s">
        <v>35</v>
      </c>
      <c r="AJ60" s="78" t="s">
        <v>36</v>
      </c>
      <c r="AK60" s="81" t="s">
        <v>35</v>
      </c>
      <c r="AL60" s="78" t="s">
        <v>36</v>
      </c>
      <c r="AM60" s="81" t="s">
        <v>35</v>
      </c>
      <c r="AN60" s="78" t="s">
        <v>36</v>
      </c>
      <c r="AO60" s="116" t="s">
        <v>35</v>
      </c>
      <c r="AP60" s="78" t="s">
        <v>36</v>
      </c>
      <c r="AQ60" s="77"/>
      <c r="AR60" s="81" t="s">
        <v>35</v>
      </c>
      <c r="AS60" s="78" t="s">
        <v>36</v>
      </c>
      <c r="AT60" s="81" t="s">
        <v>35</v>
      </c>
      <c r="AU60" s="78" t="s">
        <v>36</v>
      </c>
      <c r="AW60" s="123" t="s">
        <v>37</v>
      </c>
      <c r="AX60" s="124"/>
      <c r="AY60" s="124">
        <f>90-$G$39</f>
        <v>30</v>
      </c>
      <c r="AZ60" s="125" t="s">
        <v>29</v>
      </c>
      <c r="BA60" s="126">
        <f>K41</f>
        <v>2</v>
      </c>
      <c r="BB60" s="127">
        <f>G41</f>
        <v>-1</v>
      </c>
    </row>
    <row r="61" spans="2:55" s="25" customFormat="1" ht="15" customHeight="1" x14ac:dyDescent="0.2">
      <c r="B61" s="35"/>
      <c r="C61" s="208" t="s">
        <v>106</v>
      </c>
      <c r="D61" s="77"/>
      <c r="E61" s="77"/>
      <c r="F61" s="77"/>
      <c r="G61" s="78"/>
      <c r="H61" s="185">
        <v>150</v>
      </c>
      <c r="I61" s="64">
        <v>0.25</v>
      </c>
      <c r="J61" s="81" t="s">
        <v>68</v>
      </c>
      <c r="K61" s="78"/>
      <c r="L61" s="82"/>
      <c r="M61" s="79"/>
      <c r="N61" s="80"/>
      <c r="O61" s="37"/>
      <c r="Q61" s="24">
        <v>1</v>
      </c>
      <c r="R61" s="71">
        <v>1.9939227575628233</v>
      </c>
      <c r="S61" s="71">
        <v>-1.0021300630177272</v>
      </c>
      <c r="T61" s="71">
        <v>60.000179290771484</v>
      </c>
      <c r="U61" s="71">
        <v>2.2315897083314504</v>
      </c>
      <c r="V61" s="71">
        <v>2.7894871354143132E-3</v>
      </c>
      <c r="W61" s="71">
        <v>1.286856261135399E-2</v>
      </c>
      <c r="X61" s="71">
        <v>2.2406954739520857</v>
      </c>
      <c r="Y61" s="71">
        <v>2.8008693424401072E-3</v>
      </c>
      <c r="Z61" s="71">
        <v>6.4397239148670177E-3</v>
      </c>
      <c r="AA61" s="71">
        <v>8.0496548935837717E-6</v>
      </c>
      <c r="AB61" s="71">
        <v>1</v>
      </c>
      <c r="AC61" s="237">
        <f t="shared" ref="AC61:AC124" si="0">IF(Q61="","",SQRT(($R61-$AR$61)^2+($S61-$AS$61)^2))</f>
        <v>29.999234235660847</v>
      </c>
      <c r="AD61" s="237">
        <f t="shared" ref="AD61:AD124" si="1">IF(Q61="","",SQRT(($R61-$AT$61)^2+($S61-$AU$61)^2))</f>
        <v>17.866298364882351</v>
      </c>
      <c r="AE61" s="24"/>
      <c r="AF61" s="120">
        <v>0</v>
      </c>
      <c r="AG61" s="121">
        <f t="shared" ref="AG61:AG85" si="2">$AH$59*COS(RADIANS($AF61)) + $K$40</f>
        <v>43</v>
      </c>
      <c r="AH61" s="121">
        <f t="shared" ref="AH61:AH85" si="3">$AH$59*SIN(RADIANS($AF61)) + $G$40</f>
        <v>1</v>
      </c>
      <c r="AI61" s="121">
        <f t="shared" ref="AI61:AI85" si="4">$AJ$59*COS(RADIANS(AF61))+$K$40</f>
        <v>23</v>
      </c>
      <c r="AJ61" s="122">
        <f t="shared" ref="AJ61:AJ85" si="5">$AJ$59*SIN(RADIANS(AF61))+$G$40</f>
        <v>1</v>
      </c>
      <c r="AK61" s="121">
        <f>$AL$59*COS(RADIANS($AF61))+$K$40</f>
        <v>35.4</v>
      </c>
      <c r="AL61" s="121">
        <f>$AL$59*SIN(RADIANS($AF61))+$G$40</f>
        <v>1</v>
      </c>
      <c r="AM61" s="121">
        <f>$AN$59*COS(RADIANS($AF61))+$K$40</f>
        <v>9.6</v>
      </c>
      <c r="AN61" s="121">
        <f>$AN$59*SIN(RADIANS($AF61))+$G$40</f>
        <v>1</v>
      </c>
      <c r="AO61" s="105">
        <f>$AP$59*COS(RADIANS(AF61))+$K$40</f>
        <v>59.000000000000007</v>
      </c>
      <c r="AP61" s="122">
        <f>$AP$59*SIN(RADIANS(AF61))+$G$40</f>
        <v>1</v>
      </c>
      <c r="AQ61" s="107" t="s">
        <v>161</v>
      </c>
      <c r="AR61" s="228">
        <f xml:space="preserve"> - $AS$59*COS(RADIANS(270-$K$54))+$K$40</f>
        <v>30.644227567001018</v>
      </c>
      <c r="AS61" s="228">
        <f xml:space="preserve"> - $AS$59*SIN(RADIANS(270-$K$54))+$G$40</f>
        <v>7.8924800494227583</v>
      </c>
      <c r="AT61" s="228">
        <f xml:space="preserve"> - $AU$59*COS(RADIANS(270-$K$54))+$K$40</f>
        <v>18.839839541196941</v>
      </c>
      <c r="AU61" s="228">
        <f xml:space="preserve"> - $AU$59*SIN(RADIANS(270-$K$54))+$G$40</f>
        <v>4.9493155581630734</v>
      </c>
      <c r="AW61" s="128"/>
      <c r="AX61" s="129" t="s">
        <v>38</v>
      </c>
      <c r="AY61" s="129">
        <f>AY63-(2/150)*(J63+10)</f>
        <v>12.32</v>
      </c>
      <c r="AZ61" s="130"/>
      <c r="BA61" s="131">
        <f>BA60+AY62*COS(RADIANS(AY60))</f>
        <v>17.242047106606122</v>
      </c>
      <c r="BB61" s="132">
        <f>BB60+AY62*SIN(RADIANS(AY60))</f>
        <v>7.7999999999999989</v>
      </c>
    </row>
    <row r="62" spans="2:55" s="25" customFormat="1" ht="15" customHeight="1" x14ac:dyDescent="0.2">
      <c r="B62" s="35"/>
      <c r="C62" s="208"/>
      <c r="D62" s="77"/>
      <c r="E62" s="77"/>
      <c r="F62" s="77"/>
      <c r="G62" s="78"/>
      <c r="K62" s="223"/>
      <c r="L62" s="53"/>
      <c r="M62" s="48"/>
      <c r="N62" s="49"/>
      <c r="O62" s="37"/>
      <c r="Q62" s="24">
        <v>2</v>
      </c>
      <c r="R62" s="71">
        <v>1.9757320098717563</v>
      </c>
      <c r="S62" s="71">
        <v>-1.008499564612267</v>
      </c>
      <c r="T62" s="71">
        <v>60.000717163085937</v>
      </c>
      <c r="U62" s="71">
        <v>2.2182399208956234</v>
      </c>
      <c r="V62" s="71">
        <v>2.7727999011195291E-3</v>
      </c>
      <c r="W62" s="71">
        <v>2.5668050323464277E-2</v>
      </c>
      <c r="X62" s="71">
        <v>2.2545942909199912</v>
      </c>
      <c r="Y62" s="71">
        <v>2.8182428636499891E-3</v>
      </c>
      <c r="Z62" s="71">
        <v>2.5713380630765621E-2</v>
      </c>
      <c r="AA62" s="71">
        <v>3.2141725788457027E-5</v>
      </c>
      <c r="AB62" s="71">
        <v>2</v>
      </c>
      <c r="AC62" s="237">
        <f t="shared" si="0"/>
        <v>30.018495558548686</v>
      </c>
      <c r="AD62" s="237">
        <f t="shared" si="1"/>
        <v>17.885571946831039</v>
      </c>
      <c r="AE62" s="24"/>
      <c r="AF62" s="120">
        <f>AF61+15</f>
        <v>15</v>
      </c>
      <c r="AG62" s="121">
        <f t="shared" si="2"/>
        <v>41.637033051562732</v>
      </c>
      <c r="AH62" s="121">
        <f t="shared" si="3"/>
        <v>11.35276180410083</v>
      </c>
      <c r="AI62" s="121">
        <f t="shared" si="4"/>
        <v>22.318516525781366</v>
      </c>
      <c r="AJ62" s="122">
        <f t="shared" si="5"/>
        <v>6.1763809020504148</v>
      </c>
      <c r="AK62" s="121">
        <f t="shared" ref="AK62:AK85" si="6">$AL$59*COS(RADIANS($AF62))+$K$40</f>
        <v>34.295996771765815</v>
      </c>
      <c r="AL62" s="121">
        <f t="shared" ref="AL62:AL85" si="7">$AL$59*SIN(RADIANS($AF62))+$G$40</f>
        <v>9.385737061321672</v>
      </c>
      <c r="AM62" s="121">
        <f t="shared" ref="AM62:AM85" si="8">$AN$59*COS(RADIANS($AF62))+$K$40</f>
        <v>9.3751104535078511</v>
      </c>
      <c r="AN62" s="121">
        <f t="shared" ref="AN62:AN85" si="9">$AN$59*SIN(RADIANS($AF62))+$G$40</f>
        <v>2.7082056976766369</v>
      </c>
      <c r="AO62" s="105">
        <f t="shared" ref="AO62:AO85" si="10">$AP$59*COS(RADIANS(AF62))+$K$40</f>
        <v>57.09184627218783</v>
      </c>
      <c r="AP62" s="122">
        <f t="shared" ref="AP62:AP85" si="11">$AP$59*SIN(RADIANS(AF62))+$G$40</f>
        <v>15.493866525741163</v>
      </c>
      <c r="AQ62" s="120" t="s">
        <v>89</v>
      </c>
      <c r="AR62" s="228"/>
      <c r="AS62" s="120"/>
      <c r="AT62" s="228"/>
      <c r="AU62" s="228"/>
      <c r="AW62" s="128"/>
      <c r="AX62" s="129" t="s">
        <v>39</v>
      </c>
      <c r="AY62" s="133">
        <f>(J63+10)*(40/150)</f>
        <v>17.600000000000001</v>
      </c>
      <c r="AZ62" s="130"/>
      <c r="BA62" s="131">
        <f>BA60+AY61*COS(RADIANS(AY60+AY64))</f>
        <v>12.374377044079569</v>
      </c>
      <c r="BB62" s="132">
        <f>BB60+AY61*SIN(RADIANS(AY60+AY64))</f>
        <v>5.6449003715085793</v>
      </c>
    </row>
    <row r="63" spans="2:55" s="25" customFormat="1" ht="15" customHeight="1" x14ac:dyDescent="0.2">
      <c r="B63" s="35"/>
      <c r="C63" s="208" t="s">
        <v>84</v>
      </c>
      <c r="D63" s="77"/>
      <c r="E63" s="77"/>
      <c r="F63" s="77"/>
      <c r="G63" s="78"/>
      <c r="H63" s="209">
        <f>I24</f>
        <v>7.0000000000000007E-2</v>
      </c>
      <c r="I63" s="192" t="s">
        <v>61</v>
      </c>
      <c r="J63" s="210">
        <f>H63*G13</f>
        <v>56.000000000000007</v>
      </c>
      <c r="K63" s="288">
        <f t="shared" ref="K63" si="12">J63*3.281</f>
        <v>183.73600000000002</v>
      </c>
      <c r="L63" s="192" t="s">
        <v>85</v>
      </c>
      <c r="M63" s="212">
        <f>VLOOKUP(J63,X60:AB460,5)</f>
        <v>98</v>
      </c>
      <c r="N63" s="213">
        <f>M63/60</f>
        <v>1.6333333333333333</v>
      </c>
      <c r="O63" s="37"/>
      <c r="Q63" s="24">
        <v>3</v>
      </c>
      <c r="R63" s="71">
        <v>1.9454894637694562</v>
      </c>
      <c r="S63" s="71">
        <v>-1.0190774810864061</v>
      </c>
      <c r="T63" s="71">
        <v>60.001617431640625</v>
      </c>
      <c r="U63" s="71">
        <v>2.1962349979215294</v>
      </c>
      <c r="V63" s="71">
        <v>2.7452937474019118E-3</v>
      </c>
      <c r="W63" s="71">
        <v>3.8399628372887705E-2</v>
      </c>
      <c r="X63" s="71">
        <v>2.277864426530134</v>
      </c>
      <c r="Y63" s="71">
        <v>2.8473305331626676E-3</v>
      </c>
      <c r="Z63" s="71">
        <v>5.7752479122056825E-2</v>
      </c>
      <c r="AA63" s="71">
        <v>7.2190598902571035E-5</v>
      </c>
      <c r="AB63" s="71">
        <v>3</v>
      </c>
      <c r="AC63" s="237">
        <f t="shared" si="0"/>
        <v>30.050514576916143</v>
      </c>
      <c r="AD63" s="237">
        <f t="shared" si="1"/>
        <v>17.917610890116901</v>
      </c>
      <c r="AE63" s="24"/>
      <c r="AF63" s="120">
        <f t="shared" ref="AF63:AF82" si="13">AF62+15</f>
        <v>30</v>
      </c>
      <c r="AG63" s="121">
        <f t="shared" si="2"/>
        <v>37.641016151377549</v>
      </c>
      <c r="AH63" s="121">
        <f t="shared" si="3"/>
        <v>20.999999999999996</v>
      </c>
      <c r="AI63" s="121">
        <f t="shared" si="4"/>
        <v>20.320508075688775</v>
      </c>
      <c r="AJ63" s="122">
        <f t="shared" si="5"/>
        <v>10.999999999999998</v>
      </c>
      <c r="AK63" s="121">
        <f t="shared" si="6"/>
        <v>31.059223082615812</v>
      </c>
      <c r="AL63" s="121">
        <f t="shared" si="7"/>
        <v>17.199999999999996</v>
      </c>
      <c r="AM63" s="121">
        <f t="shared" si="8"/>
        <v>8.7157676649772959</v>
      </c>
      <c r="AN63" s="121">
        <f t="shared" si="9"/>
        <v>4.2999999999999989</v>
      </c>
      <c r="AO63" s="105">
        <f t="shared" si="10"/>
        <v>51.49742261192857</v>
      </c>
      <c r="AP63" s="122">
        <f t="shared" si="11"/>
        <v>29</v>
      </c>
      <c r="AQ63" s="229">
        <f t="shared" ref="AQ63:AQ66" si="14">AQ64-15</f>
        <v>134</v>
      </c>
      <c r="AR63" s="228">
        <f>$AP$59*COS(RADIANS($AQ63)) +$AR$61</f>
        <v>-8.2566411787028429</v>
      </c>
      <c r="AS63" s="228">
        <f>$AP$59*SIN(RADIANS($AQ63))+$AS$61</f>
        <v>48.175508868387226</v>
      </c>
      <c r="AT63" s="228">
        <f>$AP$59*COS(RADIANS($AQ63)) +$AT$61</f>
        <v>-20.061029204506919</v>
      </c>
      <c r="AU63" s="228">
        <f>$AP$59*SIN(RADIANS($AQ63)) +$AU$61</f>
        <v>45.232344377127539</v>
      </c>
      <c r="AW63" s="128"/>
      <c r="AX63" s="129" t="s">
        <v>40</v>
      </c>
      <c r="AY63" s="133">
        <f>(J63+10)*(30/150)</f>
        <v>13.200000000000001</v>
      </c>
      <c r="AZ63" s="130"/>
      <c r="BA63" s="131">
        <f>BA60+AY61*COS(RADIANS(AY60-AY64))</f>
        <v>12.941841049382869</v>
      </c>
      <c r="BB63" s="132">
        <f>BB60+AY61*SIN(RADIANS(AY60-AY64))</f>
        <v>4.6620238828567304</v>
      </c>
    </row>
    <row r="64" spans="2:55" s="25" customFormat="1" ht="15" customHeight="1" x14ac:dyDescent="0.2">
      <c r="B64" s="35"/>
      <c r="C64" s="208" t="s">
        <v>86</v>
      </c>
      <c r="D64" s="77"/>
      <c r="E64" s="77"/>
      <c r="F64" s="77"/>
      <c r="G64" s="78"/>
      <c r="H64" s="211"/>
      <c r="I64" s="192"/>
      <c r="J64" s="210"/>
      <c r="K64" s="223"/>
      <c r="L64" s="214">
        <f>M63-M64</f>
        <v>73</v>
      </c>
      <c r="M64" s="212">
        <f>IF(I29&lt;&gt;"",G29,IF(I30&lt;&gt;"",G30,IF(I31&lt;&gt;"",G31,IF(I32&lt;&gt;"",G32,G33))))</f>
        <v>25</v>
      </c>
      <c r="N64" s="213">
        <f>M64/60</f>
        <v>0.41666666666666669</v>
      </c>
      <c r="O64" s="37"/>
      <c r="Q64" s="25">
        <v>4</v>
      </c>
      <c r="R64" s="72">
        <v>1.9032558415001577</v>
      </c>
      <c r="S64" s="72">
        <v>-1.0338334503286248</v>
      </c>
      <c r="T64" s="72">
        <v>60.002891540527344</v>
      </c>
      <c r="U64" s="72">
        <v>2.1659165268363556</v>
      </c>
      <c r="V64" s="72">
        <v>2.7073956585454443E-3</v>
      </c>
      <c r="W64" s="72">
        <v>5.1064436315420146E-2</v>
      </c>
      <c r="X64" s="72">
        <v>2.3106982176128419</v>
      </c>
      <c r="Y64" s="72">
        <v>2.8883727720160524E-3</v>
      </c>
      <c r="Z64" s="72">
        <v>0.10248968028529572</v>
      </c>
      <c r="AA64" s="72">
        <v>1.2811210035661966E-4</v>
      </c>
      <c r="AB64" s="72">
        <v>4</v>
      </c>
      <c r="AC64" s="237">
        <f t="shared" si="0"/>
        <v>30.09522434576429</v>
      </c>
      <c r="AD64" s="237">
        <f t="shared" si="1"/>
        <v>17.962347827459805</v>
      </c>
      <c r="AF64" s="120">
        <f t="shared" si="13"/>
        <v>45</v>
      </c>
      <c r="AG64" s="121">
        <f t="shared" si="2"/>
        <v>31.284271247461902</v>
      </c>
      <c r="AH64" s="121">
        <f t="shared" si="3"/>
        <v>29.284271247461898</v>
      </c>
      <c r="AI64" s="121">
        <f t="shared" si="4"/>
        <v>17.142135623730951</v>
      </c>
      <c r="AJ64" s="122">
        <f t="shared" si="5"/>
        <v>15.142135623730949</v>
      </c>
      <c r="AK64" s="121">
        <f t="shared" si="6"/>
        <v>25.910259710444141</v>
      </c>
      <c r="AL64" s="121">
        <f t="shared" si="7"/>
        <v>23.910259710444137</v>
      </c>
      <c r="AM64" s="121">
        <f t="shared" si="8"/>
        <v>7.6669047558312133</v>
      </c>
      <c r="AN64" s="121">
        <f t="shared" si="9"/>
        <v>5.6669047558312133</v>
      </c>
      <c r="AO64" s="105">
        <f t="shared" si="10"/>
        <v>42.597979746446669</v>
      </c>
      <c r="AP64" s="122">
        <f t="shared" si="11"/>
        <v>40.597979746446661</v>
      </c>
      <c r="AQ64" s="229">
        <f t="shared" si="14"/>
        <v>149</v>
      </c>
      <c r="AR64" s="228">
        <f t="shared" ref="AR64:AR71" si="15">$AP$59*COS(RADIANS($AQ64)) +$AR$61</f>
        <v>-17.357141272317271</v>
      </c>
      <c r="AS64" s="228">
        <f t="shared" ref="AS64:AS71" si="16">$AP$59*SIN(RADIANS($AQ64))+$AS$61</f>
        <v>36.734612244385808</v>
      </c>
      <c r="AT64" s="228">
        <f t="shared" ref="AT64:AT71" si="17">$AP$59*COS(RADIANS($AQ64)) +$AT$61</f>
        <v>-29.161529298121348</v>
      </c>
      <c r="AU64" s="228">
        <f t="shared" ref="AU64:AU71" si="18">$AP$59*SIN(RADIANS($AQ64)) +$AU$61</f>
        <v>33.791447753126121</v>
      </c>
      <c r="AW64" s="134"/>
      <c r="AX64" s="135" t="s">
        <v>41</v>
      </c>
      <c r="AY64" s="136">
        <f>(J63+10)*(6/150)</f>
        <v>2.64</v>
      </c>
      <c r="AZ64" s="137"/>
      <c r="BA64" s="138">
        <f>BA61</f>
        <v>17.242047106606122</v>
      </c>
      <c r="BB64" s="139">
        <f>BB61</f>
        <v>7.7999999999999989</v>
      </c>
    </row>
    <row r="65" spans="1:55" s="25" customFormat="1" ht="15" customHeight="1" x14ac:dyDescent="0.2">
      <c r="B65" s="35"/>
      <c r="C65" s="208" t="s">
        <v>165</v>
      </c>
      <c r="D65" s="77"/>
      <c r="E65" s="77"/>
      <c r="F65" s="77"/>
      <c r="G65" s="78"/>
      <c r="I65" s="81"/>
      <c r="J65" s="233"/>
      <c r="K65" s="192"/>
      <c r="L65" s="192"/>
      <c r="M65" s="212">
        <f>G35</f>
        <v>45</v>
      </c>
      <c r="N65" s="213">
        <f>M65/60</f>
        <v>0.75</v>
      </c>
      <c r="O65" s="37"/>
      <c r="Q65" s="25">
        <v>5</v>
      </c>
      <c r="R65" s="72">
        <v>1.84909090033693</v>
      </c>
      <c r="S65" s="72">
        <v>-1.0527377517547241</v>
      </c>
      <c r="T65" s="72">
        <v>60.004535675048828</v>
      </c>
      <c r="U65" s="72">
        <v>2.1277673584483878</v>
      </c>
      <c r="V65" s="72">
        <v>2.6597091980604848E-3</v>
      </c>
      <c r="W65" s="72">
        <v>6.3663588378017916E-2</v>
      </c>
      <c r="X65" s="72">
        <v>2.3533644072192255</v>
      </c>
      <c r="Y65" s="72">
        <v>2.9417055090240319E-3</v>
      </c>
      <c r="Z65" s="72">
        <v>0.15985877148677607</v>
      </c>
      <c r="AA65" s="72">
        <v>1.9982346435847009E-4</v>
      </c>
      <c r="AB65" s="72">
        <v>5</v>
      </c>
      <c r="AC65" s="237">
        <f t="shared" si="0"/>
        <v>30.152559048319016</v>
      </c>
      <c r="AD65" s="237">
        <f t="shared" si="1"/>
        <v>18.019716515860662</v>
      </c>
      <c r="AF65" s="120">
        <f t="shared" si="13"/>
        <v>60</v>
      </c>
      <c r="AG65" s="121">
        <f t="shared" si="2"/>
        <v>23.000000000000004</v>
      </c>
      <c r="AH65" s="121">
        <f t="shared" si="3"/>
        <v>35.641016151377542</v>
      </c>
      <c r="AI65" s="121">
        <f t="shared" si="4"/>
        <v>13.000000000000002</v>
      </c>
      <c r="AJ65" s="122">
        <f t="shared" si="5"/>
        <v>18.320508075688771</v>
      </c>
      <c r="AK65" s="121">
        <f t="shared" si="6"/>
        <v>19.200000000000003</v>
      </c>
      <c r="AL65" s="121">
        <f t="shared" si="7"/>
        <v>29.059223082615809</v>
      </c>
      <c r="AM65" s="121">
        <f t="shared" si="8"/>
        <v>6.3000000000000007</v>
      </c>
      <c r="AN65" s="121">
        <f t="shared" si="9"/>
        <v>6.7157676649772942</v>
      </c>
      <c r="AO65" s="105">
        <f t="shared" si="10"/>
        <v>31.000000000000011</v>
      </c>
      <c r="AP65" s="122">
        <f t="shared" si="11"/>
        <v>49.49742261192857</v>
      </c>
      <c r="AQ65" s="229">
        <f t="shared" si="14"/>
        <v>164</v>
      </c>
      <c r="AR65" s="228">
        <f t="shared" si="15"/>
        <v>-23.186427405544848</v>
      </c>
      <c r="AS65" s="228">
        <f t="shared" si="16"/>
        <v>23.328171975174719</v>
      </c>
      <c r="AT65" s="228">
        <f t="shared" si="17"/>
        <v>-34.990815431348921</v>
      </c>
      <c r="AU65" s="228">
        <f t="shared" si="18"/>
        <v>20.385007483915032</v>
      </c>
      <c r="AW65" s="123" t="s">
        <v>42</v>
      </c>
      <c r="AX65" s="124"/>
      <c r="AY65" s="124">
        <f>K44</f>
        <v>75</v>
      </c>
      <c r="AZ65" s="125" t="s">
        <v>29</v>
      </c>
      <c r="BA65" s="126">
        <f>AY67*COS(RADIANS(AY65))</f>
        <v>13.97622843553612</v>
      </c>
      <c r="BB65" s="127">
        <f>AY67*SIN(RADIANS(AY65))+IF($G$44=0,10000,0)</f>
        <v>52.159994619609691</v>
      </c>
    </row>
    <row r="66" spans="1:55" s="25" customFormat="1" ht="15" customHeight="1" x14ac:dyDescent="0.2">
      <c r="B66" s="35"/>
      <c r="C66" s="246" t="s">
        <v>169</v>
      </c>
      <c r="D66" s="247"/>
      <c r="E66" s="247"/>
      <c r="F66" s="247"/>
      <c r="G66" s="248"/>
      <c r="H66" s="262">
        <f>J66/$G$13</f>
        <v>4.966013813736106E-2</v>
      </c>
      <c r="I66" s="263" t="s">
        <v>61</v>
      </c>
      <c r="J66" s="264">
        <f>0.5*(INDEX($X$60:$X$460,MATCH($J$63,$AD$60:$AD$460))+INDEX($X$60:$X$460,MATCH($J$63,$AD$60:$AD$460)+1))</f>
        <v>39.72811050988885</v>
      </c>
      <c r="K66" s="282">
        <f t="shared" ref="K66:K71" si="19">J66*3.281</f>
        <v>130.34793058294531</v>
      </c>
      <c r="L66" s="263"/>
      <c r="M66" s="265"/>
      <c r="N66" s="266"/>
      <c r="O66" s="37"/>
      <c r="Q66" s="25">
        <v>6</v>
      </c>
      <c r="R66" s="72">
        <v>1.783053451917548</v>
      </c>
      <c r="S66" s="72">
        <v>-1.0757612863684562</v>
      </c>
      <c r="T66" s="72">
        <v>60.006561279296875</v>
      </c>
      <c r="U66" s="72">
        <v>2.0824365434855872</v>
      </c>
      <c r="V66" s="72">
        <v>2.6030456793569839E-3</v>
      </c>
      <c r="W66" s="72">
        <v>7.6198173788063955E-2</v>
      </c>
      <c r="X66" s="72">
        <v>2.4061886498933998</v>
      </c>
      <c r="Y66" s="72">
        <v>3.0077358123667495E-3</v>
      </c>
      <c r="Z66" s="72">
        <v>0.22979464144556302</v>
      </c>
      <c r="AA66" s="72">
        <v>2.8724330180695379E-4</v>
      </c>
      <c r="AB66" s="72">
        <v>6</v>
      </c>
      <c r="AC66" s="237">
        <f t="shared" si="0"/>
        <v>30.222453969824461</v>
      </c>
      <c r="AD66" s="237">
        <f t="shared" si="1"/>
        <v>18.089651811959925</v>
      </c>
      <c r="AF66" s="120">
        <f t="shared" si="13"/>
        <v>75</v>
      </c>
      <c r="AG66" s="121">
        <f t="shared" si="2"/>
        <v>13.35276180410083</v>
      </c>
      <c r="AH66" s="121">
        <f t="shared" si="3"/>
        <v>39.637033051562732</v>
      </c>
      <c r="AI66" s="121">
        <f t="shared" si="4"/>
        <v>8.1763809020504148</v>
      </c>
      <c r="AJ66" s="122">
        <f t="shared" si="5"/>
        <v>20.318516525781366</v>
      </c>
      <c r="AK66" s="121">
        <f t="shared" si="6"/>
        <v>11.385737061321672</v>
      </c>
      <c r="AL66" s="121">
        <f t="shared" si="7"/>
        <v>32.295996771765815</v>
      </c>
      <c r="AM66" s="121">
        <f t="shared" si="8"/>
        <v>4.7082056976766369</v>
      </c>
      <c r="AN66" s="121">
        <f t="shared" si="9"/>
        <v>7.3751104535078502</v>
      </c>
      <c r="AO66" s="105">
        <f t="shared" si="10"/>
        <v>17.493866525741161</v>
      </c>
      <c r="AP66" s="122">
        <f t="shared" si="11"/>
        <v>55.09184627218783</v>
      </c>
      <c r="AQ66" s="229">
        <f t="shared" si="14"/>
        <v>179</v>
      </c>
      <c r="AR66" s="228">
        <f t="shared" si="15"/>
        <v>-25.347243361756902</v>
      </c>
      <c r="AS66" s="228">
        <f t="shared" si="16"/>
        <v>8.8698148099106309</v>
      </c>
      <c r="AT66" s="228">
        <f t="shared" si="17"/>
        <v>-37.151631387560982</v>
      </c>
      <c r="AU66" s="228">
        <f t="shared" si="18"/>
        <v>5.926650318650946</v>
      </c>
      <c r="AW66" s="128"/>
      <c r="AX66" s="129" t="s">
        <v>38</v>
      </c>
      <c r="AY66" s="129">
        <f>AY68+(14/150)*($J$63+10)</f>
        <v>32.56</v>
      </c>
      <c r="AZ66" s="130"/>
      <c r="BA66" s="131">
        <f>AY68*COS(RADIANS(AY65))</f>
        <v>6.8328227907065484</v>
      </c>
      <c r="BB66" s="132">
        <f>AY68*SIN(RADIANS(AY65))+IF($G$44=0,10000,0)</f>
        <v>25.500441814031404</v>
      </c>
    </row>
    <row r="67" spans="1:55" s="25" customFormat="1" ht="15" customHeight="1" x14ac:dyDescent="0.2">
      <c r="A67" s="36"/>
      <c r="B67" s="35"/>
      <c r="C67" s="246" t="s">
        <v>168</v>
      </c>
      <c r="D67" s="247"/>
      <c r="E67" s="247"/>
      <c r="F67" s="247"/>
      <c r="G67" s="248"/>
      <c r="H67" s="267">
        <f>J67/$G$13</f>
        <v>3.4319594513721262E-2</v>
      </c>
      <c r="I67" s="268" t="s">
        <v>61</v>
      </c>
      <c r="J67" s="269">
        <f>0.5*(INDEX($X$60:$X$460,MATCH($J$63,$AC$60:$AC$460))+INDEX($X$60:$X$460,MATCH($J$63,$AC$60:$AC$460)+1))</f>
        <v>27.455675610977011</v>
      </c>
      <c r="K67" s="283">
        <f t="shared" si="19"/>
        <v>90.082071679615581</v>
      </c>
      <c r="L67" s="268"/>
      <c r="M67" s="270"/>
      <c r="N67" s="271"/>
      <c r="O67" s="37"/>
      <c r="P67" s="36"/>
      <c r="Q67" s="25">
        <v>7</v>
      </c>
      <c r="R67" s="72">
        <v>1.7052013813050899</v>
      </c>
      <c r="S67" s="72">
        <v>-1.1028755569208213</v>
      </c>
      <c r="T67" s="72">
        <v>60.008968353271484</v>
      </c>
      <c r="U67" s="72">
        <v>2.0307747893004282</v>
      </c>
      <c r="V67" s="72">
        <v>2.5384684866255353E-3</v>
      </c>
      <c r="W67" s="72">
        <v>8.8669257079827216E-2</v>
      </c>
      <c r="X67" s="72">
        <v>2.4695321562735932</v>
      </c>
      <c r="Y67" s="72">
        <v>3.0869151953419917E-3</v>
      </c>
      <c r="Z67" s="72">
        <v>0.31223325542964853</v>
      </c>
      <c r="AA67" s="72">
        <v>3.9029156928706066E-4</v>
      </c>
      <c r="AB67" s="72">
        <v>7</v>
      </c>
      <c r="AC67" s="237">
        <f t="shared" si="0"/>
        <v>30.304845471656368</v>
      </c>
      <c r="AD67" s="237">
        <f t="shared" si="1"/>
        <v>18.172089647696613</v>
      </c>
      <c r="AF67" s="120">
        <f t="shared" si="13"/>
        <v>90</v>
      </c>
      <c r="AG67" s="121">
        <f t="shared" si="2"/>
        <v>3.0000000000000027</v>
      </c>
      <c r="AH67" s="121">
        <f t="shared" si="3"/>
        <v>41</v>
      </c>
      <c r="AI67" s="121">
        <f t="shared" si="4"/>
        <v>3.0000000000000013</v>
      </c>
      <c r="AJ67" s="122">
        <f t="shared" si="5"/>
        <v>21</v>
      </c>
      <c r="AK67" s="121">
        <f t="shared" si="6"/>
        <v>3.0000000000000018</v>
      </c>
      <c r="AL67" s="121">
        <f t="shared" si="7"/>
        <v>33.4</v>
      </c>
      <c r="AM67" s="121">
        <f t="shared" si="8"/>
        <v>3.0000000000000004</v>
      </c>
      <c r="AN67" s="121">
        <f t="shared" si="9"/>
        <v>7.6</v>
      </c>
      <c r="AO67" s="105">
        <f t="shared" si="10"/>
        <v>3.0000000000000036</v>
      </c>
      <c r="AP67" s="122">
        <f t="shared" si="11"/>
        <v>57.000000000000007</v>
      </c>
      <c r="AQ67" s="230">
        <f>270-$K$54</f>
        <v>194</v>
      </c>
      <c r="AR67" s="228">
        <f t="shared" si="15"/>
        <v>-23.692333104454789</v>
      </c>
      <c r="AS67" s="228">
        <f t="shared" si="16"/>
        <v>-5.6551461041586233</v>
      </c>
      <c r="AT67" s="228">
        <f t="shared" si="17"/>
        <v>-35.496721130258862</v>
      </c>
      <c r="AU67" s="228">
        <f t="shared" si="18"/>
        <v>-8.5983105954183081</v>
      </c>
      <c r="AW67" s="128"/>
      <c r="AX67" s="129" t="s">
        <v>39</v>
      </c>
      <c r="AY67" s="133">
        <f>($J$63+10)*(100/150)+10</f>
        <v>54</v>
      </c>
      <c r="AZ67" s="130"/>
      <c r="BA67" s="131">
        <f>AY66*COS(RADIANS(AY65+AY69))</f>
        <v>7.7004073430924791</v>
      </c>
      <c r="BB67" s="132">
        <f>AY66*SIN(RADIANS(AY65+AY69))+IF($G$44=0,10000,0)</f>
        <v>31.636329223701782</v>
      </c>
    </row>
    <row r="68" spans="1:55" s="25" customFormat="1" ht="15" customHeight="1" x14ac:dyDescent="0.2">
      <c r="A68" s="36"/>
      <c r="B68" s="35"/>
      <c r="C68" s="243" t="s">
        <v>155</v>
      </c>
      <c r="D68" s="244"/>
      <c r="E68" s="244"/>
      <c r="F68" s="244"/>
      <c r="G68" s="245"/>
      <c r="H68" s="272">
        <f>IF($I$13&lt;5000,0.05,0.04)</f>
        <v>0.05</v>
      </c>
      <c r="I68" s="273" t="s">
        <v>61</v>
      </c>
      <c r="J68" s="274">
        <f>ROUNDDOWN(H68*$G$13,1)</f>
        <v>40</v>
      </c>
      <c r="K68" s="284">
        <f t="shared" si="19"/>
        <v>131.24</v>
      </c>
      <c r="L68" s="273"/>
      <c r="M68" s="275">
        <f>VLOOKUP(J68,X60:AB460,5)</f>
        <v>81</v>
      </c>
      <c r="N68" s="276">
        <f t="shared" ref="N68:N71" si="20">M68/60</f>
        <v>1.35</v>
      </c>
      <c r="O68" s="37"/>
      <c r="Q68" s="25">
        <v>8</v>
      </c>
      <c r="R68" s="72">
        <v>1.6155916657895801</v>
      </c>
      <c r="S68" s="72">
        <v>-1.1340526481476225</v>
      </c>
      <c r="T68" s="72">
        <v>60.011764526367188</v>
      </c>
      <c r="U68" s="72">
        <v>1.9738824279422991</v>
      </c>
      <c r="V68" s="72">
        <v>2.4673530349278738E-3</v>
      </c>
      <c r="W68" s="72">
        <v>0.10107787837790999</v>
      </c>
      <c r="X68" s="72">
        <v>2.5437702610293149</v>
      </c>
      <c r="Y68" s="72">
        <v>3.1797128262866436E-3</v>
      </c>
      <c r="Z68" s="72">
        <v>0.40711163074250306</v>
      </c>
      <c r="AA68" s="72">
        <v>5.088895384281288E-4</v>
      </c>
      <c r="AB68" s="72">
        <v>8</v>
      </c>
      <c r="AC68" s="237">
        <f t="shared" si="0"/>
        <v>30.399670965742523</v>
      </c>
      <c r="AD68" s="237">
        <f t="shared" si="1"/>
        <v>18.266967006239071</v>
      </c>
      <c r="AF68" s="120">
        <f t="shared" si="13"/>
        <v>105</v>
      </c>
      <c r="AG68" s="121">
        <f t="shared" si="2"/>
        <v>-7.3527618041008331</v>
      </c>
      <c r="AH68" s="121">
        <f t="shared" si="3"/>
        <v>39.637033051562732</v>
      </c>
      <c r="AI68" s="121">
        <f t="shared" si="4"/>
        <v>-2.1763809020504166</v>
      </c>
      <c r="AJ68" s="122">
        <f t="shared" si="5"/>
        <v>20.318516525781366</v>
      </c>
      <c r="AK68" s="121">
        <f t="shared" si="6"/>
        <v>-5.3857370613216755</v>
      </c>
      <c r="AL68" s="121">
        <f t="shared" si="7"/>
        <v>32.295996771765815</v>
      </c>
      <c r="AM68" s="121">
        <f t="shared" si="8"/>
        <v>1.2917943023233625</v>
      </c>
      <c r="AN68" s="121">
        <f t="shared" si="9"/>
        <v>7.3751104535078502</v>
      </c>
      <c r="AO68" s="105">
        <f t="shared" si="10"/>
        <v>-11.49386652574117</v>
      </c>
      <c r="AP68" s="122">
        <f t="shared" si="11"/>
        <v>55.09184627218783</v>
      </c>
      <c r="AQ68" s="229">
        <f>AQ67+15</f>
        <v>209</v>
      </c>
      <c r="AR68" s="228">
        <f t="shared" si="15"/>
        <v>-18.334476032805156</v>
      </c>
      <c r="AS68" s="228">
        <f t="shared" si="16"/>
        <v>-19.256858684372116</v>
      </c>
      <c r="AT68" s="228">
        <f t="shared" si="17"/>
        <v>-30.138864058609233</v>
      </c>
      <c r="AU68" s="228">
        <f t="shared" si="18"/>
        <v>-22.200023175631799</v>
      </c>
      <c r="AW68" s="128"/>
      <c r="AX68" s="129" t="s">
        <v>40</v>
      </c>
      <c r="AY68" s="133">
        <f>($J$63+10)*(60/150)</f>
        <v>26.400000000000002</v>
      </c>
      <c r="AZ68" s="130"/>
      <c r="BA68" s="131">
        <f>AY66*COS(RADIANS(AY65-AY69))</f>
        <v>9.1494162332445708</v>
      </c>
      <c r="BB68" s="132">
        <f>AY66*SIN(RADIANS(AY65-AY69))+IF($G$44=0,10000,0)</f>
        <v>31.248068461760013</v>
      </c>
      <c r="BC68" s="24"/>
    </row>
    <row r="69" spans="1:55" s="25" customFormat="1" ht="15" customHeight="1" x14ac:dyDescent="0.2">
      <c r="A69" s="36"/>
      <c r="B69" s="35"/>
      <c r="C69" s="243" t="s">
        <v>156</v>
      </c>
      <c r="D69" s="244"/>
      <c r="E69" s="244"/>
      <c r="F69" s="244"/>
      <c r="G69" s="245"/>
      <c r="H69" s="277">
        <f>0.5*H68</f>
        <v>2.5000000000000001E-2</v>
      </c>
      <c r="I69" s="278" t="s">
        <v>61</v>
      </c>
      <c r="J69" s="279">
        <f>ROUNDDOWN(H69*$G$13,1)</f>
        <v>20</v>
      </c>
      <c r="K69" s="285">
        <f t="shared" si="19"/>
        <v>65.62</v>
      </c>
      <c r="L69" s="278"/>
      <c r="M69" s="280">
        <f>VLOOKUP(J69,X60:AB460,5)</f>
        <v>55</v>
      </c>
      <c r="N69" s="281">
        <f t="shared" si="20"/>
        <v>0.91666666666666663</v>
      </c>
      <c r="O69" s="37"/>
      <c r="Q69" s="25">
        <v>9</v>
      </c>
      <c r="R69" s="72">
        <v>1.5142803934472546</v>
      </c>
      <c r="S69" s="72">
        <v>-1.1692652070647673</v>
      </c>
      <c r="T69" s="72">
        <v>60.014949798583984</v>
      </c>
      <c r="U69" s="72">
        <v>1.9131717733729467</v>
      </c>
      <c r="V69" s="72">
        <v>2.3914647167161836E-3</v>
      </c>
      <c r="W69" s="72">
        <v>0.11342505365742354</v>
      </c>
      <c r="X69" s="72">
        <v>2.6292725777060455</v>
      </c>
      <c r="Y69" s="72">
        <v>3.2865907221325567E-3</v>
      </c>
      <c r="Z69" s="72">
        <v>0.51436781247705643</v>
      </c>
      <c r="AA69" s="72">
        <v>6.4295976559632052E-4</v>
      </c>
      <c r="AB69" s="72">
        <v>9</v>
      </c>
      <c r="AC69" s="237">
        <f t="shared" si="0"/>
        <v>30.506868889276511</v>
      </c>
      <c r="AD69" s="237">
        <f t="shared" si="1"/>
        <v>18.374221898159089</v>
      </c>
      <c r="AF69" s="120">
        <f t="shared" si="13"/>
        <v>120</v>
      </c>
      <c r="AG69" s="121">
        <f t="shared" si="2"/>
        <v>-16.999999999999993</v>
      </c>
      <c r="AH69" s="121">
        <f t="shared" si="3"/>
        <v>35.641016151377549</v>
      </c>
      <c r="AI69" s="121">
        <f t="shared" si="4"/>
        <v>-6.9999999999999964</v>
      </c>
      <c r="AJ69" s="122">
        <f t="shared" si="5"/>
        <v>18.320508075688775</v>
      </c>
      <c r="AK69" s="121">
        <f t="shared" si="6"/>
        <v>-13.199999999999992</v>
      </c>
      <c r="AL69" s="121">
        <f t="shared" si="7"/>
        <v>29.059223082615812</v>
      </c>
      <c r="AM69" s="121">
        <f t="shared" si="8"/>
        <v>-0.29999999999999849</v>
      </c>
      <c r="AN69" s="121">
        <f t="shared" si="9"/>
        <v>6.715767664977295</v>
      </c>
      <c r="AO69" s="105">
        <f t="shared" si="10"/>
        <v>-24.999999999999993</v>
      </c>
      <c r="AP69" s="122">
        <f t="shared" si="11"/>
        <v>49.49742261192857</v>
      </c>
      <c r="AQ69" s="229">
        <f>AQ68+15</f>
        <v>224</v>
      </c>
      <c r="AR69" s="228">
        <f t="shared" si="15"/>
        <v>-9.6388012519634501</v>
      </c>
      <c r="AS69" s="228">
        <f t="shared" si="16"/>
        <v>-31.008388696281102</v>
      </c>
      <c r="AT69" s="228">
        <f t="shared" si="17"/>
        <v>-21.443189277767527</v>
      </c>
      <c r="AU69" s="228">
        <f t="shared" si="18"/>
        <v>-33.951553187540789</v>
      </c>
      <c r="AW69" s="134"/>
      <c r="AX69" s="135" t="s">
        <v>41</v>
      </c>
      <c r="AY69" s="136">
        <f>($J$63+10)*(3/150)</f>
        <v>1.32</v>
      </c>
      <c r="AZ69" s="137"/>
      <c r="BA69" s="138">
        <f>BA66</f>
        <v>6.8328227907065484</v>
      </c>
      <c r="BB69" s="139">
        <f>BB66</f>
        <v>25.500441814031404</v>
      </c>
      <c r="BC69" s="24"/>
    </row>
    <row r="70" spans="1:55" s="25" customFormat="1" ht="15" customHeight="1" x14ac:dyDescent="0.2">
      <c r="A70" s="36"/>
      <c r="B70" s="35"/>
      <c r="C70" s="249" t="s">
        <v>157</v>
      </c>
      <c r="D70" s="250"/>
      <c r="E70" s="250"/>
      <c r="F70" s="250"/>
      <c r="G70" s="251"/>
      <c r="H70" s="252">
        <f>VLOOKUP(M70,Q60:AA460,9)</f>
        <v>4.0621619466643243E-2</v>
      </c>
      <c r="I70" s="253" t="s">
        <v>61</v>
      </c>
      <c r="J70" s="254">
        <f>ROUNDDOWN(H70*$G$13,1)</f>
        <v>32.4</v>
      </c>
      <c r="K70" s="286">
        <f t="shared" si="19"/>
        <v>106.3044</v>
      </c>
      <c r="L70" s="253"/>
      <c r="M70" s="255">
        <f>M63-M64</f>
        <v>73</v>
      </c>
      <c r="N70" s="256">
        <f t="shared" si="20"/>
        <v>1.2166666666666666</v>
      </c>
      <c r="O70" s="37"/>
      <c r="Q70" s="25">
        <v>10</v>
      </c>
      <c r="R70" s="72">
        <v>1.4013227814743403</v>
      </c>
      <c r="S70" s="72">
        <v>-1.2084864233006476</v>
      </c>
      <c r="T70" s="72">
        <v>60.018531799316406</v>
      </c>
      <c r="U70" s="72">
        <v>1.8504445339379869</v>
      </c>
      <c r="V70" s="72">
        <v>2.3130556674224837E-3</v>
      </c>
      <c r="W70" s="72">
        <v>0.1257117749805737</v>
      </c>
      <c r="X70" s="72">
        <v>2.7263860935194462</v>
      </c>
      <c r="Y70" s="72">
        <v>3.4079826168993076E-3</v>
      </c>
      <c r="Z70" s="72">
        <v>0.63394084951383067</v>
      </c>
      <c r="AA70" s="72">
        <v>7.9242606189228832E-4</v>
      </c>
      <c r="AB70" s="72">
        <v>10</v>
      </c>
      <c r="AC70" s="237">
        <f t="shared" si="0"/>
        <v>30.626378679710314</v>
      </c>
      <c r="AD70" s="237">
        <f t="shared" si="1"/>
        <v>18.493793337821327</v>
      </c>
      <c r="AF70" s="120">
        <f t="shared" si="13"/>
        <v>135</v>
      </c>
      <c r="AG70" s="121">
        <f t="shared" si="2"/>
        <v>-25.284271247461898</v>
      </c>
      <c r="AH70" s="121">
        <f t="shared" si="3"/>
        <v>29.284271247461902</v>
      </c>
      <c r="AI70" s="121">
        <f t="shared" si="4"/>
        <v>-11.142135623730949</v>
      </c>
      <c r="AJ70" s="122">
        <f t="shared" si="5"/>
        <v>15.142135623730951</v>
      </c>
      <c r="AK70" s="121">
        <f t="shared" si="6"/>
        <v>-19.910259710444137</v>
      </c>
      <c r="AL70" s="121">
        <f t="shared" si="7"/>
        <v>23.910259710444141</v>
      </c>
      <c r="AM70" s="121">
        <f t="shared" si="8"/>
        <v>-1.6669047558312133</v>
      </c>
      <c r="AN70" s="121">
        <f t="shared" si="9"/>
        <v>5.6669047558312133</v>
      </c>
      <c r="AO70" s="105">
        <f t="shared" si="10"/>
        <v>-36.597979746446661</v>
      </c>
      <c r="AP70" s="122">
        <f t="shared" si="11"/>
        <v>40.597979746446669</v>
      </c>
      <c r="AQ70" s="229">
        <f t="shared" ref="AQ70:AQ71" si="21">AQ69+15</f>
        <v>239</v>
      </c>
      <c r="AR70" s="228">
        <f t="shared" si="15"/>
        <v>1.8020953720379609</v>
      </c>
      <c r="AS70" s="228">
        <f t="shared" si="16"/>
        <v>-40.108888789895524</v>
      </c>
      <c r="AT70" s="228">
        <f t="shared" si="17"/>
        <v>-10.002292653766116</v>
      </c>
      <c r="AU70" s="228">
        <f t="shared" si="18"/>
        <v>-43.05205328115521</v>
      </c>
      <c r="AW70" s="123" t="s">
        <v>33</v>
      </c>
      <c r="AX70" s="124"/>
      <c r="AY70" s="124">
        <f>K46</f>
        <v>80</v>
      </c>
      <c r="AZ70" s="125" t="s">
        <v>29</v>
      </c>
      <c r="BA70" s="126">
        <f>AY72*COS(RADIANS(AY70))</f>
        <v>9.3770015940142422</v>
      </c>
      <c r="BB70" s="127">
        <f>AY72*SIN(RADIANS(AY70))+IF($G$46=0,10000,0)</f>
        <v>53.17961866265923</v>
      </c>
      <c r="BC70" s="24"/>
    </row>
    <row r="71" spans="1:55" s="25" customFormat="1" ht="15" customHeight="1" x14ac:dyDescent="0.2">
      <c r="A71" s="36"/>
      <c r="B71" s="35"/>
      <c r="C71" s="249" t="s">
        <v>162</v>
      </c>
      <c r="D71" s="250"/>
      <c r="E71" s="250"/>
      <c r="F71" s="250"/>
      <c r="G71" s="251"/>
      <c r="H71" s="257">
        <f>VLOOKUP(M71,Q60:AA460,9)</f>
        <v>8.2662560582950368E-3</v>
      </c>
      <c r="I71" s="258" t="s">
        <v>61</v>
      </c>
      <c r="J71" s="259">
        <f>ROUNDDOWN(H71*$G$13,1)</f>
        <v>6.6</v>
      </c>
      <c r="K71" s="287">
        <f t="shared" si="19"/>
        <v>21.654599999999999</v>
      </c>
      <c r="L71" s="258"/>
      <c r="M71" s="260">
        <f>M70-M65</f>
        <v>28</v>
      </c>
      <c r="N71" s="261">
        <f t="shared" si="20"/>
        <v>0.46666666666666667</v>
      </c>
      <c r="O71" s="37"/>
      <c r="Q71" s="25">
        <v>11</v>
      </c>
      <c r="R71" s="72">
        <v>1.2767731943125837</v>
      </c>
      <c r="S71" s="72">
        <v>-1.2516900094447201</v>
      </c>
      <c r="T71" s="72">
        <v>60.022514343261719</v>
      </c>
      <c r="U71" s="72">
        <v>1.7879814510947483</v>
      </c>
      <c r="V71" s="72">
        <v>2.2349768138684354E-3</v>
      </c>
      <c r="W71" s="72">
        <v>0.13793901070927908</v>
      </c>
      <c r="X71" s="72">
        <v>2.8354221065782816</v>
      </c>
      <c r="Y71" s="72">
        <v>3.5442776332228519E-3</v>
      </c>
      <c r="Z71" s="72">
        <v>0.76577077073959077</v>
      </c>
      <c r="AA71" s="72">
        <v>9.5721346342448851E-4</v>
      </c>
      <c r="AB71" s="72">
        <v>11</v>
      </c>
      <c r="AC71" s="237">
        <f t="shared" si="0"/>
        <v>30.758140750009996</v>
      </c>
      <c r="AD71" s="237">
        <f t="shared" si="1"/>
        <v>18.625621319960437</v>
      </c>
      <c r="AF71" s="120">
        <f t="shared" si="13"/>
        <v>150</v>
      </c>
      <c r="AG71" s="121">
        <f t="shared" si="2"/>
        <v>-31.641016151377549</v>
      </c>
      <c r="AH71" s="121">
        <f t="shared" si="3"/>
        <v>20.999999999999996</v>
      </c>
      <c r="AI71" s="121">
        <f t="shared" si="4"/>
        <v>-14.320508075688775</v>
      </c>
      <c r="AJ71" s="122">
        <f t="shared" si="5"/>
        <v>10.999999999999998</v>
      </c>
      <c r="AK71" s="121">
        <f t="shared" si="6"/>
        <v>-25.059223082615812</v>
      </c>
      <c r="AL71" s="121">
        <f t="shared" si="7"/>
        <v>17.199999999999996</v>
      </c>
      <c r="AM71" s="121">
        <f t="shared" si="8"/>
        <v>-2.715767664977295</v>
      </c>
      <c r="AN71" s="121">
        <f t="shared" si="9"/>
        <v>4.2999999999999989</v>
      </c>
      <c r="AO71" s="105">
        <f t="shared" si="10"/>
        <v>-45.49742261192857</v>
      </c>
      <c r="AP71" s="122">
        <f t="shared" si="11"/>
        <v>29</v>
      </c>
      <c r="AQ71" s="231">
        <f t="shared" si="21"/>
        <v>254</v>
      </c>
      <c r="AR71" s="234">
        <f t="shared" si="15"/>
        <v>15.208535641249078</v>
      </c>
      <c r="AS71" s="234">
        <f t="shared" si="16"/>
        <v>-45.938174923123114</v>
      </c>
      <c r="AT71" s="234">
        <f t="shared" si="17"/>
        <v>3.4041476154450017</v>
      </c>
      <c r="AU71" s="234">
        <f t="shared" si="18"/>
        <v>-48.881339414382801</v>
      </c>
      <c r="AW71" s="128"/>
      <c r="AX71" s="129" t="s">
        <v>38</v>
      </c>
      <c r="AY71" s="129">
        <f>AY73+(14/150)*($J$63+10)</f>
        <v>32.56</v>
      </c>
      <c r="AZ71" s="130"/>
      <c r="BA71" s="131">
        <f>AY73*COS(RADIANS(AY70))</f>
        <v>4.5843118904069637</v>
      </c>
      <c r="BB71" s="132">
        <f>AY73*SIN(RADIANS(AY70))+IF($G$46=0,10000,0)</f>
        <v>25.998924679522293</v>
      </c>
    </row>
    <row r="72" spans="1:55" s="25" customFormat="1" ht="15" customHeight="1" thickBot="1" x14ac:dyDescent="0.25">
      <c r="A72" s="36"/>
      <c r="B72" s="43"/>
      <c r="C72" s="44"/>
      <c r="D72" s="44"/>
      <c r="E72" s="44"/>
      <c r="F72" s="44"/>
      <c r="G72" s="44"/>
      <c r="H72" s="44"/>
      <c r="I72" s="44"/>
      <c r="J72" s="44"/>
      <c r="K72" s="44"/>
      <c r="L72" s="44"/>
      <c r="M72" s="44"/>
      <c r="N72" s="44"/>
      <c r="O72" s="45"/>
      <c r="Q72" s="25">
        <v>12</v>
      </c>
      <c r="R72" s="72">
        <v>1.1406851615841458</v>
      </c>
      <c r="S72" s="72">
        <v>-1.2988501813911391</v>
      </c>
      <c r="T72" s="72">
        <v>60.026897430419922</v>
      </c>
      <c r="U72" s="72">
        <v>1.7286336892349528</v>
      </c>
      <c r="V72" s="72">
        <v>2.1607921115436909E-3</v>
      </c>
      <c r="W72" s="72">
        <v>0.15010770569338133</v>
      </c>
      <c r="X72" s="72">
        <v>2.9566473960950179</v>
      </c>
      <c r="Y72" s="72">
        <v>3.6958092451187725E-3</v>
      </c>
      <c r="Z72" s="72">
        <v>0.9097985614624714</v>
      </c>
      <c r="AA72" s="72">
        <v>1.1372482018280892E-3</v>
      </c>
      <c r="AB72" s="72">
        <v>12</v>
      </c>
      <c r="AC72" s="237">
        <f t="shared" si="0"/>
        <v>30.902096464157655</v>
      </c>
      <c r="AD72" s="237">
        <f t="shared" si="1"/>
        <v>18.76964679641857</v>
      </c>
      <c r="AF72" s="120">
        <f t="shared" si="13"/>
        <v>165</v>
      </c>
      <c r="AG72" s="121">
        <f t="shared" si="2"/>
        <v>-35.637033051562724</v>
      </c>
      <c r="AH72" s="121">
        <f t="shared" si="3"/>
        <v>11.35276180410084</v>
      </c>
      <c r="AI72" s="121">
        <f t="shared" si="4"/>
        <v>-16.318516525781362</v>
      </c>
      <c r="AJ72" s="122">
        <f t="shared" si="5"/>
        <v>6.1763809020504201</v>
      </c>
      <c r="AK72" s="121">
        <f t="shared" si="6"/>
        <v>-28.295996771765807</v>
      </c>
      <c r="AL72" s="121">
        <f t="shared" si="7"/>
        <v>9.3857370613216808</v>
      </c>
      <c r="AM72" s="121">
        <f t="shared" si="8"/>
        <v>-3.3751104535078502</v>
      </c>
      <c r="AN72" s="121">
        <f t="shared" si="9"/>
        <v>2.7082056976766387</v>
      </c>
      <c r="AO72" s="105">
        <f t="shared" si="10"/>
        <v>-51.091846272187823</v>
      </c>
      <c r="AP72" s="122">
        <f t="shared" si="11"/>
        <v>15.493866525741179</v>
      </c>
      <c r="AQ72" s="121"/>
      <c r="AR72" s="226"/>
      <c r="AS72" s="226"/>
      <c r="AT72" s="226"/>
      <c r="AU72" s="226"/>
      <c r="AW72" s="128"/>
      <c r="AX72" s="129" t="s">
        <v>39</v>
      </c>
      <c r="AY72" s="133">
        <f>($J$63+10)*(100/150)+10</f>
        <v>54</v>
      </c>
      <c r="AZ72" s="130"/>
      <c r="BA72" s="131">
        <f>AY71*COS(RADIANS(AY70+AY74))</f>
        <v>4.9138171970343016</v>
      </c>
      <c r="BB72" s="132">
        <f>AY71*SIN(RADIANS(AY70+AY74))+IF($G$46=0, 10000,0)</f>
        <v>32.187078161183408</v>
      </c>
      <c r="BC72" s="71"/>
    </row>
    <row r="73" spans="1:55" s="25" customFormat="1" ht="15" customHeight="1" x14ac:dyDescent="0.2">
      <c r="A73" s="36"/>
      <c r="B73" s="36"/>
      <c r="C73" s="36"/>
      <c r="D73" s="36"/>
      <c r="E73" s="36"/>
      <c r="F73" s="36"/>
      <c r="G73" s="36"/>
      <c r="H73" s="36"/>
      <c r="I73" s="36"/>
      <c r="J73" s="36"/>
      <c r="K73" s="36"/>
      <c r="L73" s="36"/>
      <c r="M73" s="36"/>
      <c r="N73" s="36"/>
      <c r="O73" s="36"/>
      <c r="Q73" s="25">
        <v>13</v>
      </c>
      <c r="R73" s="72">
        <v>0.99311139585393582</v>
      </c>
      <c r="S73" s="72">
        <v>-1.3499416386559639</v>
      </c>
      <c r="T73" s="72">
        <v>60.031681060791016</v>
      </c>
      <c r="U73" s="72">
        <v>1.6758916051917265</v>
      </c>
      <c r="V73" s="72">
        <v>2.094864506489658E-3</v>
      </c>
      <c r="W73" s="72">
        <v>0.16221878143394247</v>
      </c>
      <c r="X73" s="72">
        <v>3.0902795301623471</v>
      </c>
      <c r="Y73" s="72">
        <v>3.8628494127029341E-3</v>
      </c>
      <c r="Z73" s="72">
        <v>1.0659661399990297</v>
      </c>
      <c r="AA73" s="72">
        <v>1.3324576749987871E-3</v>
      </c>
      <c r="AB73" s="72">
        <v>13</v>
      </c>
      <c r="AC73" s="237">
        <f t="shared" si="0"/>
        <v>31.058188112881407</v>
      </c>
      <c r="AD73" s="237">
        <f t="shared" si="1"/>
        <v>18.925811653016485</v>
      </c>
      <c r="AF73" s="120">
        <f t="shared" si="13"/>
        <v>180</v>
      </c>
      <c r="AG73" s="121">
        <f t="shared" si="2"/>
        <v>-37</v>
      </c>
      <c r="AH73" s="121">
        <f t="shared" si="3"/>
        <v>1.0000000000000049</v>
      </c>
      <c r="AI73" s="121">
        <f t="shared" si="4"/>
        <v>-17</v>
      </c>
      <c r="AJ73" s="122">
        <f t="shared" si="5"/>
        <v>1.0000000000000024</v>
      </c>
      <c r="AK73" s="121">
        <f t="shared" si="6"/>
        <v>-29.4</v>
      </c>
      <c r="AL73" s="121">
        <f t="shared" si="7"/>
        <v>1.000000000000004</v>
      </c>
      <c r="AM73" s="121">
        <f t="shared" si="8"/>
        <v>-3.5999999999999996</v>
      </c>
      <c r="AN73" s="121">
        <f t="shared" si="9"/>
        <v>1.0000000000000009</v>
      </c>
      <c r="AO73" s="105">
        <f t="shared" si="10"/>
        <v>-53.000000000000007</v>
      </c>
      <c r="AP73" s="122">
        <f t="shared" si="11"/>
        <v>1.0000000000000069</v>
      </c>
      <c r="AQ73" s="121"/>
      <c r="AR73" s="226"/>
      <c r="AS73" s="226"/>
      <c r="AT73" s="226"/>
      <c r="AU73" s="226"/>
      <c r="AW73" s="128"/>
      <c r="AX73" s="129" t="s">
        <v>40</v>
      </c>
      <c r="AY73" s="133">
        <f>($J$63+10)*(60/150)</f>
        <v>26.400000000000002</v>
      </c>
      <c r="AZ73" s="130"/>
      <c r="BA73" s="131">
        <f>AY71*COS(RADIANS(AY70-AY74))</f>
        <v>6.3911513259784281</v>
      </c>
      <c r="BB73" s="132">
        <f>AY71*SIN(RADIANS(AY70-AY74))+IF($G$46=0,10000,0)</f>
        <v>31.926584294729125</v>
      </c>
      <c r="BC73" s="71"/>
    </row>
    <row r="74" spans="1:55" s="25" customFormat="1" ht="15" customHeight="1" x14ac:dyDescent="0.2">
      <c r="A74" s="36"/>
      <c r="B74" s="36"/>
      <c r="C74" s="36"/>
      <c r="D74" s="36"/>
      <c r="E74" s="36"/>
      <c r="F74" s="36"/>
      <c r="G74" s="36"/>
      <c r="H74" s="36"/>
      <c r="I74" s="36"/>
      <c r="J74" s="36"/>
      <c r="K74" s="36"/>
      <c r="L74" s="36"/>
      <c r="M74" s="36"/>
      <c r="N74" s="36"/>
      <c r="O74" s="36"/>
      <c r="Q74" s="25">
        <v>14</v>
      </c>
      <c r="R74" s="72">
        <v>0.83410381023793789</v>
      </c>
      <c r="S74" s="72">
        <v>-1.4049395446460662</v>
      </c>
      <c r="T74" s="72">
        <v>60.036876678466797</v>
      </c>
      <c r="U74" s="72">
        <v>1.6338862538021861</v>
      </c>
      <c r="V74" s="72">
        <v>2.0423578172527328E-3</v>
      </c>
      <c r="W74" s="72">
        <v>0.1742731362210547</v>
      </c>
      <c r="X74" s="72">
        <v>3.2364858285226967</v>
      </c>
      <c r="Y74" s="72">
        <v>4.0456072856533713E-3</v>
      </c>
      <c r="Z74" s="72">
        <v>1.2342163344081367</v>
      </c>
      <c r="AA74" s="72">
        <v>1.5427704180101709E-3</v>
      </c>
      <c r="AB74" s="72">
        <v>14</v>
      </c>
      <c r="AC74" s="237">
        <f t="shared" si="0"/>
        <v>31.226358889593669</v>
      </c>
      <c r="AD74" s="237">
        <f t="shared" si="1"/>
        <v>19.094058686531518</v>
      </c>
      <c r="AF74" s="120">
        <f t="shared" si="13"/>
        <v>195</v>
      </c>
      <c r="AG74" s="121">
        <f t="shared" si="2"/>
        <v>-35.637033051562732</v>
      </c>
      <c r="AH74" s="121">
        <f t="shared" si="3"/>
        <v>-9.3527618041008314</v>
      </c>
      <c r="AI74" s="121">
        <f t="shared" si="4"/>
        <v>-16.318516525781366</v>
      </c>
      <c r="AJ74" s="122">
        <f t="shared" si="5"/>
        <v>-4.1763809020504157</v>
      </c>
      <c r="AK74" s="121">
        <f t="shared" si="6"/>
        <v>-28.295996771765811</v>
      </c>
      <c r="AL74" s="121">
        <f t="shared" si="7"/>
        <v>-7.3857370613216737</v>
      </c>
      <c r="AM74" s="121">
        <f t="shared" si="8"/>
        <v>-3.3751104535078502</v>
      </c>
      <c r="AN74" s="121">
        <f t="shared" si="9"/>
        <v>-0.7082056976766371</v>
      </c>
      <c r="AO74" s="105">
        <f t="shared" si="10"/>
        <v>-51.09184627218783</v>
      </c>
      <c r="AP74" s="122">
        <f t="shared" si="11"/>
        <v>-13.493866525741167</v>
      </c>
      <c r="AQ74" s="121"/>
      <c r="AR74" s="226"/>
      <c r="AS74" s="226"/>
      <c r="AT74" s="226"/>
      <c r="AU74" s="226"/>
      <c r="AW74" s="134"/>
      <c r="AX74" s="135" t="s">
        <v>41</v>
      </c>
      <c r="AY74" s="136">
        <f>($J$63+10)*(3/150)</f>
        <v>1.32</v>
      </c>
      <c r="AZ74" s="137"/>
      <c r="BA74" s="138">
        <f>BA71</f>
        <v>4.5843118904069637</v>
      </c>
      <c r="BB74" s="139">
        <f>BB71</f>
        <v>25.998924679522293</v>
      </c>
      <c r="BC74" s="71"/>
    </row>
    <row r="75" spans="1:55" s="25" customFormat="1" ht="15" customHeight="1" x14ac:dyDescent="0.2">
      <c r="A75" s="36"/>
      <c r="B75" s="36"/>
      <c r="C75" s="36"/>
      <c r="D75" s="36"/>
      <c r="E75" s="36"/>
      <c r="F75" s="36"/>
      <c r="G75" s="36"/>
      <c r="H75" s="36"/>
      <c r="I75" s="36"/>
      <c r="J75" s="36"/>
      <c r="K75" s="36"/>
      <c r="L75" s="36"/>
      <c r="M75" s="36"/>
      <c r="N75" s="36"/>
      <c r="O75" s="36"/>
      <c r="P75" s="24"/>
      <c r="Q75" s="25">
        <v>15</v>
      </c>
      <c r="R75" s="72">
        <v>0.66371353587661441</v>
      </c>
      <c r="S75" s="72">
        <v>-1.463819506857386</v>
      </c>
      <c r="T75" s="72">
        <v>60.04248046875</v>
      </c>
      <c r="U75" s="72">
        <v>1.6072595329821624</v>
      </c>
      <c r="V75" s="72">
        <v>2.0090744162277029E-3</v>
      </c>
      <c r="W75" s="72">
        <v>0.18627164524551867</v>
      </c>
      <c r="X75" s="72">
        <v>3.3953852513105378</v>
      </c>
      <c r="Y75" s="72">
        <v>4.2442315641381722E-3</v>
      </c>
      <c r="Z75" s="72">
        <v>1.4144928593459951</v>
      </c>
      <c r="AA75" s="72">
        <v>1.7681160741824938E-3</v>
      </c>
      <c r="AB75" s="72">
        <v>15</v>
      </c>
      <c r="AC75" s="237">
        <f t="shared" si="0"/>
        <v>31.406552866516492</v>
      </c>
      <c r="AD75" s="237">
        <f t="shared" si="1"/>
        <v>19.274331581756002</v>
      </c>
      <c r="AF75" s="120">
        <f t="shared" si="13"/>
        <v>210</v>
      </c>
      <c r="AG75" s="121">
        <f t="shared" si="2"/>
        <v>-31.641016151377542</v>
      </c>
      <c r="AH75" s="121">
        <f t="shared" si="3"/>
        <v>-19.000000000000004</v>
      </c>
      <c r="AI75" s="121">
        <f t="shared" si="4"/>
        <v>-14.320508075688771</v>
      </c>
      <c r="AJ75" s="122">
        <f t="shared" si="5"/>
        <v>-9.0000000000000018</v>
      </c>
      <c r="AK75" s="121">
        <f t="shared" si="6"/>
        <v>-25.059223082615809</v>
      </c>
      <c r="AL75" s="121">
        <f t="shared" si="7"/>
        <v>-15.200000000000003</v>
      </c>
      <c r="AM75" s="121">
        <f t="shared" si="8"/>
        <v>-2.7157676649772942</v>
      </c>
      <c r="AN75" s="121">
        <f t="shared" si="9"/>
        <v>-2.3000000000000007</v>
      </c>
      <c r="AO75" s="105">
        <f t="shared" si="10"/>
        <v>-45.49742261192857</v>
      </c>
      <c r="AP75" s="122">
        <f t="shared" si="11"/>
        <v>-27.000000000000011</v>
      </c>
      <c r="AQ75" s="121"/>
      <c r="AR75" s="226"/>
      <c r="AS75" s="226"/>
      <c r="AT75" s="226"/>
      <c r="AU75" s="226"/>
      <c r="AW75" s="123" t="s">
        <v>24</v>
      </c>
      <c r="AX75" s="124"/>
      <c r="AY75" s="124">
        <f>K45</f>
        <v>45</v>
      </c>
      <c r="AZ75" s="125" t="s">
        <v>29</v>
      </c>
      <c r="BA75" s="126">
        <f>AY77*COS(RADIANS(AY75))</f>
        <v>38.183766184073569</v>
      </c>
      <c r="BB75" s="127">
        <f>AY77*SIN(RADIANS(AY75))+IF($G$45=0,10000,0)</f>
        <v>38.183766184073562</v>
      </c>
      <c r="BC75" s="71"/>
    </row>
    <row r="76" spans="1:55" s="25" customFormat="1" ht="15" customHeight="1" x14ac:dyDescent="0.2">
      <c r="A76" s="36"/>
      <c r="B76" s="36"/>
      <c r="C76" s="36"/>
      <c r="D76" s="36"/>
      <c r="E76" s="36"/>
      <c r="F76" s="36"/>
      <c r="G76" s="36"/>
      <c r="H76" s="36"/>
      <c r="I76" s="36"/>
      <c r="J76" s="36"/>
      <c r="K76" s="36"/>
      <c r="L76" s="36"/>
      <c r="M76" s="36"/>
      <c r="N76" s="36"/>
      <c r="O76" s="36"/>
      <c r="P76" s="24"/>
      <c r="Q76" s="25">
        <v>16</v>
      </c>
      <c r="R76" s="72">
        <v>0.48199093929307185</v>
      </c>
      <c r="S76" s="72">
        <v>-1.5265575569796441</v>
      </c>
      <c r="T76" s="72">
        <v>60.048492431640625</v>
      </c>
      <c r="U76" s="72">
        <v>1.600841416359621</v>
      </c>
      <c r="V76" s="72">
        <v>2.001051770449526E-3</v>
      </c>
      <c r="W76" s="72">
        <v>0.19821516068366962</v>
      </c>
      <c r="X76" s="72">
        <v>3.5670523851680582</v>
      </c>
      <c r="Y76" s="72">
        <v>4.4588154814600729E-3</v>
      </c>
      <c r="Z76" s="72">
        <v>1.606740293015863</v>
      </c>
      <c r="AA76" s="72">
        <v>2.0084253662698286E-3</v>
      </c>
      <c r="AB76" s="72">
        <v>16</v>
      </c>
      <c r="AC76" s="237">
        <f t="shared" si="0"/>
        <v>31.598714970971042</v>
      </c>
      <c r="AD76" s="237">
        <f t="shared" si="1"/>
        <v>19.46657488860976</v>
      </c>
      <c r="AF76" s="120">
        <f t="shared" si="13"/>
        <v>225</v>
      </c>
      <c r="AG76" s="121">
        <f t="shared" si="2"/>
        <v>-25.284271247461909</v>
      </c>
      <c r="AH76" s="121">
        <f t="shared" si="3"/>
        <v>-27.284271247461898</v>
      </c>
      <c r="AI76" s="121">
        <f t="shared" si="4"/>
        <v>-11.142135623730955</v>
      </c>
      <c r="AJ76" s="122">
        <f t="shared" si="5"/>
        <v>-13.142135623730949</v>
      </c>
      <c r="AK76" s="121">
        <f t="shared" si="6"/>
        <v>-19.910259710444144</v>
      </c>
      <c r="AL76" s="121">
        <f t="shared" si="7"/>
        <v>-21.910259710444137</v>
      </c>
      <c r="AM76" s="121">
        <f t="shared" si="8"/>
        <v>-1.6669047558312142</v>
      </c>
      <c r="AN76" s="121">
        <f t="shared" si="9"/>
        <v>-3.6669047558312133</v>
      </c>
      <c r="AO76" s="105">
        <f t="shared" si="10"/>
        <v>-36.597979746446676</v>
      </c>
      <c r="AP76" s="122">
        <f t="shared" si="11"/>
        <v>-38.597979746446661</v>
      </c>
      <c r="AQ76" s="121"/>
      <c r="AR76" s="226"/>
      <c r="AS76" s="226"/>
      <c r="AT76" s="226"/>
      <c r="AU76" s="226"/>
      <c r="AW76" s="128"/>
      <c r="AX76" s="129" t="s">
        <v>38</v>
      </c>
      <c r="AY76" s="129">
        <f>AY78+(14/150)*($J$63+10)</f>
        <v>32.56</v>
      </c>
      <c r="AZ76" s="130"/>
      <c r="BA76" s="131">
        <f>AY78*COS(RADIANS(AY75))</f>
        <v>18.667619023324857</v>
      </c>
      <c r="BB76" s="132">
        <f>AY78*SIN(RADIANS(AY75))+IF($G$45=0,10000,0)</f>
        <v>18.667619023324853</v>
      </c>
      <c r="BC76" s="71"/>
    </row>
    <row r="77" spans="1:55" s="25" customFormat="1" ht="15" customHeight="1" x14ac:dyDescent="0.2">
      <c r="A77" s="36"/>
      <c r="B77" s="36"/>
      <c r="C77" s="36"/>
      <c r="D77" s="36"/>
      <c r="E77" s="36"/>
      <c r="F77" s="36"/>
      <c r="G77" s="36"/>
      <c r="H77" s="36"/>
      <c r="I77" s="36"/>
      <c r="J77" s="36"/>
      <c r="K77" s="36"/>
      <c r="L77" s="36"/>
      <c r="M77" s="36"/>
      <c r="N77" s="36"/>
      <c r="O77" s="36"/>
      <c r="P77" s="24"/>
      <c r="Q77" s="25">
        <v>17</v>
      </c>
      <c r="R77" s="72">
        <v>0.28898563965630752</v>
      </c>
      <c r="S77" s="72">
        <v>-1.5931301308839658</v>
      </c>
      <c r="T77" s="72">
        <v>60.054916381835938</v>
      </c>
      <c r="U77" s="72">
        <v>1.619128257383561</v>
      </c>
      <c r="V77" s="72">
        <v>2.0239103217294511E-3</v>
      </c>
      <c r="W77" s="72">
        <v>0.21010451175455463</v>
      </c>
      <c r="X77" s="72">
        <v>3.7515227225338794</v>
      </c>
      <c r="Y77" s="72">
        <v>4.6894034031673493E-3</v>
      </c>
      <c r="Z77" s="72">
        <v>1.8109040541853028</v>
      </c>
      <c r="AA77" s="72">
        <v>2.2636300677316284E-3</v>
      </c>
      <c r="AB77" s="72">
        <v>17</v>
      </c>
      <c r="AC77" s="237">
        <f t="shared" si="0"/>
        <v>31.802790961806558</v>
      </c>
      <c r="AD77" s="237">
        <f t="shared" si="1"/>
        <v>19.670733999280138</v>
      </c>
      <c r="AF77" s="120">
        <f t="shared" si="13"/>
        <v>240</v>
      </c>
      <c r="AG77" s="121">
        <f t="shared" si="2"/>
        <v>-17.000000000000018</v>
      </c>
      <c r="AH77" s="121">
        <f t="shared" si="3"/>
        <v>-33.641016151377535</v>
      </c>
      <c r="AI77" s="121">
        <f t="shared" si="4"/>
        <v>-7.0000000000000089</v>
      </c>
      <c r="AJ77" s="122">
        <f t="shared" si="5"/>
        <v>-16.320508075688767</v>
      </c>
      <c r="AK77" s="121">
        <f t="shared" si="6"/>
        <v>-13.200000000000014</v>
      </c>
      <c r="AL77" s="121">
        <f t="shared" si="7"/>
        <v>-27.059223082615802</v>
      </c>
      <c r="AM77" s="121">
        <f t="shared" si="8"/>
        <v>-0.30000000000000293</v>
      </c>
      <c r="AN77" s="121">
        <f t="shared" si="9"/>
        <v>-4.7157676649772933</v>
      </c>
      <c r="AO77" s="105">
        <f t="shared" si="10"/>
        <v>-25.000000000000028</v>
      </c>
      <c r="AP77" s="122">
        <f t="shared" si="11"/>
        <v>-47.497422611928556</v>
      </c>
      <c r="AQ77" s="121"/>
      <c r="AR77" s="226"/>
      <c r="AS77" s="226"/>
      <c r="AT77" s="226"/>
      <c r="AU77" s="226"/>
      <c r="AW77" s="128"/>
      <c r="AX77" s="129" t="s">
        <v>39</v>
      </c>
      <c r="AY77" s="133">
        <f>($J$63+10)*(100/150)+10</f>
        <v>54</v>
      </c>
      <c r="AZ77" s="130"/>
      <c r="BA77" s="131">
        <f>AY76*COS(RADIANS(AY75+AY79))</f>
        <v>22.48691299045721</v>
      </c>
      <c r="BB77" s="132">
        <f>AY76*SIN(RADIANS(AY75+AY79))+IF($G$45=0,10000,0)</f>
        <v>23.547661118667538</v>
      </c>
      <c r="BC77" s="71"/>
    </row>
    <row r="78" spans="1:55" s="25" customFormat="1" ht="15" customHeight="1" x14ac:dyDescent="0.2">
      <c r="A78" s="36"/>
      <c r="B78" s="36"/>
      <c r="C78" s="36"/>
      <c r="D78" s="36"/>
      <c r="E78" s="36"/>
      <c r="F78" s="36"/>
      <c r="G78" s="36"/>
      <c r="H78" s="36"/>
      <c r="I78" s="36"/>
      <c r="J78" s="36"/>
      <c r="K78" s="36"/>
      <c r="L78" s="36"/>
      <c r="M78" s="36"/>
      <c r="N78" s="36"/>
      <c r="O78" s="36"/>
      <c r="P78" s="24"/>
      <c r="Q78" s="25">
        <v>18</v>
      </c>
      <c r="R78" s="72">
        <v>8.474652597055532E-2</v>
      </c>
      <c r="S78" s="72">
        <v>-1.6635140484691515</v>
      </c>
      <c r="T78" s="72">
        <v>60.061756134033203</v>
      </c>
      <c r="U78" s="72">
        <v>1.6656713250573489</v>
      </c>
      <c r="V78" s="72">
        <v>2.0820891563216861E-3</v>
      </c>
      <c r="W78" s="72">
        <v>0.22194050474858179</v>
      </c>
      <c r="X78" s="72">
        <v>3.9487985393323468</v>
      </c>
      <c r="Y78" s="72">
        <v>4.9359981741654334E-3</v>
      </c>
      <c r="Z78" s="72">
        <v>2.0269303792429034</v>
      </c>
      <c r="AA78" s="72">
        <v>2.5336629740536293E-3</v>
      </c>
      <c r="AB78" s="72">
        <v>18</v>
      </c>
      <c r="AC78" s="237">
        <f t="shared" si="0"/>
        <v>32.018727405942371</v>
      </c>
      <c r="AD78" s="237">
        <f t="shared" si="1"/>
        <v>19.886755125362843</v>
      </c>
      <c r="AF78" s="120">
        <f t="shared" si="13"/>
        <v>255</v>
      </c>
      <c r="AG78" s="121">
        <f t="shared" si="2"/>
        <v>-7.352761804100826</v>
      </c>
      <c r="AH78" s="121">
        <f t="shared" si="3"/>
        <v>-37.637033051562732</v>
      </c>
      <c r="AI78" s="121">
        <f t="shared" si="4"/>
        <v>-2.176380902050413</v>
      </c>
      <c r="AJ78" s="122">
        <f t="shared" si="5"/>
        <v>-18.318516525781366</v>
      </c>
      <c r="AK78" s="121">
        <f t="shared" si="6"/>
        <v>-5.3857370613216684</v>
      </c>
      <c r="AL78" s="121">
        <f t="shared" si="7"/>
        <v>-30.295996771765811</v>
      </c>
      <c r="AM78" s="121">
        <f t="shared" si="8"/>
        <v>1.291794302323364</v>
      </c>
      <c r="AN78" s="121">
        <f t="shared" si="9"/>
        <v>-5.3751104535078502</v>
      </c>
      <c r="AO78" s="105">
        <f t="shared" si="10"/>
        <v>-11.493866525741158</v>
      </c>
      <c r="AP78" s="122">
        <f t="shared" si="11"/>
        <v>-53.09184627218783</v>
      </c>
      <c r="AQ78" s="121"/>
      <c r="AR78" s="226"/>
      <c r="AS78" s="226"/>
      <c r="AT78" s="226"/>
      <c r="AU78" s="226"/>
      <c r="AW78" s="128"/>
      <c r="AX78" s="129" t="s">
        <v>40</v>
      </c>
      <c r="AY78" s="133">
        <f>($J$63+10)*(60/150)</f>
        <v>26.400000000000002</v>
      </c>
      <c r="AZ78" s="130"/>
      <c r="BA78" s="131">
        <f>AY76*COS(RADIANS(AY75-AY79))</f>
        <v>23.547661118667538</v>
      </c>
      <c r="BB78" s="132">
        <f>AY76*SIN(RADIANS(AY75-AY79))+IF($G$45=0,10000,0)</f>
        <v>22.48691299045721</v>
      </c>
      <c r="BC78" s="71"/>
    </row>
    <row r="79" spans="1:55" s="25" customFormat="1" ht="15" customHeight="1" x14ac:dyDescent="0.2">
      <c r="A79" s="36"/>
      <c r="B79" s="36"/>
      <c r="C79" s="36"/>
      <c r="D79" s="36"/>
      <c r="E79" s="36"/>
      <c r="F79" s="36"/>
      <c r="G79" s="36"/>
      <c r="H79" s="36"/>
      <c r="I79" s="36"/>
      <c r="J79" s="36"/>
      <c r="K79" s="36"/>
      <c r="L79" s="36"/>
      <c r="M79" s="36"/>
      <c r="N79" s="36"/>
      <c r="O79" s="36"/>
      <c r="P79" s="24"/>
      <c r="Q79" s="25">
        <v>19</v>
      </c>
      <c r="R79" s="72">
        <v>-0.13067822578749813</v>
      </c>
      <c r="S79" s="72">
        <v>-1.7376864933414837</v>
      </c>
      <c r="T79" s="72">
        <v>60.069004058837891</v>
      </c>
      <c r="U79" s="72">
        <v>1.7425932250058791</v>
      </c>
      <c r="V79" s="72">
        <v>2.1782415312573489E-3</v>
      </c>
      <c r="W79" s="72">
        <v>0.23372392302667308</v>
      </c>
      <c r="X79" s="72">
        <v>4.1588548290658505</v>
      </c>
      <c r="Y79" s="72">
        <v>5.1985685363323134E-3</v>
      </c>
      <c r="Z79" s="72">
        <v>2.2547662992654951</v>
      </c>
      <c r="AA79" s="72">
        <v>2.8184578740818689E-3</v>
      </c>
      <c r="AB79" s="72">
        <v>19</v>
      </c>
      <c r="AC79" s="237">
        <f t="shared" si="0"/>
        <v>32.246471654994814</v>
      </c>
      <c r="AD79" s="237">
        <f t="shared" si="1"/>
        <v>20.114585274976424</v>
      </c>
      <c r="AF79" s="120">
        <f t="shared" si="13"/>
        <v>270</v>
      </c>
      <c r="AG79" s="121">
        <f t="shared" si="2"/>
        <v>2.9999999999999925</v>
      </c>
      <c r="AH79" s="121">
        <f t="shared" si="3"/>
        <v>-39</v>
      </c>
      <c r="AI79" s="121">
        <f t="shared" si="4"/>
        <v>2.9999999999999964</v>
      </c>
      <c r="AJ79" s="122">
        <f t="shared" si="5"/>
        <v>-19</v>
      </c>
      <c r="AK79" s="121">
        <f t="shared" si="6"/>
        <v>2.9999999999999942</v>
      </c>
      <c r="AL79" s="121">
        <f t="shared" si="7"/>
        <v>-31.4</v>
      </c>
      <c r="AM79" s="121">
        <f t="shared" si="8"/>
        <v>2.9999999999999987</v>
      </c>
      <c r="AN79" s="121">
        <f t="shared" si="9"/>
        <v>-5.6</v>
      </c>
      <c r="AO79" s="105">
        <f t="shared" si="10"/>
        <v>2.9999999999999898</v>
      </c>
      <c r="AP79" s="122">
        <f t="shared" si="11"/>
        <v>-55.000000000000007</v>
      </c>
      <c r="AQ79" s="121"/>
      <c r="AR79" s="226"/>
      <c r="AS79" s="226"/>
      <c r="AT79" s="226"/>
      <c r="AU79" s="226"/>
      <c r="AW79" s="134"/>
      <c r="AX79" s="135" t="s">
        <v>41</v>
      </c>
      <c r="AY79" s="136">
        <f>($J$63+10)*(3/150)</f>
        <v>1.32</v>
      </c>
      <c r="AZ79" s="137"/>
      <c r="BA79" s="138">
        <f>BA76</f>
        <v>18.667619023324857</v>
      </c>
      <c r="BB79" s="139">
        <f>BB76</f>
        <v>18.667619023324853</v>
      </c>
      <c r="BC79" s="71"/>
    </row>
    <row r="80" spans="1:55" s="25" customFormat="1" ht="15" customHeight="1" x14ac:dyDescent="0.2">
      <c r="A80" s="36"/>
      <c r="B80" s="36"/>
      <c r="C80" s="36"/>
      <c r="D80" s="36"/>
      <c r="E80" s="36"/>
      <c r="F80" s="36"/>
      <c r="G80" s="36"/>
      <c r="H80" s="36"/>
      <c r="I80" s="36"/>
      <c r="J80" s="36"/>
      <c r="K80" s="36"/>
      <c r="L80" s="36"/>
      <c r="M80" s="36"/>
      <c r="N80" s="36"/>
      <c r="O80" s="36"/>
      <c r="P80" s="24"/>
      <c r="Q80" s="25">
        <v>20</v>
      </c>
      <c r="R80" s="72">
        <v>-0.35724113556103348</v>
      </c>
      <c r="S80" s="72">
        <v>-1.8156249923020267</v>
      </c>
      <c r="T80" s="72">
        <v>60.076663970947266</v>
      </c>
      <c r="U80" s="72">
        <v>1.8504365273115073</v>
      </c>
      <c r="V80" s="72">
        <v>2.3130456591393843E-3</v>
      </c>
      <c r="W80" s="72">
        <v>0.24545552698885251</v>
      </c>
      <c r="X80" s="72">
        <v>4.3816449125390031</v>
      </c>
      <c r="Y80" s="72">
        <v>5.477056140673754E-3</v>
      </c>
      <c r="Z80" s="72">
        <v>2.4943596170658218</v>
      </c>
      <c r="AA80" s="72">
        <v>3.1179495213322773E-3</v>
      </c>
      <c r="AB80" s="72">
        <v>20</v>
      </c>
      <c r="AC80" s="237">
        <f t="shared" si="0"/>
        <v>32.485971821958728</v>
      </c>
      <c r="AD80" s="237">
        <f t="shared" si="1"/>
        <v>20.354172229822598</v>
      </c>
      <c r="AF80" s="120">
        <f t="shared" si="13"/>
        <v>285</v>
      </c>
      <c r="AG80" s="121">
        <f t="shared" si="2"/>
        <v>13.352761804100812</v>
      </c>
      <c r="AH80" s="121">
        <f t="shared" si="3"/>
        <v>-37.637033051562739</v>
      </c>
      <c r="AI80" s="121">
        <f t="shared" si="4"/>
        <v>8.1763809020504059</v>
      </c>
      <c r="AJ80" s="122">
        <f t="shared" si="5"/>
        <v>-18.318516525781369</v>
      </c>
      <c r="AK80" s="121">
        <f t="shared" si="6"/>
        <v>11.385737061321658</v>
      </c>
      <c r="AL80" s="121">
        <f t="shared" si="7"/>
        <v>-30.295996771765815</v>
      </c>
      <c r="AM80" s="121">
        <f t="shared" si="8"/>
        <v>4.7082056976766342</v>
      </c>
      <c r="AN80" s="121">
        <f t="shared" si="9"/>
        <v>-5.3751104535078511</v>
      </c>
      <c r="AO80" s="105">
        <f t="shared" si="10"/>
        <v>17.49386652574114</v>
      </c>
      <c r="AP80" s="122">
        <f t="shared" si="11"/>
        <v>-53.091846272187837</v>
      </c>
      <c r="AQ80" s="121"/>
      <c r="AR80" s="226"/>
      <c r="AS80" s="226"/>
      <c r="AT80" s="226"/>
      <c r="AU80" s="226"/>
      <c r="AW80" s="123" t="s">
        <v>34</v>
      </c>
      <c r="AX80" s="124"/>
      <c r="AY80" s="124">
        <f>K49</f>
        <v>200</v>
      </c>
      <c r="AZ80" s="125" t="s">
        <v>29</v>
      </c>
      <c r="BA80" s="126">
        <f>AY82*COS(RADIANS(AY80))</f>
        <v>-41.346475314579969</v>
      </c>
      <c r="BB80" s="127">
        <f>AY82*SIN(RADIANS(AY80))+IF($G$49=0,10000,0)</f>
        <v>-15.048886306329422</v>
      </c>
      <c r="BC80" s="71"/>
    </row>
    <row r="81" spans="1:55" s="25" customFormat="1" ht="15" customHeight="1" x14ac:dyDescent="0.2">
      <c r="A81" s="36"/>
      <c r="B81" s="36"/>
      <c r="C81" s="36"/>
      <c r="D81" s="36"/>
      <c r="E81" s="36"/>
      <c r="F81" s="36"/>
      <c r="G81" s="36"/>
      <c r="H81" s="36"/>
      <c r="I81" s="36"/>
      <c r="J81" s="36"/>
      <c r="K81" s="36"/>
      <c r="L81" s="36"/>
      <c r="M81" s="36"/>
      <c r="N81" s="36"/>
      <c r="O81" s="36"/>
      <c r="P81" s="24"/>
      <c r="Q81" s="25">
        <v>21</v>
      </c>
      <c r="R81" s="72">
        <v>-0.59489540211148706</v>
      </c>
      <c r="S81" s="72">
        <v>-1.8973073946143144</v>
      </c>
      <c r="T81" s="72">
        <v>60.084732055664062</v>
      </c>
      <c r="U81" s="72">
        <v>1.9883852466540648</v>
      </c>
      <c r="V81" s="72">
        <v>2.4854815583175809E-3</v>
      </c>
      <c r="W81" s="72">
        <v>0.25713605401113815</v>
      </c>
      <c r="X81" s="72">
        <v>4.6171054883995337</v>
      </c>
      <c r="Y81" s="72">
        <v>5.7713818604994173E-3</v>
      </c>
      <c r="Z81" s="72">
        <v>2.7456588841895244</v>
      </c>
      <c r="AA81" s="72">
        <v>3.4320736052369056E-3</v>
      </c>
      <c r="AB81" s="72">
        <v>21</v>
      </c>
      <c r="AC81" s="237">
        <f t="shared" si="0"/>
        <v>32.737176757911769</v>
      </c>
      <c r="AD81" s="237">
        <f t="shared" si="1"/>
        <v>20.605464522163818</v>
      </c>
      <c r="AF81" s="120">
        <f t="shared" si="13"/>
        <v>300</v>
      </c>
      <c r="AG81" s="121">
        <f t="shared" si="2"/>
        <v>23.000000000000004</v>
      </c>
      <c r="AH81" s="121">
        <f t="shared" si="3"/>
        <v>-33.641016151377542</v>
      </c>
      <c r="AI81" s="121">
        <f t="shared" si="4"/>
        <v>13.000000000000002</v>
      </c>
      <c r="AJ81" s="122">
        <f t="shared" si="5"/>
        <v>-16.320508075688771</v>
      </c>
      <c r="AK81" s="121">
        <f t="shared" si="6"/>
        <v>19.200000000000003</v>
      </c>
      <c r="AL81" s="121">
        <f t="shared" si="7"/>
        <v>-27.059223082615809</v>
      </c>
      <c r="AM81" s="121">
        <f t="shared" si="8"/>
        <v>6.3000000000000007</v>
      </c>
      <c r="AN81" s="121">
        <f t="shared" si="9"/>
        <v>-4.7157676649772942</v>
      </c>
      <c r="AO81" s="105">
        <f t="shared" si="10"/>
        <v>31.000000000000011</v>
      </c>
      <c r="AP81" s="122">
        <f t="shared" si="11"/>
        <v>-47.49742261192857</v>
      </c>
      <c r="AQ81" s="121"/>
      <c r="AR81" s="226"/>
      <c r="AS81" s="226"/>
      <c r="AT81" s="226"/>
      <c r="AU81" s="226"/>
      <c r="AW81" s="128"/>
      <c r="AX81" s="129" t="s">
        <v>38</v>
      </c>
      <c r="AY81" s="129">
        <f>AY83+(14/150)*($J$63+10)</f>
        <v>32.56</v>
      </c>
      <c r="AZ81" s="130"/>
      <c r="BA81" s="131">
        <f>AY83*COS(RADIANS(AY80))</f>
        <v>-24.807885188747985</v>
      </c>
      <c r="BB81" s="132">
        <f>AY83*SIN(RADIANS(AY80))+IF($G$49=0,10000,0)</f>
        <v>-9.0293317837976534</v>
      </c>
      <c r="BC81" s="71"/>
    </row>
    <row r="82" spans="1:55" s="25" customFormat="1" ht="15" customHeight="1" x14ac:dyDescent="0.2">
      <c r="A82" s="36"/>
      <c r="B82" s="36"/>
      <c r="C82" s="36"/>
      <c r="D82" s="36"/>
      <c r="E82" s="36"/>
      <c r="F82" s="36"/>
      <c r="G82" s="36"/>
      <c r="H82" s="36"/>
      <c r="I82" s="36"/>
      <c r="J82" s="36"/>
      <c r="K82" s="36"/>
      <c r="L82" s="36"/>
      <c r="M82" s="36"/>
      <c r="N82" s="36"/>
      <c r="O82" s="36"/>
      <c r="P82" s="24"/>
      <c r="Q82" s="25">
        <v>22</v>
      </c>
      <c r="R82" s="72">
        <v>-0.84359488589863951</v>
      </c>
      <c r="S82" s="72">
        <v>-1.9827118510240891</v>
      </c>
      <c r="T82" s="72">
        <v>60.093208312988281</v>
      </c>
      <c r="U82" s="72">
        <v>2.1547154372922908</v>
      </c>
      <c r="V82" s="72">
        <v>2.6933942966153633E-3</v>
      </c>
      <c r="W82" s="72">
        <v>0.2687662183495042</v>
      </c>
      <c r="X82" s="72">
        <v>4.8651610079365017</v>
      </c>
      <c r="Y82" s="72">
        <v>6.0814512599206274E-3</v>
      </c>
      <c r="Z82" s="72">
        <v>3.0086133778290769</v>
      </c>
      <c r="AA82" s="72">
        <v>3.7607667222863462E-3</v>
      </c>
      <c r="AB82" s="72">
        <v>22</v>
      </c>
      <c r="AC82" s="237">
        <f t="shared" si="0"/>
        <v>33.000036028707342</v>
      </c>
      <c r="AD82" s="237">
        <f t="shared" si="1"/>
        <v>20.868411411688566</v>
      </c>
      <c r="AF82" s="120">
        <f t="shared" si="13"/>
        <v>315</v>
      </c>
      <c r="AG82" s="121">
        <f t="shared" si="2"/>
        <v>31.284271247461895</v>
      </c>
      <c r="AH82" s="121">
        <f t="shared" si="3"/>
        <v>-27.284271247461909</v>
      </c>
      <c r="AI82" s="121">
        <f t="shared" si="4"/>
        <v>17.142135623730947</v>
      </c>
      <c r="AJ82" s="122">
        <f t="shared" si="5"/>
        <v>-13.142135623730955</v>
      </c>
      <c r="AK82" s="121">
        <f t="shared" si="6"/>
        <v>25.910259710444134</v>
      </c>
      <c r="AL82" s="121">
        <f t="shared" si="7"/>
        <v>-21.910259710444144</v>
      </c>
      <c r="AM82" s="121">
        <f t="shared" si="8"/>
        <v>7.6669047558312124</v>
      </c>
      <c r="AN82" s="121">
        <f t="shared" si="9"/>
        <v>-3.6669047558312142</v>
      </c>
      <c r="AO82" s="105">
        <f t="shared" si="10"/>
        <v>42.597979746446654</v>
      </c>
      <c r="AP82" s="122">
        <f t="shared" si="11"/>
        <v>-38.597979746446676</v>
      </c>
      <c r="AQ82" s="121"/>
      <c r="AR82" s="226"/>
      <c r="AS82" s="226"/>
      <c r="AT82" s="226"/>
      <c r="AU82" s="226"/>
      <c r="AW82" s="128"/>
      <c r="AX82" s="129" t="s">
        <v>39</v>
      </c>
      <c r="AY82" s="133">
        <f>($J$63+10)*(100/150)</f>
        <v>44</v>
      </c>
      <c r="AZ82" s="130"/>
      <c r="BA82" s="131">
        <f>AY81*COS(RADIANS(AY80+AY84))</f>
        <v>-30.331735959697301</v>
      </c>
      <c r="BB82" s="132">
        <f>AY81*SIN(RADIANS(AY80+AY84))+IF($G$49=0,10000,0)</f>
        <v>-11.838048558407156</v>
      </c>
      <c r="BC82" s="71"/>
    </row>
    <row r="83" spans="1:55" s="25" customFormat="1" ht="15" customHeight="1" x14ac:dyDescent="0.2">
      <c r="A83" s="36"/>
      <c r="B83" s="36"/>
      <c r="C83" s="36"/>
      <c r="D83" s="36"/>
      <c r="E83" s="36"/>
      <c r="F83" s="36"/>
      <c r="G83" s="36"/>
      <c r="H83" s="36"/>
      <c r="I83" s="36"/>
      <c r="J83" s="36"/>
      <c r="K83" s="36"/>
      <c r="L83" s="36"/>
      <c r="M83" s="36"/>
      <c r="N83" s="36"/>
      <c r="O83" s="36"/>
      <c r="P83" s="24"/>
      <c r="Q83" s="25">
        <v>23</v>
      </c>
      <c r="R83" s="72">
        <v>-1.1032940919170451</v>
      </c>
      <c r="S83" s="72">
        <v>-2.0718167925014264</v>
      </c>
      <c r="T83" s="72">
        <v>60.102092742919922</v>
      </c>
      <c r="U83" s="72">
        <v>2.3472713253797388</v>
      </c>
      <c r="V83" s="72">
        <v>2.9340891567246736E-3</v>
      </c>
      <c r="W83" s="72">
        <v>0.28034671100956615</v>
      </c>
      <c r="X83" s="72">
        <v>5.1257273446268163</v>
      </c>
      <c r="Y83" s="72">
        <v>6.40715918078352E-3</v>
      </c>
      <c r="Z83" s="72">
        <v>3.2831730776209898</v>
      </c>
      <c r="AA83" s="72">
        <v>4.1039663470262373E-3</v>
      </c>
      <c r="AB83" s="72">
        <v>23</v>
      </c>
      <c r="AC83" s="237">
        <f t="shared" si="0"/>
        <v>33.274499891620486</v>
      </c>
      <c r="AD83" s="237">
        <f t="shared" si="1"/>
        <v>21.142962862233617</v>
      </c>
      <c r="AF83" s="120">
        <f>AF82+15</f>
        <v>330</v>
      </c>
      <c r="AG83" s="121">
        <f t="shared" si="2"/>
        <v>37.641016151377535</v>
      </c>
      <c r="AH83" s="121">
        <f t="shared" si="3"/>
        <v>-19.000000000000018</v>
      </c>
      <c r="AI83" s="121">
        <f t="shared" si="4"/>
        <v>20.320508075688767</v>
      </c>
      <c r="AJ83" s="122">
        <f t="shared" si="5"/>
        <v>-9.0000000000000089</v>
      </c>
      <c r="AK83" s="121">
        <f t="shared" si="6"/>
        <v>31.059223082615802</v>
      </c>
      <c r="AL83" s="121">
        <f t="shared" si="7"/>
        <v>-15.200000000000014</v>
      </c>
      <c r="AM83" s="121">
        <f t="shared" si="8"/>
        <v>8.7157676649772924</v>
      </c>
      <c r="AN83" s="121">
        <f t="shared" si="9"/>
        <v>-2.3000000000000029</v>
      </c>
      <c r="AO83" s="105">
        <f t="shared" si="10"/>
        <v>51.497422611928556</v>
      </c>
      <c r="AP83" s="122">
        <f t="shared" si="11"/>
        <v>-27.000000000000028</v>
      </c>
      <c r="AQ83" s="121"/>
      <c r="AR83" s="226"/>
      <c r="AS83" s="226"/>
      <c r="AT83" s="226"/>
      <c r="AU83" s="226"/>
      <c r="AW83" s="128"/>
      <c r="AX83" s="129" t="s">
        <v>40</v>
      </c>
      <c r="AY83" s="133">
        <f>($J$63+10)*(60/150)</f>
        <v>26.400000000000002</v>
      </c>
      <c r="AZ83" s="130"/>
      <c r="BA83" s="131">
        <f>AY81*COS(RADIANS(AY80-AY84))</f>
        <v>-30.844808718289922</v>
      </c>
      <c r="BB83" s="132">
        <f>AY81*SIN(RADIANS(AY80-AY84))+IF($G$49=0,10000,0)</f>
        <v>-10.428392739636642</v>
      </c>
      <c r="BC83" s="71"/>
    </row>
    <row r="84" spans="1:55" s="25" customFormat="1" ht="15" customHeight="1" x14ac:dyDescent="0.2">
      <c r="A84" s="36"/>
      <c r="B84" s="36"/>
      <c r="C84" s="36"/>
      <c r="D84" s="36"/>
      <c r="E84" s="36"/>
      <c r="F84" s="36"/>
      <c r="G84" s="36"/>
      <c r="H84" s="36"/>
      <c r="I84" s="36"/>
      <c r="J84" s="36"/>
      <c r="K84" s="36"/>
      <c r="L84" s="36"/>
      <c r="M84" s="36"/>
      <c r="N84" s="36"/>
      <c r="O84" s="36"/>
      <c r="P84" s="24"/>
      <c r="Q84" s="25">
        <v>24</v>
      </c>
      <c r="R84" s="72">
        <v>-1.3739481524623969</v>
      </c>
      <c r="S84" s="72">
        <v>-2.1646009086740681</v>
      </c>
      <c r="T84" s="72">
        <v>60.111373901367188</v>
      </c>
      <c r="U84" s="72">
        <v>2.5638312384959026</v>
      </c>
      <c r="V84" s="72">
        <v>3.2047890481198783E-3</v>
      </c>
      <c r="W84" s="72">
        <v>0.29187819958054612</v>
      </c>
      <c r="X84" s="72">
        <v>5.398714787021996</v>
      </c>
      <c r="Y84" s="72">
        <v>6.7483934837774947E-3</v>
      </c>
      <c r="Z84" s="72">
        <v>3.5692886422911898</v>
      </c>
      <c r="AA84" s="72">
        <v>4.4616108028639875E-3</v>
      </c>
      <c r="AB84" s="72">
        <v>24</v>
      </c>
      <c r="AC84" s="237">
        <f t="shared" si="0"/>
        <v>33.560519271908625</v>
      </c>
      <c r="AD84" s="237">
        <f t="shared" si="1"/>
        <v>21.429069518331175</v>
      </c>
      <c r="AF84" s="120">
        <f>AF83+15</f>
        <v>345</v>
      </c>
      <c r="AG84" s="121">
        <f t="shared" si="2"/>
        <v>41.637033051562732</v>
      </c>
      <c r="AH84" s="121">
        <f t="shared" si="3"/>
        <v>-9.3527618041008278</v>
      </c>
      <c r="AI84" s="121">
        <f t="shared" si="4"/>
        <v>22.318516525781366</v>
      </c>
      <c r="AJ84" s="122">
        <f t="shared" si="5"/>
        <v>-4.1763809020504139</v>
      </c>
      <c r="AK84" s="121">
        <f t="shared" si="6"/>
        <v>34.295996771765815</v>
      </c>
      <c r="AL84" s="121">
        <f t="shared" si="7"/>
        <v>-7.3857370613216702</v>
      </c>
      <c r="AM84" s="121">
        <f t="shared" si="8"/>
        <v>9.3751104535078511</v>
      </c>
      <c r="AN84" s="121">
        <f t="shared" si="9"/>
        <v>-0.70820569767663644</v>
      </c>
      <c r="AO84" s="105">
        <f t="shared" si="10"/>
        <v>57.09184627218783</v>
      </c>
      <c r="AP84" s="122">
        <f t="shared" si="11"/>
        <v>-13.49386652574116</v>
      </c>
      <c r="AQ84" s="121"/>
      <c r="AR84" s="226"/>
      <c r="AS84" s="226"/>
      <c r="AT84" s="226"/>
      <c r="AU84" s="226"/>
      <c r="AW84" s="134"/>
      <c r="AX84" s="135" t="s">
        <v>41</v>
      </c>
      <c r="AY84" s="136">
        <f>($J$63+10)*(3/150)</f>
        <v>1.32</v>
      </c>
      <c r="AZ84" s="137"/>
      <c r="BA84" s="138">
        <f>BA81</f>
        <v>-24.807885188747985</v>
      </c>
      <c r="BB84" s="139">
        <f>BB81</f>
        <v>-9.0293317837976534</v>
      </c>
      <c r="BC84" s="71"/>
    </row>
    <row r="85" spans="1:55" s="25" customFormat="1" ht="15" customHeight="1" x14ac:dyDescent="0.2">
      <c r="A85" s="36"/>
      <c r="B85" s="36"/>
      <c r="C85" s="36"/>
      <c r="D85" s="36"/>
      <c r="E85" s="36"/>
      <c r="F85" s="36"/>
      <c r="G85" s="36"/>
      <c r="H85" s="36"/>
      <c r="I85" s="36"/>
      <c r="J85" s="36"/>
      <c r="K85" s="36"/>
      <c r="L85" s="36"/>
      <c r="M85" s="36"/>
      <c r="N85" s="36"/>
      <c r="O85" s="36"/>
      <c r="P85" s="24"/>
      <c r="Q85" s="25">
        <v>25</v>
      </c>
      <c r="R85" s="72">
        <v>-1.6555128098003202</v>
      </c>
      <c r="S85" s="72">
        <v>-2.2610431259191177</v>
      </c>
      <c r="T85" s="72">
        <v>60.121051788330078</v>
      </c>
      <c r="U85" s="72">
        <v>2.8023273685775982</v>
      </c>
      <c r="V85" s="72">
        <v>3.5029092107219978E-3</v>
      </c>
      <c r="W85" s="72">
        <v>0.30336132803196919</v>
      </c>
      <c r="X85" s="72">
        <v>5.6840304178742045</v>
      </c>
      <c r="Y85" s="72">
        <v>7.1050380223427554E-3</v>
      </c>
      <c r="Z85" s="72">
        <v>3.8669113861119304</v>
      </c>
      <c r="AA85" s="72">
        <v>4.8336392326399132E-3</v>
      </c>
      <c r="AB85" s="72">
        <v>25</v>
      </c>
      <c r="AC85" s="237">
        <f t="shared" si="0"/>
        <v>33.858045739247487</v>
      </c>
      <c r="AD85" s="237">
        <f t="shared" si="1"/>
        <v>21.726682681547324</v>
      </c>
      <c r="AF85" s="140">
        <v>360</v>
      </c>
      <c r="AG85" s="141">
        <f t="shared" si="2"/>
        <v>43</v>
      </c>
      <c r="AH85" s="141">
        <f t="shared" si="3"/>
        <v>0.99999999999999023</v>
      </c>
      <c r="AI85" s="141">
        <f t="shared" si="4"/>
        <v>23</v>
      </c>
      <c r="AJ85" s="142">
        <f t="shared" si="5"/>
        <v>0.99999999999999512</v>
      </c>
      <c r="AK85" s="141">
        <f t="shared" si="6"/>
        <v>35.4</v>
      </c>
      <c r="AL85" s="141">
        <f t="shared" si="7"/>
        <v>0.99999999999999201</v>
      </c>
      <c r="AM85" s="141">
        <f t="shared" si="8"/>
        <v>9.6</v>
      </c>
      <c r="AN85" s="234">
        <f t="shared" si="9"/>
        <v>0.99999999999999833</v>
      </c>
      <c r="AO85" s="106">
        <f t="shared" si="10"/>
        <v>59.000000000000007</v>
      </c>
      <c r="AP85" s="142">
        <f t="shared" si="11"/>
        <v>0.99999999999998623</v>
      </c>
      <c r="AQ85" s="121"/>
      <c r="AR85" s="226"/>
      <c r="AS85" s="226"/>
      <c r="AT85" s="226"/>
      <c r="AU85" s="226"/>
      <c r="AW85" s="102"/>
      <c r="BC85" s="71"/>
    </row>
    <row r="86" spans="1:55" s="25" customFormat="1" ht="15" customHeight="1" x14ac:dyDescent="0.2">
      <c r="A86" s="36"/>
      <c r="B86" s="36"/>
      <c r="C86" s="36"/>
      <c r="D86" s="36"/>
      <c r="E86" s="36"/>
      <c r="F86" s="36"/>
      <c r="G86" s="36"/>
      <c r="H86" s="36"/>
      <c r="I86" s="36"/>
      <c r="J86" s="36"/>
      <c r="K86" s="36"/>
      <c r="L86" s="36"/>
      <c r="M86" s="36"/>
      <c r="N86" s="36"/>
      <c r="O86" s="36"/>
      <c r="P86" s="24"/>
      <c r="Q86" s="25">
        <v>26</v>
      </c>
      <c r="R86" s="72">
        <v>-1.9479443987089236</v>
      </c>
      <c r="S86" s="72">
        <v>-2.3611225850783999</v>
      </c>
      <c r="T86" s="72">
        <v>60.131118774414063</v>
      </c>
      <c r="U86" s="72">
        <v>3.060945481747229</v>
      </c>
      <c r="V86" s="72">
        <v>3.8261818521840361E-3</v>
      </c>
      <c r="W86" s="72">
        <v>0.31479671647143564</v>
      </c>
      <c r="X86" s="72">
        <v>5.9815799588937297</v>
      </c>
      <c r="Y86" s="72">
        <v>7.4769749486171622E-3</v>
      </c>
      <c r="Z86" s="72">
        <v>4.1759932551319654</v>
      </c>
      <c r="AA86" s="72">
        <v>5.219991568914957E-3</v>
      </c>
      <c r="AB86" s="72">
        <v>26</v>
      </c>
      <c r="AC86" s="237">
        <f t="shared" si="0"/>
        <v>34.167031484000162</v>
      </c>
      <c r="AD86" s="237">
        <f t="shared" si="1"/>
        <v>22.035754286576353</v>
      </c>
      <c r="AK86" s="72"/>
      <c r="AS86" s="102"/>
      <c r="AY86" s="71"/>
      <c r="AZ86" s="72"/>
      <c r="BA86" s="74"/>
      <c r="BB86" s="72"/>
      <c r="BC86" s="72"/>
    </row>
    <row r="87" spans="1:55" s="25" customFormat="1" ht="15" customHeight="1" x14ac:dyDescent="0.2">
      <c r="A87" s="36"/>
      <c r="B87" s="36"/>
      <c r="C87" s="36"/>
      <c r="D87" s="36"/>
      <c r="E87" s="36"/>
      <c r="F87" s="36"/>
      <c r="G87" s="36"/>
      <c r="H87" s="36"/>
      <c r="I87" s="36"/>
      <c r="J87" s="36"/>
      <c r="K87" s="36"/>
      <c r="L87" s="36"/>
      <c r="M87" s="36"/>
      <c r="N87" s="36"/>
      <c r="O87" s="36"/>
      <c r="P87" s="24"/>
      <c r="Q87" s="25">
        <v>27</v>
      </c>
      <c r="R87" s="72">
        <v>-2.2511998288652282</v>
      </c>
      <c r="S87" s="72">
        <v>-2.4648186187607197</v>
      </c>
      <c r="T87" s="72">
        <v>60.141567230224609</v>
      </c>
      <c r="U87" s="72">
        <v>3.3381479135700887</v>
      </c>
      <c r="V87" s="72">
        <v>4.1726848919626108E-3</v>
      </c>
      <c r="W87" s="72">
        <v>0.32618496086170218</v>
      </c>
      <c r="X87" s="72">
        <v>6.2912691647699477</v>
      </c>
      <c r="Y87" s="72">
        <v>7.8640864559624338E-3</v>
      </c>
      <c r="Z87" s="72">
        <v>4.4964868031399599</v>
      </c>
      <c r="AA87" s="72">
        <v>5.6206085039249495E-3</v>
      </c>
      <c r="AB87" s="72">
        <v>27</v>
      </c>
      <c r="AC87" s="237">
        <f t="shared" si="0"/>
        <v>34.487429293275291</v>
      </c>
      <c r="AD87" s="237">
        <f t="shared" si="1"/>
        <v>22.356236877053838</v>
      </c>
      <c r="AF87" s="143" t="s">
        <v>92</v>
      </c>
      <c r="AG87" s="144"/>
      <c r="AH87" s="145"/>
      <c r="AJ87" s="103" t="s">
        <v>87</v>
      </c>
      <c r="AK87" s="80"/>
      <c r="AS87" s="102"/>
      <c r="AY87" s="71"/>
      <c r="AZ87" s="72"/>
      <c r="BA87" s="74"/>
      <c r="BB87" s="72"/>
      <c r="BC87" s="72"/>
    </row>
    <row r="88" spans="1:55" s="25" customFormat="1" ht="15" customHeight="1" x14ac:dyDescent="0.2">
      <c r="A88" s="36"/>
      <c r="B88" s="36"/>
      <c r="C88" s="36"/>
      <c r="D88" s="36"/>
      <c r="E88" s="36"/>
      <c r="F88" s="36"/>
      <c r="G88" s="36"/>
      <c r="H88" s="36"/>
      <c r="I88" s="36"/>
      <c r="J88" s="36"/>
      <c r="K88" s="36"/>
      <c r="L88" s="36"/>
      <c r="M88" s="36"/>
      <c r="N88" s="36"/>
      <c r="O88" s="36"/>
      <c r="P88" s="24"/>
      <c r="Q88" s="25">
        <v>28</v>
      </c>
      <c r="R88" s="72">
        <v>-2.5652365670443205</v>
      </c>
      <c r="S88" s="72">
        <v>-2.5721107281919968</v>
      </c>
      <c r="T88" s="72">
        <v>60.152393341064453</v>
      </c>
      <c r="U88" s="72">
        <v>3.6326563618076642</v>
      </c>
      <c r="V88" s="72">
        <v>4.5408204522595806E-3</v>
      </c>
      <c r="W88" s="72">
        <v>0.33752663269519623</v>
      </c>
      <c r="X88" s="72">
        <v>6.6130048466360289</v>
      </c>
      <c r="Y88" s="72">
        <v>8.2662560582950368E-3</v>
      </c>
      <c r="Z88" s="72">
        <v>4.8283451673192319</v>
      </c>
      <c r="AA88" s="72">
        <v>6.0354314591490399E-3</v>
      </c>
      <c r="AB88" s="72">
        <v>28</v>
      </c>
      <c r="AC88" s="237">
        <f t="shared" si="0"/>
        <v>34.819192526728472</v>
      </c>
      <c r="AD88" s="237">
        <f t="shared" si="1"/>
        <v>22.688083581049192</v>
      </c>
      <c r="AF88" s="143" t="s">
        <v>93</v>
      </c>
      <c r="AG88" s="146">
        <f>J63/$G$13</f>
        <v>7.0000000000000007E-2</v>
      </c>
      <c r="AH88" s="145">
        <v>0</v>
      </c>
      <c r="AJ88" s="105">
        <v>0</v>
      </c>
      <c r="AK88" s="242">
        <f>MAX(J63,J68)*1.5</f>
        <v>84.000000000000014</v>
      </c>
      <c r="AS88" s="102"/>
      <c r="AY88" s="71"/>
      <c r="AZ88" s="72"/>
      <c r="BA88" s="74"/>
      <c r="BB88" s="72"/>
      <c r="BC88" s="72"/>
    </row>
    <row r="89" spans="1:55" s="25" customFormat="1" ht="15" customHeight="1" x14ac:dyDescent="0.2">
      <c r="A89" s="36"/>
      <c r="B89" s="36"/>
      <c r="C89" s="36"/>
      <c r="D89" s="36"/>
      <c r="E89" s="36"/>
      <c r="F89" s="36"/>
      <c r="G89" s="36"/>
      <c r="H89" s="36"/>
      <c r="I89" s="36"/>
      <c r="J89" s="36"/>
      <c r="K89" s="36"/>
      <c r="L89" s="36"/>
      <c r="M89" s="36"/>
      <c r="N89" s="36"/>
      <c r="O89" s="36"/>
      <c r="P89" s="24"/>
      <c r="Q89" s="25">
        <v>29</v>
      </c>
      <c r="R89" s="72">
        <v>-2.8900126190987563</v>
      </c>
      <c r="S89" s="72">
        <v>-2.6829785595717612</v>
      </c>
      <c r="T89" s="72">
        <v>60.163581848144531</v>
      </c>
      <c r="U89" s="72">
        <v>3.9434181733201736</v>
      </c>
      <c r="V89" s="72">
        <v>4.9292727166502168E-3</v>
      </c>
      <c r="W89" s="72">
        <v>0.34882227862397647</v>
      </c>
      <c r="X89" s="72">
        <v>6.9466955974339255</v>
      </c>
      <c r="Y89" s="72">
        <v>8.6833694967924074E-3</v>
      </c>
      <c r="Z89" s="72">
        <v>5.1715220435499765</v>
      </c>
      <c r="AA89" s="72">
        <v>6.4644025544374709E-3</v>
      </c>
      <c r="AB89" s="72">
        <v>29</v>
      </c>
      <c r="AC89" s="237">
        <f t="shared" si="0"/>
        <v>35.162275092058323</v>
      </c>
      <c r="AD89" s="237">
        <f t="shared" si="1"/>
        <v>23.031248086196225</v>
      </c>
      <c r="AF89" s="147"/>
      <c r="AG89" s="148">
        <f>J63/$G$13</f>
        <v>7.0000000000000007E-2</v>
      </c>
      <c r="AH89" s="149">
        <f>M63</f>
        <v>98</v>
      </c>
      <c r="AJ89" s="106">
        <v>0</v>
      </c>
      <c r="AK89" s="110">
        <f>-AK88</f>
        <v>-84.000000000000014</v>
      </c>
      <c r="AS89" s="102"/>
      <c r="AY89" s="71"/>
      <c r="AZ89" s="72"/>
      <c r="BA89" s="74"/>
      <c r="BB89" s="72"/>
      <c r="BC89" s="72"/>
    </row>
    <row r="90" spans="1:55" s="25" customFormat="1" ht="15" customHeight="1" x14ac:dyDescent="0.2">
      <c r="A90" s="36"/>
      <c r="B90" s="36"/>
      <c r="C90" s="36"/>
      <c r="D90" s="36"/>
      <c r="E90" s="36"/>
      <c r="F90" s="36"/>
      <c r="G90" s="36"/>
      <c r="H90" s="36"/>
      <c r="I90" s="36"/>
      <c r="J90" s="36"/>
      <c r="K90" s="36"/>
      <c r="L90" s="36"/>
      <c r="M90" s="36"/>
      <c r="N90" s="36"/>
      <c r="O90" s="36"/>
      <c r="P90" s="24"/>
      <c r="Q90" s="25">
        <v>30</v>
      </c>
      <c r="R90" s="72">
        <v>-3.2254865116843892</v>
      </c>
      <c r="S90" s="72">
        <v>-2.7974018798917228</v>
      </c>
      <c r="T90" s="72">
        <v>60.175128936767578</v>
      </c>
      <c r="U90" s="72">
        <v>4.2695691251787542</v>
      </c>
      <c r="V90" s="72">
        <v>5.3369614064734429E-3</v>
      </c>
      <c r="W90" s="72">
        <v>0.36007242004304413</v>
      </c>
      <c r="X90" s="72">
        <v>7.29225228201613</v>
      </c>
      <c r="Y90" s="72">
        <v>9.1153153525201629E-3</v>
      </c>
      <c r="Z90" s="72">
        <v>5.5259716613129486</v>
      </c>
      <c r="AA90" s="72">
        <v>6.9074645766411856E-3</v>
      </c>
      <c r="AB90" s="72">
        <v>30</v>
      </c>
      <c r="AC90" s="237">
        <f t="shared" si="0"/>
        <v>35.516631420147164</v>
      </c>
      <c r="AD90" s="237">
        <f t="shared" si="1"/>
        <v>23.385684614417983</v>
      </c>
      <c r="AF90" s="143"/>
      <c r="AG90" s="146">
        <f>AG89</f>
        <v>7.0000000000000007E-2</v>
      </c>
      <c r="AH90" s="145">
        <f>AH89</f>
        <v>98</v>
      </c>
      <c r="AK90" s="72"/>
      <c r="AO90" s="102"/>
      <c r="AS90" s="102"/>
      <c r="AY90" s="71"/>
      <c r="AZ90" s="72"/>
      <c r="BA90" s="74"/>
      <c r="BB90" s="72"/>
      <c r="BC90" s="72"/>
    </row>
    <row r="91" spans="1:55" s="25" customFormat="1" ht="15" customHeight="1" x14ac:dyDescent="0.2">
      <c r="A91" s="36"/>
      <c r="B91" s="36"/>
      <c r="C91" s="36"/>
      <c r="D91" s="36"/>
      <c r="E91" s="36"/>
      <c r="F91" s="36"/>
      <c r="G91" s="36"/>
      <c r="H91" s="36"/>
      <c r="I91" s="36"/>
      <c r="J91" s="36"/>
      <c r="K91" s="36"/>
      <c r="L91" s="36"/>
      <c r="M91" s="36"/>
      <c r="N91" s="36"/>
      <c r="O91" s="36"/>
      <c r="P91" s="24"/>
      <c r="Q91" s="25">
        <v>31</v>
      </c>
      <c r="R91" s="72">
        <v>-3.5716172736973766</v>
      </c>
      <c r="S91" s="72">
        <v>-2.9153605521691714</v>
      </c>
      <c r="T91" s="72">
        <v>60.187019348144531</v>
      </c>
      <c r="U91" s="72">
        <v>4.6103988004203735</v>
      </c>
      <c r="V91" s="72">
        <v>5.7629985005254666E-3</v>
      </c>
      <c r="W91" s="72">
        <v>0.37127755262480278</v>
      </c>
      <c r="X91" s="72">
        <v>7.6495883448353101</v>
      </c>
      <c r="Y91" s="72">
        <v>9.5619854310441382E-3</v>
      </c>
      <c r="Z91" s="72">
        <v>5.8916487581464647</v>
      </c>
      <c r="AA91" s="72">
        <v>7.3645609476830805E-3</v>
      </c>
      <c r="AB91" s="72">
        <v>31</v>
      </c>
      <c r="AC91" s="237">
        <f t="shared" si="0"/>
        <v>35.882216439793204</v>
      </c>
      <c r="AD91" s="237">
        <f t="shared" si="1"/>
        <v>23.751347896199569</v>
      </c>
      <c r="AF91" s="147"/>
      <c r="AG91" s="148">
        <v>0</v>
      </c>
      <c r="AH91" s="149">
        <f>AH90</f>
        <v>98</v>
      </c>
      <c r="AK91" s="72"/>
      <c r="AO91" s="102"/>
      <c r="AS91" s="102"/>
      <c r="AY91" s="71"/>
      <c r="AZ91" s="72"/>
      <c r="BA91" s="74"/>
      <c r="BB91" s="72"/>
      <c r="BC91" s="72"/>
    </row>
    <row r="92" spans="1:55" s="25" customFormat="1" ht="15" customHeight="1" x14ac:dyDescent="0.2">
      <c r="A92" s="36"/>
      <c r="B92" s="36"/>
      <c r="C92" s="36"/>
      <c r="D92" s="36"/>
      <c r="E92" s="36"/>
      <c r="F92" s="36"/>
      <c r="G92" s="36"/>
      <c r="H92" s="36"/>
      <c r="I92" s="36"/>
      <c r="J92" s="36"/>
      <c r="K92" s="36"/>
      <c r="L92" s="36"/>
      <c r="M92" s="36"/>
      <c r="N92" s="36"/>
      <c r="O92" s="36"/>
      <c r="P92" s="24"/>
      <c r="Q92" s="25">
        <v>32</v>
      </c>
      <c r="R92" s="72">
        <v>-3.9283644173857128</v>
      </c>
      <c r="S92" s="72">
        <v>-3.0368345100446299</v>
      </c>
      <c r="T92" s="72">
        <v>60.199241638183594</v>
      </c>
      <c r="U92" s="72">
        <v>4.9653208191596443</v>
      </c>
      <c r="V92" s="72">
        <v>6.2066510239495555E-3</v>
      </c>
      <c r="W92" s="72">
        <v>0.38243814580236402</v>
      </c>
      <c r="X92" s="72">
        <v>8.018619978623736</v>
      </c>
      <c r="Y92" s="72">
        <v>1.0023274973279671E-2</v>
      </c>
      <c r="Z92" s="72">
        <v>6.2685085536061758</v>
      </c>
      <c r="AA92" s="72">
        <v>7.835635692007719E-3</v>
      </c>
      <c r="AB92" s="72">
        <v>32</v>
      </c>
      <c r="AC92" s="237">
        <f t="shared" si="0"/>
        <v>36.258985551979627</v>
      </c>
      <c r="AD92" s="237">
        <f t="shared" si="1"/>
        <v>24.128193144360242</v>
      </c>
      <c r="AF92" s="143" t="s">
        <v>148</v>
      </c>
      <c r="AG92" s="146">
        <f>H66</f>
        <v>4.966013813736106E-2</v>
      </c>
      <c r="AH92" s="232">
        <f>M66</f>
        <v>0</v>
      </c>
      <c r="AK92" s="72"/>
      <c r="AO92" s="102"/>
      <c r="AS92" s="102"/>
      <c r="AY92" s="71"/>
      <c r="AZ92" s="72"/>
      <c r="BA92" s="74"/>
      <c r="BB92" s="72"/>
      <c r="BC92" s="72"/>
    </row>
    <row r="93" spans="1:55" s="25" customFormat="1" ht="15" customHeight="1" x14ac:dyDescent="0.2">
      <c r="A93" s="36"/>
      <c r="B93" s="36"/>
      <c r="C93" s="36"/>
      <c r="D93" s="36"/>
      <c r="E93" s="36"/>
      <c r="F93" s="36"/>
      <c r="G93" s="36"/>
      <c r="H93" s="36"/>
      <c r="I93" s="36"/>
      <c r="J93" s="36"/>
      <c r="K93" s="36"/>
      <c r="L93" s="36"/>
      <c r="M93" s="36"/>
      <c r="N93" s="36"/>
      <c r="O93" s="36"/>
      <c r="P93" s="24"/>
      <c r="Q93" s="25">
        <v>33</v>
      </c>
      <c r="R93" s="72">
        <v>-4.2956879190976789</v>
      </c>
      <c r="S93" s="72">
        <v>-3.1618037316906862</v>
      </c>
      <c r="T93" s="72">
        <v>60.211780548095703</v>
      </c>
      <c r="U93" s="72">
        <v>5.3338482858078082</v>
      </c>
      <c r="V93" s="72">
        <v>6.66731035725976E-3</v>
      </c>
      <c r="W93" s="72">
        <v>0.39355464220589809</v>
      </c>
      <c r="X93" s="72">
        <v>8.399266189018082</v>
      </c>
      <c r="Y93" s="72">
        <v>1.0499082736272602E-2</v>
      </c>
      <c r="Z93" s="72">
        <v>6.6565067226755081</v>
      </c>
      <c r="AA93" s="72">
        <v>8.3206334033443848E-3</v>
      </c>
      <c r="AB93" s="72">
        <v>33</v>
      </c>
      <c r="AC93" s="237">
        <f t="shared" si="0"/>
        <v>36.64689460362375</v>
      </c>
      <c r="AD93" s="237">
        <f t="shared" si="1"/>
        <v>24.516176027273996</v>
      </c>
      <c r="AF93" s="147" t="s">
        <v>146</v>
      </c>
      <c r="AG93" s="148">
        <f>AG91</f>
        <v>0</v>
      </c>
      <c r="AH93" s="149">
        <f>AH92</f>
        <v>0</v>
      </c>
      <c r="AK93" s="72"/>
      <c r="AO93" s="102"/>
      <c r="AS93" s="102"/>
      <c r="AY93" s="71"/>
      <c r="AZ93" s="72"/>
      <c r="BA93" s="74"/>
      <c r="BB93" s="72"/>
      <c r="BC93" s="72"/>
    </row>
    <row r="94" spans="1:55" s="25" customFormat="1" ht="15" customHeight="1" x14ac:dyDescent="0.2">
      <c r="A94" s="36"/>
      <c r="B94" s="36"/>
      <c r="C94" s="36"/>
      <c r="D94" s="36"/>
      <c r="E94" s="36"/>
      <c r="F94" s="36"/>
      <c r="G94" s="36"/>
      <c r="H94" s="36"/>
      <c r="I94" s="36"/>
      <c r="J94" s="36"/>
      <c r="K94" s="36"/>
      <c r="L94" s="36"/>
      <c r="M94" s="36"/>
      <c r="N94" s="36"/>
      <c r="O94" s="36"/>
      <c r="P94" s="24"/>
      <c r="Q94" s="25">
        <v>34</v>
      </c>
      <c r="R94" s="72">
        <v>-4.6735482005271169</v>
      </c>
      <c r="S94" s="72">
        <v>-3.2902482147586571</v>
      </c>
      <c r="T94" s="72">
        <v>60.224620819091797</v>
      </c>
      <c r="U94" s="72">
        <v>5.7155739954419964</v>
      </c>
      <c r="V94" s="72">
        <v>7.1444674943024955E-3</v>
      </c>
      <c r="W94" s="72">
        <v>0.40462746235952191</v>
      </c>
      <c r="X94" s="72">
        <v>8.7914487844753317</v>
      </c>
      <c r="Y94" s="72">
        <v>1.0989310980594165E-2</v>
      </c>
      <c r="Z94" s="72">
        <v>7.055599370001385</v>
      </c>
      <c r="AA94" s="72">
        <v>8.8194992125017312E-3</v>
      </c>
      <c r="AB94" s="72">
        <v>34</v>
      </c>
      <c r="AC94" s="237">
        <f t="shared" si="0"/>
        <v>37.045899862142903</v>
      </c>
      <c r="AD94" s="237">
        <f t="shared" si="1"/>
        <v>24.915252642923441</v>
      </c>
      <c r="AF94" s="143"/>
      <c r="AG94" s="146">
        <f>AG92</f>
        <v>4.966013813736106E-2</v>
      </c>
      <c r="AH94" s="145">
        <f>AH93</f>
        <v>0</v>
      </c>
      <c r="AK94" s="72"/>
      <c r="AO94" s="102"/>
      <c r="AS94" s="102"/>
      <c r="AY94" s="71"/>
      <c r="AZ94" s="72"/>
      <c r="BA94" s="74"/>
      <c r="BB94" s="72"/>
      <c r="BC94" s="72"/>
    </row>
    <row r="95" spans="1:55" s="25" customFormat="1" ht="15" customHeight="1" x14ac:dyDescent="0.2">
      <c r="A95" s="36"/>
      <c r="B95" s="36"/>
      <c r="C95" s="36"/>
      <c r="D95" s="36"/>
      <c r="E95" s="36"/>
      <c r="F95" s="36"/>
      <c r="G95" s="36"/>
      <c r="H95" s="36"/>
      <c r="I95" s="36"/>
      <c r="J95" s="36"/>
      <c r="K95" s="36"/>
      <c r="L95" s="36"/>
      <c r="M95" s="36"/>
      <c r="N95" s="36"/>
      <c r="O95" s="36"/>
      <c r="P95" s="24"/>
      <c r="Q95" s="25">
        <v>35</v>
      </c>
      <c r="R95" s="72">
        <v>-5.061906120268711</v>
      </c>
      <c r="S95" s="72">
        <v>-3.4221479717976702</v>
      </c>
      <c r="T95" s="72">
        <v>60.237743377685547</v>
      </c>
      <c r="U95" s="72">
        <v>6.1101546880003568</v>
      </c>
      <c r="V95" s="72">
        <v>7.6376933600004462E-3</v>
      </c>
      <c r="W95" s="72">
        <v>0.41565703283706662</v>
      </c>
      <c r="X95" s="72">
        <v>9.1950923310481425</v>
      </c>
      <c r="Y95" s="72">
        <v>1.1493865413810178E-2</v>
      </c>
      <c r="Z95" s="72">
        <v>7.4657430205420443</v>
      </c>
      <c r="AA95" s="72">
        <v>9.3321787756775552E-3</v>
      </c>
      <c r="AB95" s="72">
        <v>35</v>
      </c>
      <c r="AC95" s="237">
        <f t="shared" si="0"/>
        <v>37.455958006060456</v>
      </c>
      <c r="AD95" s="237">
        <f t="shared" si="1"/>
        <v>25.325379509473397</v>
      </c>
      <c r="AF95" s="147"/>
      <c r="AG95" s="148">
        <f>AG94</f>
        <v>4.966013813736106E-2</v>
      </c>
      <c r="AH95" s="149">
        <v>0</v>
      </c>
      <c r="AK95" s="72"/>
      <c r="AO95" s="102"/>
      <c r="AS95" s="102"/>
      <c r="AY95" s="71"/>
      <c r="AZ95" s="72"/>
      <c r="BA95" s="74"/>
      <c r="BB95" s="72"/>
      <c r="BC95" s="72"/>
    </row>
    <row r="96" spans="1:55" s="25" customFormat="1" ht="15" customHeight="1" x14ac:dyDescent="0.2">
      <c r="A96" s="36"/>
      <c r="B96" s="36"/>
      <c r="C96" s="36"/>
      <c r="D96" s="36"/>
      <c r="E96" s="36"/>
      <c r="F96" s="36"/>
      <c r="G96" s="36"/>
      <c r="H96" s="36"/>
      <c r="I96" s="36"/>
      <c r="J96" s="36"/>
      <c r="K96" s="36"/>
      <c r="L96" s="36"/>
      <c r="M96" s="36"/>
      <c r="N96" s="36"/>
      <c r="O96" s="36"/>
      <c r="P96" s="24"/>
      <c r="Q96" s="25">
        <v>36</v>
      </c>
      <c r="R96" s="72">
        <v>-5.4607229816046887</v>
      </c>
      <c r="S96" s="72">
        <v>-3.5574830576087018</v>
      </c>
      <c r="T96" s="72">
        <v>60.251129150390625</v>
      </c>
      <c r="U96" s="72">
        <v>6.5172986111577362</v>
      </c>
      <c r="V96" s="72">
        <v>8.1466232639471701E-3</v>
      </c>
      <c r="W96" s="72">
        <v>0.42664380228547488</v>
      </c>
      <c r="X96" s="72">
        <v>9.6101240986703242</v>
      </c>
      <c r="Y96" s="72">
        <v>1.2012655123337905E-2</v>
      </c>
      <c r="Z96" s="72">
        <v>7.8868946359261018</v>
      </c>
      <c r="AA96" s="72">
        <v>9.8586182949076274E-3</v>
      </c>
      <c r="AB96" s="72">
        <v>36</v>
      </c>
      <c r="AC96" s="237">
        <f t="shared" si="0"/>
        <v>37.877026140784139</v>
      </c>
      <c r="AD96" s="237">
        <f t="shared" si="1"/>
        <v>25.746513581723793</v>
      </c>
      <c r="AF96" s="143" t="s">
        <v>148</v>
      </c>
      <c r="AG96" s="146">
        <f>H67</f>
        <v>3.4319594513721262E-2</v>
      </c>
      <c r="AH96" s="232">
        <f>M67</f>
        <v>0</v>
      </c>
      <c r="AK96" s="72"/>
      <c r="AO96" s="102"/>
      <c r="AS96" s="102"/>
      <c r="AY96" s="71"/>
      <c r="AZ96" s="72"/>
      <c r="BA96" s="74"/>
      <c r="BB96" s="72"/>
      <c r="BC96" s="72"/>
    </row>
    <row r="97" spans="1:55" s="25" customFormat="1" ht="15" customHeight="1" x14ac:dyDescent="0.2">
      <c r="A97" s="36"/>
      <c r="B97" s="36"/>
      <c r="C97" s="36"/>
      <c r="D97" s="36"/>
      <c r="E97" s="36"/>
      <c r="F97" s="36"/>
      <c r="G97" s="36"/>
      <c r="H97" s="36"/>
      <c r="I97" s="36"/>
      <c r="J97" s="36"/>
      <c r="K97" s="36"/>
      <c r="L97" s="36"/>
      <c r="M97" s="36"/>
      <c r="N97" s="36"/>
      <c r="O97" s="36"/>
      <c r="P97" s="24"/>
      <c r="Q97" s="25">
        <v>37</v>
      </c>
      <c r="R97" s="72">
        <v>-5.8699605445431553</v>
      </c>
      <c r="S97" s="72">
        <v>-3.6962336045081536</v>
      </c>
      <c r="T97" s="72">
        <v>60.264759063720703</v>
      </c>
      <c r="U97" s="72">
        <v>6.9367557008726148</v>
      </c>
      <c r="V97" s="72">
        <v>8.6709446260907694E-3</v>
      </c>
      <c r="W97" s="72">
        <v>0.43758824262574841</v>
      </c>
      <c r="X97" s="72">
        <v>10.036473988899884</v>
      </c>
      <c r="Y97" s="72">
        <v>1.2545592486124855E-2</v>
      </c>
      <c r="Z97" s="72">
        <v>8.3190116373728564</v>
      </c>
      <c r="AA97" s="72">
        <v>1.0398764546716071E-2</v>
      </c>
      <c r="AB97" s="72">
        <v>37</v>
      </c>
      <c r="AC97" s="237">
        <f t="shared" si="0"/>
        <v>38.309061820906528</v>
      </c>
      <c r="AD97" s="237">
        <f t="shared" si="1"/>
        <v>26.17861227417157</v>
      </c>
      <c r="AF97" s="147" t="s">
        <v>147</v>
      </c>
      <c r="AG97" s="148">
        <v>0</v>
      </c>
      <c r="AH97" s="149">
        <f>AH96</f>
        <v>0</v>
      </c>
      <c r="AK97" s="72"/>
      <c r="AO97" s="102"/>
      <c r="AS97" s="102"/>
      <c r="AY97" s="71"/>
      <c r="AZ97" s="72"/>
      <c r="BA97" s="74"/>
      <c r="BB97" s="72"/>
      <c r="BC97" s="72"/>
    </row>
    <row r="98" spans="1:55" s="25" customFormat="1" ht="15" customHeight="1" x14ac:dyDescent="0.2">
      <c r="A98" s="36"/>
      <c r="B98" s="36"/>
      <c r="C98" s="36"/>
      <c r="D98" s="36"/>
      <c r="E98" s="36"/>
      <c r="F98" s="36"/>
      <c r="G98" s="36"/>
      <c r="H98" s="36"/>
      <c r="I98" s="36"/>
      <c r="J98" s="36"/>
      <c r="K98" s="36"/>
      <c r="L98" s="36"/>
      <c r="M98" s="36"/>
      <c r="N98" s="36"/>
      <c r="O98" s="36"/>
      <c r="P98" s="24"/>
      <c r="Q98" s="25">
        <v>38</v>
      </c>
      <c r="R98" s="72">
        <v>-6.289581038469569</v>
      </c>
      <c r="S98" s="72">
        <v>-3.8383798582630106</v>
      </c>
      <c r="T98" s="72">
        <v>60.278610229492187</v>
      </c>
      <c r="U98" s="72">
        <v>7.3683098181194246</v>
      </c>
      <c r="V98" s="72">
        <v>9.2103872726492803E-3</v>
      </c>
      <c r="W98" s="72">
        <v>0.44849084973048858</v>
      </c>
      <c r="X98" s="72">
        <v>10.474074447087846</v>
      </c>
      <c r="Y98" s="72">
        <v>1.3092593058859807E-2</v>
      </c>
      <c r="Z98" s="72">
        <v>8.7620519293797479</v>
      </c>
      <c r="AA98" s="72">
        <v>1.0952564911724685E-2</v>
      </c>
      <c r="AB98" s="72">
        <v>38</v>
      </c>
      <c r="AC98" s="237">
        <f t="shared" si="0"/>
        <v>38.752023073373635</v>
      </c>
      <c r="AD98" s="237">
        <f t="shared" si="1"/>
        <v>26.62163348484917</v>
      </c>
      <c r="AF98" s="143"/>
      <c r="AG98" s="146">
        <f>AG96</f>
        <v>3.4319594513721262E-2</v>
      </c>
      <c r="AH98" s="145">
        <f>AH97</f>
        <v>0</v>
      </c>
      <c r="AI98" s="101"/>
      <c r="AK98" s="72"/>
      <c r="AO98" s="102"/>
      <c r="AS98" s="161"/>
      <c r="AT98" s="67"/>
      <c r="AU98" s="24"/>
      <c r="AV98" s="24"/>
      <c r="AW98" s="24"/>
      <c r="AX98" s="24"/>
      <c r="AY98" s="71"/>
      <c r="AZ98" s="72"/>
      <c r="BA98" s="74"/>
      <c r="BB98" s="72"/>
      <c r="BC98" s="72"/>
    </row>
    <row r="99" spans="1:55" s="25" customFormat="1" ht="15" customHeight="1" x14ac:dyDescent="0.2">
      <c r="A99" s="36"/>
      <c r="B99" s="36"/>
      <c r="C99" s="36"/>
      <c r="D99" s="36"/>
      <c r="E99" s="36"/>
      <c r="F99" s="36"/>
      <c r="G99" s="36"/>
      <c r="H99" s="36"/>
      <c r="I99" s="36"/>
      <c r="J99" s="36"/>
      <c r="K99" s="36"/>
      <c r="L99" s="36"/>
      <c r="M99" s="36"/>
      <c r="N99" s="36"/>
      <c r="O99" s="36"/>
      <c r="P99" s="24"/>
      <c r="Q99" s="25">
        <v>39</v>
      </c>
      <c r="R99" s="72">
        <v>-6.7195471753643572</v>
      </c>
      <c r="S99" s="72">
        <v>-3.983902214624957</v>
      </c>
      <c r="T99" s="72">
        <v>60.292659759521484</v>
      </c>
      <c r="U99" s="72">
        <v>7.8117725963855822</v>
      </c>
      <c r="V99" s="72">
        <v>9.7647157454819784E-3</v>
      </c>
      <c r="W99" s="72">
        <v>0.45935214412483522</v>
      </c>
      <c r="X99" s="72">
        <v>10.922860366180499</v>
      </c>
      <c r="Y99" s="72">
        <v>1.3653575457725624E-2</v>
      </c>
      <c r="Z99" s="72">
        <v>9.2159739241085248</v>
      </c>
      <c r="AA99" s="72">
        <v>1.1519967405135657E-2</v>
      </c>
      <c r="AB99" s="72">
        <v>39</v>
      </c>
      <c r="AC99" s="237">
        <f t="shared" si="0"/>
        <v>39.205868421449459</v>
      </c>
      <c r="AD99" s="237">
        <f t="shared" si="1"/>
        <v>27.075535619868834</v>
      </c>
      <c r="AF99" s="147"/>
      <c r="AG99" s="148">
        <f>AG98</f>
        <v>3.4319594513721262E-2</v>
      </c>
      <c r="AH99" s="149">
        <v>0</v>
      </c>
      <c r="AI99" s="159"/>
      <c r="AJ99" s="67"/>
      <c r="AK99" s="160"/>
      <c r="AL99" s="67"/>
      <c r="AO99" s="102"/>
      <c r="AR99" s="67"/>
      <c r="AS99" s="163"/>
      <c r="AT99" s="36"/>
      <c r="AU99" s="24"/>
      <c r="AV99" s="24"/>
      <c r="AW99" s="24"/>
      <c r="AX99" s="24"/>
      <c r="AY99" s="71"/>
      <c r="AZ99" s="72"/>
      <c r="BA99" s="74"/>
      <c r="BB99" s="72"/>
      <c r="BC99" s="72"/>
    </row>
    <row r="100" spans="1:55" s="25" customFormat="1" ht="15" customHeight="1" x14ac:dyDescent="0.2">
      <c r="A100" s="36"/>
      <c r="B100" s="36"/>
      <c r="C100" s="36"/>
      <c r="D100" s="36"/>
      <c r="E100" s="36"/>
      <c r="F100" s="36"/>
      <c r="G100" s="36"/>
      <c r="H100" s="36"/>
      <c r="I100" s="36"/>
      <c r="J100" s="36"/>
      <c r="K100" s="36"/>
      <c r="L100" s="36"/>
      <c r="M100" s="36"/>
      <c r="N100" s="36"/>
      <c r="O100" s="36"/>
      <c r="P100" s="24"/>
      <c r="Q100" s="25">
        <v>40</v>
      </c>
      <c r="R100" s="72">
        <v>-7.1598221635997374</v>
      </c>
      <c r="S100" s="72">
        <v>-4.132781256504817</v>
      </c>
      <c r="T100" s="72">
        <v>60.306884765625</v>
      </c>
      <c r="U100" s="72">
        <v>8.2669785489313785</v>
      </c>
      <c r="V100" s="72">
        <v>1.0333723186164222E-2</v>
      </c>
      <c r="W100" s="72">
        <v>0.47017267171248106</v>
      </c>
      <c r="X100" s="72">
        <v>11.382768987513524</v>
      </c>
      <c r="Y100" s="72">
        <v>1.4228461234391905E-2</v>
      </c>
      <c r="Z100" s="72">
        <v>9.6807365664953871</v>
      </c>
      <c r="AA100" s="72">
        <v>1.2100920708119235E-2</v>
      </c>
      <c r="AB100" s="72">
        <v>40</v>
      </c>
      <c r="AC100" s="237">
        <f t="shared" si="0"/>
        <v>39.670556909496163</v>
      </c>
      <c r="AD100" s="237">
        <f t="shared" si="1"/>
        <v>27.540277618696429</v>
      </c>
      <c r="AF100" s="143" t="s">
        <v>151</v>
      </c>
      <c r="AG100" s="146">
        <f>J68/$G$13</f>
        <v>0.05</v>
      </c>
      <c r="AH100" s="232">
        <f>M68</f>
        <v>81</v>
      </c>
      <c r="AI100" s="62"/>
      <c r="AJ100" s="62"/>
      <c r="AK100" s="162"/>
      <c r="AL100" s="62"/>
      <c r="AO100" s="102"/>
      <c r="AR100" s="36"/>
      <c r="AS100" s="62"/>
      <c r="AT100" s="164"/>
      <c r="AU100" s="24"/>
      <c r="AV100" s="24"/>
      <c r="AW100" s="24"/>
      <c r="AX100" s="24"/>
      <c r="AY100" s="71"/>
      <c r="AZ100" s="72"/>
      <c r="BA100" s="74"/>
      <c r="BB100" s="72"/>
      <c r="BC100" s="72"/>
    </row>
    <row r="101" spans="1:55" s="25" customFormat="1" ht="15" customHeight="1" x14ac:dyDescent="0.2">
      <c r="A101" s="36"/>
      <c r="B101" s="36"/>
      <c r="C101" s="36"/>
      <c r="D101" s="36"/>
      <c r="E101" s="36"/>
      <c r="F101" s="36"/>
      <c r="G101" s="36"/>
      <c r="H101" s="36"/>
      <c r="I101" s="36"/>
      <c r="J101" s="36"/>
      <c r="K101" s="36"/>
      <c r="L101" s="36"/>
      <c r="M101" s="36"/>
      <c r="N101" s="36"/>
      <c r="O101" s="36"/>
      <c r="P101" s="24"/>
      <c r="Q101" s="25">
        <v>41</v>
      </c>
      <c r="R101" s="72">
        <v>-7.6103697223313205</v>
      </c>
      <c r="S101" s="72">
        <v>-4.2849977918275428</v>
      </c>
      <c r="T101" s="72">
        <v>60.321258544921875</v>
      </c>
      <c r="U101" s="72">
        <v>8.7337811620479826</v>
      </c>
      <c r="V101" s="72">
        <v>1.0917226452559978E-2</v>
      </c>
      <c r="W101" s="72">
        <v>0.48095300452896073</v>
      </c>
      <c r="X101" s="72">
        <v>11.853739802449994</v>
      </c>
      <c r="Y101" s="72">
        <v>1.4817174753062492E-2</v>
      </c>
      <c r="Z101" s="72">
        <v>10.156299360112147</v>
      </c>
      <c r="AA101" s="72">
        <v>1.2695374200140185E-2</v>
      </c>
      <c r="AB101" s="72">
        <v>41</v>
      </c>
      <c r="AC101" s="237">
        <f t="shared" si="0"/>
        <v>40.146048128590877</v>
      </c>
      <c r="AD101" s="237">
        <f t="shared" si="1"/>
        <v>28.015818980180665</v>
      </c>
      <c r="AF101" s="147" t="s">
        <v>152</v>
      </c>
      <c r="AG101" s="148">
        <v>0</v>
      </c>
      <c r="AH101" s="149">
        <f>AH100</f>
        <v>81</v>
      </c>
      <c r="AI101" s="164"/>
      <c r="AJ101" s="322"/>
      <c r="AK101" s="322"/>
      <c r="AL101" s="62"/>
      <c r="AO101" s="102"/>
      <c r="AR101" s="164"/>
      <c r="AS101" s="166"/>
      <c r="AT101" s="28"/>
      <c r="AV101" s="24"/>
      <c r="AX101" s="24"/>
      <c r="AY101" s="71"/>
      <c r="AZ101" s="72"/>
      <c r="BA101" s="74"/>
      <c r="BB101" s="72"/>
      <c r="BC101" s="72"/>
    </row>
    <row r="102" spans="1:55" s="25" customFormat="1" ht="15" customHeight="1" x14ac:dyDescent="0.2">
      <c r="A102" s="36"/>
      <c r="B102" s="36"/>
      <c r="C102" s="36"/>
      <c r="D102" s="36"/>
      <c r="E102" s="36"/>
      <c r="F102" s="36"/>
      <c r="G102" s="36"/>
      <c r="H102" s="36"/>
      <c r="I102" s="36"/>
      <c r="J102" s="36"/>
      <c r="K102" s="36"/>
      <c r="L102" s="36"/>
      <c r="M102" s="36"/>
      <c r="N102" s="36"/>
      <c r="O102" s="36"/>
      <c r="P102" s="24"/>
      <c r="Q102" s="25">
        <v>42</v>
      </c>
      <c r="R102" s="72">
        <v>-8.0711540965029389</v>
      </c>
      <c r="S102" s="72">
        <v>-4.440532892107071</v>
      </c>
      <c r="T102" s="72">
        <v>60.33575439453125</v>
      </c>
      <c r="U102" s="72">
        <v>9.2120497618814987</v>
      </c>
      <c r="V102" s="72">
        <v>1.1515062202351873E-2</v>
      </c>
      <c r="W102" s="72">
        <v>0.49169374152494327</v>
      </c>
      <c r="X102" s="72">
        <v>12.335714457566402</v>
      </c>
      <c r="Y102" s="72">
        <v>1.5419643071958002E-2</v>
      </c>
      <c r="Z102" s="72">
        <v>10.642622393807768</v>
      </c>
      <c r="AA102" s="72">
        <v>1.3303277992259711E-2</v>
      </c>
      <c r="AB102" s="72">
        <v>42</v>
      </c>
      <c r="AC102" s="237">
        <f t="shared" si="0"/>
        <v>40.632302243002677</v>
      </c>
      <c r="AD102" s="237">
        <f t="shared" si="1"/>
        <v>28.502119789365917</v>
      </c>
      <c r="AF102" s="143"/>
      <c r="AG102" s="146">
        <f>AG100</f>
        <v>0.05</v>
      </c>
      <c r="AH102" s="145">
        <f>AH101</f>
        <v>81</v>
      </c>
      <c r="AI102" s="28"/>
      <c r="AJ102" s="28"/>
      <c r="AK102" s="165"/>
      <c r="AL102" s="28"/>
      <c r="AO102" s="102"/>
      <c r="AR102" s="28"/>
      <c r="AS102" s="167"/>
      <c r="AT102" s="167"/>
      <c r="AU102" s="71"/>
      <c r="AV102" s="71"/>
      <c r="AW102" s="71"/>
      <c r="AX102" s="71"/>
      <c r="AY102" s="71"/>
      <c r="AZ102" s="72"/>
      <c r="BA102" s="74"/>
      <c r="BB102" s="72"/>
      <c r="BC102" s="72"/>
    </row>
    <row r="103" spans="1:55" s="25" customFormat="1" ht="15" customHeight="1" x14ac:dyDescent="0.2">
      <c r="A103" s="36"/>
      <c r="B103" s="36"/>
      <c r="C103" s="36"/>
      <c r="D103" s="36"/>
      <c r="E103" s="36"/>
      <c r="F103" s="36"/>
      <c r="G103" s="36"/>
      <c r="H103" s="36"/>
      <c r="I103" s="36"/>
      <c r="J103" s="36"/>
      <c r="K103" s="36"/>
      <c r="L103" s="36"/>
      <c r="M103" s="36"/>
      <c r="N103" s="36"/>
      <c r="O103" s="36"/>
      <c r="P103" s="24"/>
      <c r="Q103" s="25">
        <v>43</v>
      </c>
      <c r="R103" s="72">
        <v>-8.542140072486486</v>
      </c>
      <c r="S103" s="72">
        <v>-4.5993679317797742</v>
      </c>
      <c r="T103" s="72">
        <v>60.350349426269531</v>
      </c>
      <c r="U103" s="72">
        <v>9.7016669902580954</v>
      </c>
      <c r="V103" s="72">
        <v>1.2127083737822619E-2</v>
      </c>
      <c r="W103" s="72">
        <v>0.50239550938281008</v>
      </c>
      <c r="X103" s="72">
        <v>12.828636665224487</v>
      </c>
      <c r="Y103" s="72">
        <v>1.6035795831530607E-2</v>
      </c>
      <c r="Z103" s="72">
        <v>11.139666369162498</v>
      </c>
      <c r="AA103" s="72">
        <v>1.3924582961453123E-2</v>
      </c>
      <c r="AB103" s="72">
        <v>43</v>
      </c>
      <c r="AC103" s="237">
        <f t="shared" si="0"/>
        <v>41.129280017556191</v>
      </c>
      <c r="AD103" s="237">
        <f t="shared" si="1"/>
        <v>28.999140745120052</v>
      </c>
      <c r="AF103" s="147"/>
      <c r="AG103" s="148">
        <f>AG102</f>
        <v>0.05</v>
      </c>
      <c r="AH103" s="149">
        <v>0</v>
      </c>
      <c r="AI103" s="167"/>
      <c r="AJ103" s="167"/>
      <c r="AK103" s="167"/>
      <c r="AL103" s="167"/>
      <c r="AM103" s="67"/>
      <c r="AN103" s="67"/>
      <c r="AO103" s="161"/>
      <c r="AP103" s="67"/>
      <c r="AQ103" s="24"/>
      <c r="AR103" s="167"/>
      <c r="AS103" s="75"/>
      <c r="AT103" s="75"/>
      <c r="AU103" s="71"/>
      <c r="AV103" s="71"/>
      <c r="AW103" s="71"/>
      <c r="AX103" s="71"/>
      <c r="AY103" s="71"/>
      <c r="AZ103" s="72"/>
      <c r="BA103" s="74"/>
      <c r="BB103" s="72"/>
      <c r="BC103" s="72"/>
    </row>
    <row r="104" spans="1:55" s="25" customFormat="1" ht="15" customHeight="1" x14ac:dyDescent="0.2">
      <c r="A104" s="36"/>
      <c r="B104" s="36"/>
      <c r="C104" s="36"/>
      <c r="D104" s="36"/>
      <c r="E104" s="36"/>
      <c r="F104" s="36"/>
      <c r="G104" s="36"/>
      <c r="H104" s="36"/>
      <c r="I104" s="36"/>
      <c r="J104" s="36"/>
      <c r="K104" s="36"/>
      <c r="L104" s="36"/>
      <c r="M104" s="36"/>
      <c r="N104" s="36"/>
      <c r="O104" s="36"/>
      <c r="P104" s="24"/>
      <c r="Q104" s="25">
        <v>44</v>
      </c>
      <c r="R104" s="72">
        <v>-9.0232929943822224</v>
      </c>
      <c r="S104" s="72">
        <v>-4.7614846283349568</v>
      </c>
      <c r="T104" s="72">
        <v>60.365009307861328</v>
      </c>
      <c r="U104" s="72">
        <v>10.202526761951539</v>
      </c>
      <c r="V104" s="72">
        <v>1.2753158452439423E-2</v>
      </c>
      <c r="W104" s="72">
        <v>0.5130589633703605</v>
      </c>
      <c r="X104" s="72">
        <v>13.332452120720353</v>
      </c>
      <c r="Y104" s="72">
        <v>1.6665565150900442E-2</v>
      </c>
      <c r="Z104" s="72">
        <v>11.647392628790204</v>
      </c>
      <c r="AA104" s="72">
        <v>1.4559240785987755E-2</v>
      </c>
      <c r="AB104" s="72">
        <v>44</v>
      </c>
      <c r="AC104" s="237">
        <f t="shared" si="0"/>
        <v>41.63694284591152</v>
      </c>
      <c r="AD104" s="237">
        <f t="shared" si="1"/>
        <v>29.506843188612031</v>
      </c>
      <c r="AF104" s="143" t="s">
        <v>150</v>
      </c>
      <c r="AG104" s="146">
        <f>J69/$G$13</f>
        <v>2.5000000000000001E-2</v>
      </c>
      <c r="AH104" s="232">
        <f>M69</f>
        <v>55</v>
      </c>
      <c r="AI104" s="75"/>
      <c r="AJ104" s="75"/>
      <c r="AK104" s="75"/>
      <c r="AL104" s="75"/>
      <c r="AM104" s="62"/>
      <c r="AN104" s="36"/>
      <c r="AO104" s="163"/>
      <c r="AP104" s="36"/>
      <c r="AQ104" s="24"/>
      <c r="AR104" s="75"/>
      <c r="AS104" s="75"/>
      <c r="AT104" s="75"/>
      <c r="AU104" s="71"/>
      <c r="AV104" s="71"/>
      <c r="AW104" s="71"/>
      <c r="AX104" s="71"/>
      <c r="AY104" s="71"/>
      <c r="AZ104" s="72"/>
      <c r="BA104" s="74"/>
      <c r="BB104" s="72"/>
      <c r="BC104" s="72"/>
    </row>
    <row r="105" spans="1:55" s="25" customFormat="1" ht="15" customHeight="1" x14ac:dyDescent="0.2">
      <c r="A105" s="36"/>
      <c r="B105" s="36"/>
      <c r="C105" s="36"/>
      <c r="D105" s="36"/>
      <c r="E105" s="36"/>
      <c r="F105" s="36"/>
      <c r="G105" s="36"/>
      <c r="H105" s="36"/>
      <c r="I105" s="36"/>
      <c r="J105" s="36"/>
      <c r="K105" s="36"/>
      <c r="L105" s="36"/>
      <c r="M105" s="36"/>
      <c r="N105" s="36"/>
      <c r="O105" s="36"/>
      <c r="P105" s="24"/>
      <c r="Q105" s="25">
        <v>45</v>
      </c>
      <c r="R105" s="72">
        <v>-9.5145787810092539</v>
      </c>
      <c r="S105" s="72">
        <v>-4.9268650832808127</v>
      </c>
      <c r="T105" s="72">
        <v>60.379711151123047</v>
      </c>
      <c r="U105" s="72">
        <v>10.714532604312854</v>
      </c>
      <c r="V105" s="72">
        <v>1.3393165755391068E-2</v>
      </c>
      <c r="W105" s="72">
        <v>0.52368478823608344</v>
      </c>
      <c r="X105" s="72">
        <v>13.847108426725788</v>
      </c>
      <c r="Y105" s="72">
        <v>1.7308885533407235E-2</v>
      </c>
      <c r="Z105" s="72">
        <v>12.165763185528419</v>
      </c>
      <c r="AA105" s="72">
        <v>1.5207203981910524E-2</v>
      </c>
      <c r="AB105" s="72">
        <v>45</v>
      </c>
      <c r="AC105" s="237">
        <f t="shared" si="0"/>
        <v>42.155252779794367</v>
      </c>
      <c r="AD105" s="237">
        <f t="shared" si="1"/>
        <v>30.025189132678136</v>
      </c>
      <c r="AF105" s="147" t="s">
        <v>152</v>
      </c>
      <c r="AG105" s="148">
        <v>0</v>
      </c>
      <c r="AH105" s="149">
        <f>AH104</f>
        <v>55</v>
      </c>
      <c r="AI105" s="75"/>
      <c r="AJ105" s="75"/>
      <c r="AK105" s="75"/>
      <c r="AL105" s="75"/>
      <c r="AM105" s="62"/>
      <c r="AN105" s="224"/>
      <c r="AO105" s="62"/>
      <c r="AP105" s="224"/>
      <c r="AQ105" s="24"/>
      <c r="AR105" s="75"/>
      <c r="AS105" s="75"/>
      <c r="AT105" s="75"/>
      <c r="AU105" s="71"/>
      <c r="AV105" s="71"/>
      <c r="AW105" s="71"/>
      <c r="AX105" s="71"/>
      <c r="AY105" s="71"/>
      <c r="AZ105" s="72"/>
      <c r="BA105" s="74"/>
      <c r="BB105" s="72"/>
      <c r="BC105" s="72"/>
    </row>
    <row r="106" spans="1:55" s="25" customFormat="1" ht="15" customHeight="1" x14ac:dyDescent="0.2">
      <c r="A106" s="36"/>
      <c r="B106" s="36"/>
      <c r="C106" s="36"/>
      <c r="D106" s="36"/>
      <c r="E106" s="36"/>
      <c r="F106" s="36"/>
      <c r="G106" s="36"/>
      <c r="H106" s="36"/>
      <c r="I106" s="36"/>
      <c r="J106" s="36"/>
      <c r="K106" s="36"/>
      <c r="L106" s="36"/>
      <c r="M106" s="36"/>
      <c r="N106" s="36"/>
      <c r="O106" s="36"/>
      <c r="P106" s="24"/>
      <c r="Q106" s="25">
        <v>46</v>
      </c>
      <c r="R106" s="72">
        <v>-10.015963943620495</v>
      </c>
      <c r="S106" s="72">
        <v>-5.0954918239845863</v>
      </c>
      <c r="T106" s="72">
        <v>60.394420623779297</v>
      </c>
      <c r="U106" s="72">
        <v>11.237596302065651</v>
      </c>
      <c r="V106" s="72">
        <v>1.4046995377582062E-2</v>
      </c>
      <c r="W106" s="72">
        <v>0.53427369915103728</v>
      </c>
      <c r="X106" s="72">
        <v>14.372555025390989</v>
      </c>
      <c r="Y106" s="72">
        <v>1.7965693781738738E-2</v>
      </c>
      <c r="Z106" s="72">
        <v>12.694740752560188</v>
      </c>
      <c r="AA106" s="72">
        <v>1.5868425940700235E-2</v>
      </c>
      <c r="AB106" s="72">
        <v>46</v>
      </c>
      <c r="AC106" s="237">
        <f t="shared" si="0"/>
        <v>42.68417255921495</v>
      </c>
      <c r="AD106" s="237">
        <f t="shared" si="1"/>
        <v>30.554141292120292</v>
      </c>
      <c r="AF106" s="143"/>
      <c r="AG106" s="146">
        <f>AG104</f>
        <v>2.5000000000000001E-2</v>
      </c>
      <c r="AH106" s="145">
        <f>AH105</f>
        <v>55</v>
      </c>
      <c r="AI106" s="75"/>
      <c r="AJ106" s="75"/>
      <c r="AK106" s="75"/>
      <c r="AL106" s="75"/>
      <c r="AM106" s="28"/>
      <c r="AN106" s="28"/>
      <c r="AO106" s="166"/>
      <c r="AP106" s="28"/>
      <c r="AR106" s="75"/>
      <c r="AS106" s="75"/>
      <c r="AT106" s="75"/>
      <c r="AU106" s="71"/>
      <c r="AV106" s="71"/>
      <c r="AW106" s="71"/>
      <c r="AX106" s="71"/>
      <c r="AY106" s="71"/>
      <c r="AZ106" s="72"/>
      <c r="BA106" s="74"/>
      <c r="BB106" s="72"/>
      <c r="BC106" s="72"/>
    </row>
    <row r="107" spans="1:55" s="25" customFormat="1" ht="15" customHeight="1" x14ac:dyDescent="0.2">
      <c r="A107" s="36"/>
      <c r="B107" s="36"/>
      <c r="C107" s="36"/>
      <c r="D107" s="36"/>
      <c r="E107" s="36"/>
      <c r="F107" s="36"/>
      <c r="G107" s="36"/>
      <c r="H107" s="36"/>
      <c r="I107" s="36"/>
      <c r="J107" s="36"/>
      <c r="K107" s="36"/>
      <c r="L107" s="36"/>
      <c r="M107" s="36"/>
      <c r="N107" s="36"/>
      <c r="O107" s="36"/>
      <c r="P107" s="24"/>
      <c r="Q107" s="25">
        <v>47</v>
      </c>
      <c r="R107" s="72">
        <v>-10.527415604381684</v>
      </c>
      <c r="S107" s="72">
        <v>-5.2673478464262677</v>
      </c>
      <c r="T107" s="72">
        <v>60.409111022949219</v>
      </c>
      <c r="U107" s="72">
        <v>11.771636786897156</v>
      </c>
      <c r="V107" s="72">
        <v>1.4714545983621445E-2</v>
      </c>
      <c r="W107" s="72">
        <v>0.54482644270301861</v>
      </c>
      <c r="X107" s="72">
        <v>14.908743138231776</v>
      </c>
      <c r="Y107" s="72">
        <v>1.8635928922789719E-2</v>
      </c>
      <c r="Z107" s="72">
        <v>13.234288774516921</v>
      </c>
      <c r="AA107" s="72">
        <v>1.6542860968146153E-2</v>
      </c>
      <c r="AB107" s="72">
        <v>47</v>
      </c>
      <c r="AC107" s="237">
        <f t="shared" si="0"/>
        <v>43.22366564371918</v>
      </c>
      <c r="AD107" s="237">
        <f t="shared" si="1"/>
        <v>31.093663114985173</v>
      </c>
      <c r="AF107" s="147"/>
      <c r="AG107" s="148">
        <f>AG106</f>
        <v>2.5000000000000001E-2</v>
      </c>
      <c r="AH107" s="149">
        <v>0</v>
      </c>
      <c r="AI107" s="75"/>
      <c r="AJ107" s="75"/>
      <c r="AK107" s="75"/>
      <c r="AL107" s="75"/>
      <c r="AM107" s="167"/>
      <c r="AN107" s="167"/>
      <c r="AO107" s="167"/>
      <c r="AP107" s="167"/>
      <c r="AQ107" s="71"/>
      <c r="AR107" s="75"/>
      <c r="AS107" s="75"/>
      <c r="AT107" s="75"/>
      <c r="AU107" s="71"/>
      <c r="AV107" s="71"/>
      <c r="AW107" s="71"/>
      <c r="AX107" s="71"/>
      <c r="AY107" s="71"/>
      <c r="AZ107" s="72"/>
      <c r="BA107" s="74"/>
      <c r="BB107" s="72"/>
      <c r="BC107" s="72"/>
    </row>
    <row r="108" spans="1:55" s="25" customFormat="1" ht="15" customHeight="1" x14ac:dyDescent="0.2">
      <c r="A108" s="36"/>
      <c r="B108" s="36"/>
      <c r="C108" s="36"/>
      <c r="D108" s="36"/>
      <c r="E108" s="36"/>
      <c r="F108" s="36"/>
      <c r="G108" s="36"/>
      <c r="H108" s="36"/>
      <c r="I108" s="36"/>
      <c r="J108" s="36"/>
      <c r="K108" s="36"/>
      <c r="L108" s="36"/>
      <c r="M108" s="36"/>
      <c r="N108" s="36"/>
      <c r="O108" s="36"/>
      <c r="P108" s="24"/>
      <c r="Q108" s="25">
        <v>48</v>
      </c>
      <c r="R108" s="72">
        <v>-11.048901515659644</v>
      </c>
      <c r="S108" s="72">
        <v>-5.4424166589061134</v>
      </c>
      <c r="T108" s="72">
        <v>60.423751831054688</v>
      </c>
      <c r="U108" s="72">
        <v>12.316579224439096</v>
      </c>
      <c r="V108" s="72">
        <v>1.539572403054887E-2</v>
      </c>
      <c r="W108" s="72">
        <v>0.55534379794936206</v>
      </c>
      <c r="X108" s="72">
        <v>15.455625713754033</v>
      </c>
      <c r="Y108" s="72">
        <v>1.9319532142192543E-2</v>
      </c>
      <c r="Z108" s="72">
        <v>13.784371459617269</v>
      </c>
      <c r="AA108" s="72">
        <v>1.7230464324521588E-2</v>
      </c>
      <c r="AB108" s="72">
        <v>48</v>
      </c>
      <c r="AC108" s="237">
        <f t="shared" si="0"/>
        <v>43.773696244722181</v>
      </c>
      <c r="AD108" s="237">
        <f t="shared" si="1"/>
        <v>31.64371881487854</v>
      </c>
      <c r="AF108" s="143" t="s">
        <v>146</v>
      </c>
      <c r="AG108" s="146">
        <f>J70/$G$13</f>
        <v>4.0500000000000001E-2</v>
      </c>
      <c r="AH108" s="232">
        <f>M70</f>
        <v>73</v>
      </c>
      <c r="AI108" s="75"/>
      <c r="AJ108" s="75"/>
      <c r="AK108" s="75"/>
      <c r="AL108" s="75"/>
      <c r="AM108" s="75"/>
      <c r="AN108" s="75"/>
      <c r="AO108" s="75"/>
      <c r="AP108" s="75"/>
      <c r="AQ108" s="71"/>
      <c r="AR108" s="75"/>
      <c r="AS108" s="75"/>
      <c r="AT108" s="75"/>
      <c r="AU108" s="71"/>
      <c r="AV108" s="71"/>
      <c r="AW108" s="71"/>
      <c r="AX108" s="71"/>
      <c r="AY108" s="71"/>
      <c r="AZ108" s="72"/>
      <c r="BA108" s="74"/>
      <c r="BB108" s="72"/>
      <c r="BC108" s="72"/>
    </row>
    <row r="109" spans="1:55" s="25" customFormat="1" ht="15" customHeight="1" x14ac:dyDescent="0.2">
      <c r="A109" s="36"/>
      <c r="B109" s="36"/>
      <c r="C109" s="36"/>
      <c r="D109" s="36"/>
      <c r="E109" s="36"/>
      <c r="F109" s="36"/>
      <c r="G109" s="36"/>
      <c r="H109" s="36"/>
      <c r="I109" s="36"/>
      <c r="J109" s="36"/>
      <c r="K109" s="36"/>
      <c r="L109" s="36"/>
      <c r="M109" s="36"/>
      <c r="N109" s="36"/>
      <c r="O109" s="36"/>
      <c r="P109" s="24"/>
      <c r="Q109" s="25">
        <v>49</v>
      </c>
      <c r="R109" s="72">
        <v>-11.580390080171298</v>
      </c>
      <c r="S109" s="72">
        <v>-5.6206823267475494</v>
      </c>
      <c r="T109" s="72">
        <v>60.438312530517578</v>
      </c>
      <c r="U109" s="72">
        <v>12.872354261250818</v>
      </c>
      <c r="V109" s="72">
        <v>1.6090442826563522E-2</v>
      </c>
      <c r="W109" s="72">
        <v>0.56582657753538945</v>
      </c>
      <c r="X109" s="72">
        <v>16.013157382654583</v>
      </c>
      <c r="Y109" s="72">
        <v>2.0016446728318229E-2</v>
      </c>
      <c r="Z109" s="72">
        <v>14.344953812903412</v>
      </c>
      <c r="AA109" s="72">
        <v>1.7931192266129267E-2</v>
      </c>
      <c r="AB109" s="72">
        <v>49</v>
      </c>
      <c r="AC109" s="237">
        <f t="shared" si="0"/>
        <v>44.334229358979961</v>
      </c>
      <c r="AD109" s="237">
        <f t="shared" si="1"/>
        <v>32.204273404375769</v>
      </c>
      <c r="AF109" s="147"/>
      <c r="AG109" s="148">
        <v>0</v>
      </c>
      <c r="AH109" s="149">
        <f>AH108</f>
        <v>73</v>
      </c>
      <c r="AI109" s="75"/>
      <c r="AJ109" s="75"/>
      <c r="AK109" s="75"/>
      <c r="AL109" s="75"/>
      <c r="AM109" s="75"/>
      <c r="AN109" s="75"/>
      <c r="AO109" s="75"/>
      <c r="AP109" s="75"/>
      <c r="AQ109" s="71"/>
      <c r="AR109" s="75"/>
      <c r="AS109" s="75"/>
      <c r="AT109" s="75"/>
      <c r="AU109" s="71"/>
      <c r="AV109" s="71"/>
      <c r="AW109" s="71"/>
      <c r="AX109" s="71"/>
      <c r="AY109" s="71"/>
      <c r="AZ109" s="72"/>
      <c r="BA109" s="74"/>
      <c r="BB109" s="72"/>
      <c r="BC109" s="72"/>
    </row>
    <row r="110" spans="1:55" s="25" customFormat="1" ht="15" customHeight="1" x14ac:dyDescent="0.2">
      <c r="A110" s="36"/>
      <c r="B110" s="36"/>
      <c r="C110" s="36"/>
      <c r="D110" s="36"/>
      <c r="E110" s="36"/>
      <c r="F110" s="36"/>
      <c r="G110" s="36"/>
      <c r="H110" s="36"/>
      <c r="I110" s="36"/>
      <c r="J110" s="36"/>
      <c r="K110" s="36"/>
      <c r="L110" s="36"/>
      <c r="M110" s="36"/>
      <c r="N110" s="36"/>
      <c r="O110" s="36"/>
      <c r="P110" s="24"/>
      <c r="Q110" s="25">
        <v>50</v>
      </c>
      <c r="R110" s="72">
        <v>-12.121850372051712</v>
      </c>
      <c r="S110" s="72">
        <v>-5.8021295180386225</v>
      </c>
      <c r="T110" s="72">
        <v>60.452762603759766</v>
      </c>
      <c r="U110" s="72">
        <v>13.438897402186882</v>
      </c>
      <c r="V110" s="72">
        <v>1.6798621752733601E-2</v>
      </c>
      <c r="W110" s="72">
        <v>0.57627562888624417</v>
      </c>
      <c r="X110" s="72">
        <v>16.581294420366973</v>
      </c>
      <c r="Y110" s="72">
        <v>2.0726618025458717E-2</v>
      </c>
      <c r="Z110" s="72">
        <v>14.916001670643341</v>
      </c>
      <c r="AA110" s="72">
        <v>1.8645002088304177E-2</v>
      </c>
      <c r="AB110" s="72">
        <v>50</v>
      </c>
      <c r="AC110" s="237">
        <f t="shared" si="0"/>
        <v>44.905230803263187</v>
      </c>
      <c r="AD110" s="237">
        <f t="shared" si="1"/>
        <v>32.775292729596558</v>
      </c>
      <c r="AF110" s="143"/>
      <c r="AG110" s="146">
        <f>AG108</f>
        <v>4.0500000000000001E-2</v>
      </c>
      <c r="AH110" s="145">
        <f>AH109</f>
        <v>73</v>
      </c>
      <c r="AI110" s="75"/>
      <c r="AJ110" s="75"/>
      <c r="AK110" s="75"/>
      <c r="AL110" s="75"/>
      <c r="AM110" s="75"/>
      <c r="AN110" s="75"/>
      <c r="AO110" s="75"/>
      <c r="AP110" s="75"/>
      <c r="AQ110" s="71"/>
      <c r="AR110" s="75"/>
      <c r="AS110" s="75"/>
      <c r="AT110" s="75"/>
      <c r="AU110" s="71"/>
      <c r="AV110" s="71"/>
      <c r="AW110" s="71"/>
      <c r="AX110" s="71"/>
      <c r="AY110" s="72"/>
      <c r="AZ110" s="72"/>
      <c r="BA110" s="74"/>
    </row>
    <row r="111" spans="1:55" s="25" customFormat="1" ht="15" customHeight="1" x14ac:dyDescent="0.2">
      <c r="A111" s="36"/>
      <c r="B111" s="36"/>
      <c r="C111" s="36"/>
      <c r="D111" s="36"/>
      <c r="E111" s="36"/>
      <c r="F111" s="36"/>
      <c r="G111" s="36"/>
      <c r="H111" s="36"/>
      <c r="I111" s="36"/>
      <c r="J111" s="36"/>
      <c r="K111" s="36"/>
      <c r="L111" s="36"/>
      <c r="M111" s="36"/>
      <c r="N111" s="36"/>
      <c r="O111" s="36"/>
      <c r="P111" s="24"/>
      <c r="Q111" s="25">
        <v>51</v>
      </c>
      <c r="R111" s="72">
        <v>-12.673252158906948</v>
      </c>
      <c r="S111" s="72">
        <v>-5.98674355045722</v>
      </c>
      <c r="T111" s="72">
        <v>60.467067718505859</v>
      </c>
      <c r="U111" s="72">
        <v>14.016148494582266</v>
      </c>
      <c r="V111" s="72">
        <v>1.7520185618227834E-2</v>
      </c>
      <c r="W111" s="72">
        <v>0.58669183548056802</v>
      </c>
      <c r="X111" s="72">
        <v>17.159994716681496</v>
      </c>
      <c r="Y111" s="72">
        <v>2.1449993395851869E-2</v>
      </c>
      <c r="Z111" s="72">
        <v>15.497481735975496</v>
      </c>
      <c r="AA111" s="72">
        <v>1.937185216996937E-2</v>
      </c>
      <c r="AB111" s="72">
        <v>51</v>
      </c>
      <c r="AC111" s="237">
        <f t="shared" si="0"/>
        <v>45.486667250304379</v>
      </c>
      <c r="AD111" s="237">
        <f t="shared" si="1"/>
        <v>33.356743506019789</v>
      </c>
      <c r="AF111" s="147"/>
      <c r="AG111" s="148">
        <f>AG110</f>
        <v>4.0500000000000001E-2</v>
      </c>
      <c r="AH111" s="149">
        <v>0</v>
      </c>
      <c r="AI111" s="75"/>
      <c r="AJ111" s="75"/>
      <c r="AK111" s="75"/>
      <c r="AL111" s="75"/>
      <c r="AM111" s="75"/>
      <c r="AN111" s="75"/>
      <c r="AO111" s="75"/>
      <c r="AP111" s="75"/>
      <c r="AQ111" s="71"/>
      <c r="AR111" s="75"/>
      <c r="AS111" s="75"/>
      <c r="AT111" s="75"/>
      <c r="AU111" s="71"/>
      <c r="AV111" s="71"/>
      <c r="AW111" s="71"/>
      <c r="AX111" s="71"/>
      <c r="AY111" s="72"/>
      <c r="AZ111" s="72"/>
      <c r="BA111" s="74"/>
    </row>
    <row r="112" spans="1:55" s="25" customFormat="1" ht="15" customHeight="1" x14ac:dyDescent="0.2">
      <c r="A112" s="36"/>
      <c r="B112" s="36"/>
      <c r="C112" s="36"/>
      <c r="D112" s="36"/>
      <c r="E112" s="36"/>
      <c r="F112" s="36"/>
      <c r="G112" s="36"/>
      <c r="H112" s="36"/>
      <c r="I112" s="36"/>
      <c r="J112" s="36"/>
      <c r="K112" s="36"/>
      <c r="L112" s="36"/>
      <c r="M112" s="36"/>
      <c r="N112" s="36"/>
      <c r="O112" s="36"/>
      <c r="P112" s="24"/>
      <c r="Q112" s="25">
        <v>52</v>
      </c>
      <c r="R112" s="72">
        <v>-13.234565924925423</v>
      </c>
      <c r="S112" s="72">
        <v>-6.1745104392276229</v>
      </c>
      <c r="T112" s="72">
        <v>60.481201171875</v>
      </c>
      <c r="U112" s="72">
        <v>14.604051300420991</v>
      </c>
      <c r="V112" s="72">
        <v>1.825506412552624E-2</v>
      </c>
      <c r="W112" s="72">
        <v>0.59707611821520035</v>
      </c>
      <c r="X112" s="72">
        <v>17.749217752152791</v>
      </c>
      <c r="Y112" s="72">
        <v>2.2186522190190988E-2</v>
      </c>
      <c r="Z112" s="72">
        <v>16.089361615880676</v>
      </c>
      <c r="AA112" s="72">
        <v>2.0111702019850845E-2</v>
      </c>
      <c r="AB112" s="72">
        <v>52</v>
      </c>
      <c r="AC112" s="237">
        <f t="shared" si="0"/>
        <v>46.078506266098806</v>
      </c>
      <c r="AD112" s="237">
        <f t="shared" si="1"/>
        <v>33.948593355622933</v>
      </c>
      <c r="AF112" s="143" t="s">
        <v>147</v>
      </c>
      <c r="AG112" s="146">
        <f>J71/$G$13</f>
        <v>8.2500000000000004E-3</v>
      </c>
      <c r="AH112" s="232">
        <f>M71</f>
        <v>28</v>
      </c>
      <c r="AI112" s="75"/>
      <c r="AJ112" s="75"/>
      <c r="AK112" s="75"/>
      <c r="AL112" s="75"/>
      <c r="AM112" s="75"/>
      <c r="AN112" s="75"/>
      <c r="AO112" s="75"/>
      <c r="AP112" s="75"/>
      <c r="AQ112" s="71"/>
      <c r="AR112" s="75"/>
      <c r="AS112" s="75"/>
      <c r="AT112" s="75"/>
      <c r="AU112" s="71"/>
      <c r="AV112" s="71"/>
      <c r="AW112" s="71"/>
      <c r="AX112" s="71"/>
      <c r="AY112" s="72"/>
      <c r="AZ112" s="72"/>
      <c r="BA112" s="74"/>
    </row>
    <row r="113" spans="1:62" s="25" customFormat="1" ht="15" customHeight="1" x14ac:dyDescent="0.2">
      <c r="A113" s="36"/>
      <c r="B113" s="36"/>
      <c r="C113" s="36"/>
      <c r="D113" s="36"/>
      <c r="E113" s="36"/>
      <c r="F113" s="36"/>
      <c r="G113" s="36"/>
      <c r="H113" s="36"/>
      <c r="I113" s="36"/>
      <c r="J113" s="36"/>
      <c r="K113" s="36"/>
      <c r="L113" s="36"/>
      <c r="M113" s="36"/>
      <c r="N113" s="36"/>
      <c r="O113" s="36"/>
      <c r="P113" s="24"/>
      <c r="Q113" s="25">
        <v>53</v>
      </c>
      <c r="R113" s="72">
        <v>-13.805762894811114</v>
      </c>
      <c r="S113" s="72">
        <v>-6.3654169450762668</v>
      </c>
      <c r="T113" s="72">
        <v>60.495132446289063</v>
      </c>
      <c r="U113" s="72">
        <v>15.202553140588176</v>
      </c>
      <c r="V113" s="72">
        <v>1.9003191425735221E-2</v>
      </c>
      <c r="W113" s="72">
        <v>0.60742943411018469</v>
      </c>
      <c r="X113" s="72">
        <v>18.348924580242478</v>
      </c>
      <c r="Y113" s="72">
        <v>2.2936155725303099E-2</v>
      </c>
      <c r="Z113" s="72">
        <v>16.691609858893159</v>
      </c>
      <c r="AA113" s="72">
        <v>2.0864512323616448E-2</v>
      </c>
      <c r="AB113" s="72">
        <v>53</v>
      </c>
      <c r="AC113" s="237">
        <f t="shared" si="0"/>
        <v>46.680716347983932</v>
      </c>
      <c r="AD113" s="237">
        <f t="shared" si="1"/>
        <v>34.550810844750892</v>
      </c>
      <c r="AF113" s="147"/>
      <c r="AG113" s="148">
        <v>0</v>
      </c>
      <c r="AH113" s="149">
        <f>AH112</f>
        <v>28</v>
      </c>
      <c r="AI113" s="75"/>
      <c r="AJ113" s="75"/>
      <c r="AK113" s="75"/>
      <c r="AL113" s="75"/>
      <c r="AM113" s="75"/>
      <c r="AN113" s="75"/>
      <c r="AO113" s="75"/>
      <c r="AP113" s="75"/>
      <c r="AQ113" s="71"/>
      <c r="AR113" s="75"/>
      <c r="AS113" s="75"/>
      <c r="AT113" s="75"/>
      <c r="AU113" s="71"/>
      <c r="AV113" s="71"/>
      <c r="AW113" s="71"/>
      <c r="AX113" s="71"/>
      <c r="AY113" s="72"/>
      <c r="AZ113" s="72"/>
      <c r="BA113" s="74"/>
    </row>
    <row r="114" spans="1:62" s="25" customFormat="1" ht="15" customHeight="1" x14ac:dyDescent="0.2">
      <c r="A114" s="36"/>
      <c r="B114" s="36"/>
      <c r="C114" s="36"/>
      <c r="D114" s="36"/>
      <c r="E114" s="36"/>
      <c r="F114" s="36"/>
      <c r="G114" s="36"/>
      <c r="H114" s="36"/>
      <c r="I114" s="36"/>
      <c r="J114" s="36"/>
      <c r="K114" s="36"/>
      <c r="L114" s="36"/>
      <c r="M114" s="36"/>
      <c r="N114" s="36"/>
      <c r="O114" s="36"/>
      <c r="P114" s="24"/>
      <c r="Q114" s="25">
        <v>54</v>
      </c>
      <c r="R114" s="72">
        <v>-14.386815053794306</v>
      </c>
      <c r="S114" s="72">
        <v>-6.5594506043952538</v>
      </c>
      <c r="T114" s="72">
        <v>60.508827209472656</v>
      </c>
      <c r="U114" s="72">
        <v>15.811604587251217</v>
      </c>
      <c r="V114" s="72">
        <v>1.9764505734064023E-2</v>
      </c>
      <c r="W114" s="72">
        <v>0.61775275749675085</v>
      </c>
      <c r="X114" s="72">
        <v>18.959077803393818</v>
      </c>
      <c r="Y114" s="72">
        <v>2.3698847254242272E-2</v>
      </c>
      <c r="Z114" s="72">
        <v>17.304195983343764</v>
      </c>
      <c r="AA114" s="72">
        <v>2.1630244979179706E-2</v>
      </c>
      <c r="AB114" s="72">
        <v>54</v>
      </c>
      <c r="AC114" s="237">
        <f t="shared" si="0"/>
        <v>47.293266953538428</v>
      </c>
      <c r="AD114" s="237">
        <f t="shared" si="1"/>
        <v>35.163365512409364</v>
      </c>
      <c r="AF114" s="143"/>
      <c r="AG114" s="146">
        <f>AG112</f>
        <v>8.2500000000000004E-3</v>
      </c>
      <c r="AH114" s="145">
        <f>AH113</f>
        <v>28</v>
      </c>
      <c r="AI114" s="75"/>
      <c r="AJ114" s="75"/>
      <c r="AK114" s="75"/>
      <c r="AL114" s="75"/>
      <c r="AM114" s="75"/>
      <c r="AN114" s="75"/>
      <c r="AO114" s="75"/>
      <c r="AP114" s="75"/>
      <c r="AQ114" s="71"/>
      <c r="AR114" s="75"/>
      <c r="AS114" s="75"/>
      <c r="AT114" s="75"/>
      <c r="AU114" s="71"/>
      <c r="AV114" s="71"/>
      <c r="AW114" s="71"/>
      <c r="AX114" s="71"/>
      <c r="AY114" s="72"/>
      <c r="AZ114" s="72"/>
      <c r="BA114" s="74"/>
    </row>
    <row r="115" spans="1:62" s="25" customFormat="1" ht="15" customHeight="1" x14ac:dyDescent="0.2">
      <c r="A115" s="36"/>
      <c r="B115" s="36"/>
      <c r="C115" s="36"/>
      <c r="D115" s="36"/>
      <c r="E115" s="36"/>
      <c r="F115" s="36"/>
      <c r="G115" s="36"/>
      <c r="H115" s="36"/>
      <c r="I115" s="36"/>
      <c r="J115" s="36"/>
      <c r="K115" s="36"/>
      <c r="L115" s="36"/>
      <c r="M115" s="36"/>
      <c r="N115" s="36"/>
      <c r="O115" s="36"/>
      <c r="P115" s="24"/>
      <c r="Q115" s="25">
        <v>55</v>
      </c>
      <c r="R115" s="72">
        <v>-14.977695159057509</v>
      </c>
      <c r="S115" s="72">
        <v>-6.7565997245400871</v>
      </c>
      <c r="T115" s="72">
        <v>60.522258758544922</v>
      </c>
      <c r="U115" s="72">
        <v>16.431159183554577</v>
      </c>
      <c r="V115" s="72">
        <v>2.0538948979443222E-2</v>
      </c>
      <c r="W115" s="72">
        <v>0.62804706669262766</v>
      </c>
      <c r="X115" s="72">
        <v>19.579641531926349</v>
      </c>
      <c r="Y115" s="72">
        <v>2.4474551914907935E-2</v>
      </c>
      <c r="Z115" s="72">
        <v>17.927090486257381</v>
      </c>
      <c r="AA115" s="72">
        <v>2.2408863107821725E-2</v>
      </c>
      <c r="AB115" s="72">
        <v>55</v>
      </c>
      <c r="AC115" s="237">
        <f t="shared" si="0"/>
        <v>47.916128510621377</v>
      </c>
      <c r="AD115" s="237">
        <f t="shared" si="1"/>
        <v>35.786227879014255</v>
      </c>
      <c r="AF115" s="147"/>
      <c r="AG115" s="148">
        <f>AG114</f>
        <v>8.2500000000000004E-3</v>
      </c>
      <c r="AH115" s="149">
        <v>0</v>
      </c>
      <c r="AI115" s="75"/>
      <c r="AJ115" s="75"/>
      <c r="AK115" s="75"/>
      <c r="AL115" s="75"/>
      <c r="AM115" s="75"/>
      <c r="AN115" s="75"/>
      <c r="AO115" s="75"/>
      <c r="AP115" s="75"/>
      <c r="AQ115" s="71"/>
      <c r="AR115" s="75"/>
      <c r="AS115" s="75"/>
      <c r="AT115" s="75"/>
      <c r="AU115" s="71"/>
      <c r="AV115" s="71"/>
      <c r="AW115" s="71"/>
      <c r="AX115" s="71"/>
      <c r="AY115" s="72"/>
      <c r="AZ115" s="72"/>
      <c r="BA115" s="74"/>
    </row>
    <row r="116" spans="1:62" s="25" customFormat="1" ht="15" customHeight="1" x14ac:dyDescent="0.2">
      <c r="A116" s="36"/>
      <c r="B116" s="36"/>
      <c r="C116" s="36"/>
      <c r="D116" s="36"/>
      <c r="E116" s="36"/>
      <c r="F116" s="36"/>
      <c r="G116" s="36"/>
      <c r="H116" s="36"/>
      <c r="I116" s="36"/>
      <c r="J116" s="36"/>
      <c r="K116" s="36"/>
      <c r="L116" s="36"/>
      <c r="M116" s="36"/>
      <c r="N116" s="36"/>
      <c r="O116" s="36"/>
      <c r="P116" s="24"/>
      <c r="Q116" s="25">
        <v>56</v>
      </c>
      <c r="R116" s="72">
        <v>-15.578376749187536</v>
      </c>
      <c r="S116" s="72">
        <v>-6.9568533689884173</v>
      </c>
      <c r="T116" s="72">
        <v>60.535392761230469</v>
      </c>
      <c r="U116" s="72">
        <v>17.061173199321093</v>
      </c>
      <c r="V116" s="72">
        <v>2.1326466499151365E-2</v>
      </c>
      <c r="W116" s="72">
        <v>0.63831334417073193</v>
      </c>
      <c r="X116" s="72">
        <v>20.210581341721326</v>
      </c>
      <c r="Y116" s="72">
        <v>2.5263226677151657E-2</v>
      </c>
      <c r="Z116" s="72">
        <v>18.560264847140665</v>
      </c>
      <c r="AA116" s="72">
        <v>2.3200331058925831E-2</v>
      </c>
      <c r="AB116" s="72">
        <v>56</v>
      </c>
      <c r="AC116" s="237">
        <f t="shared" si="0"/>
        <v>48.549272422375964</v>
      </c>
      <c r="AD116" s="237">
        <f t="shared" si="1"/>
        <v>36.419369449972024</v>
      </c>
      <c r="AF116" s="151"/>
      <c r="AG116" s="75"/>
      <c r="AH116" s="75"/>
      <c r="AI116" s="75"/>
      <c r="AJ116" s="75"/>
      <c r="AK116" s="75"/>
      <c r="AL116" s="75"/>
      <c r="AM116" s="75"/>
      <c r="AN116" s="75"/>
      <c r="AO116" s="75"/>
      <c r="AP116" s="75"/>
      <c r="AQ116" s="71"/>
      <c r="AR116" s="75"/>
      <c r="AS116" s="75"/>
      <c r="AT116" s="75"/>
      <c r="AU116" s="71"/>
      <c r="AV116" s="71"/>
      <c r="AW116" s="71"/>
      <c r="AX116" s="71"/>
      <c r="AY116" s="72"/>
      <c r="AZ116" s="72"/>
      <c r="BA116" s="74"/>
    </row>
    <row r="117" spans="1:62" s="25" customFormat="1" ht="15" customHeight="1" x14ac:dyDescent="0.2">
      <c r="A117" s="36"/>
      <c r="B117" s="36"/>
      <c r="C117" s="36"/>
      <c r="D117" s="36"/>
      <c r="E117" s="36"/>
      <c r="F117" s="36"/>
      <c r="G117" s="36"/>
      <c r="H117" s="36"/>
      <c r="I117" s="36"/>
      <c r="J117" s="36"/>
      <c r="K117" s="36"/>
      <c r="L117" s="36"/>
      <c r="M117" s="36"/>
      <c r="N117" s="36"/>
      <c r="O117" s="36"/>
      <c r="P117" s="24"/>
      <c r="Q117" s="25">
        <v>57</v>
      </c>
      <c r="R117" s="72">
        <v>-16.188834154461691</v>
      </c>
      <c r="S117" s="72">
        <v>-7.1602013424963538</v>
      </c>
      <c r="T117" s="72">
        <v>60.548198699951172</v>
      </c>
      <c r="U117" s="72">
        <v>17.701605422835296</v>
      </c>
      <c r="V117" s="72">
        <v>2.2127006778544119E-2</v>
      </c>
      <c r="W117" s="72">
        <v>0.64855257757158247</v>
      </c>
      <c r="X117" s="72">
        <v>20.851864236981662</v>
      </c>
      <c r="Y117" s="72">
        <v>2.6064830296227078E-2</v>
      </c>
      <c r="Z117" s="72">
        <v>19.203691532583157</v>
      </c>
      <c r="AA117" s="72">
        <v>2.4004614415728945E-2</v>
      </c>
      <c r="AB117" s="72">
        <v>57</v>
      </c>
      <c r="AC117" s="237">
        <f t="shared" si="0"/>
        <v>49.192671072965368</v>
      </c>
      <c r="AD117" s="237">
        <f t="shared" si="1"/>
        <v>37.062762720070978</v>
      </c>
      <c r="AF117" s="151"/>
      <c r="AG117" s="75"/>
      <c r="AH117" s="75"/>
      <c r="AI117" s="75"/>
      <c r="AJ117" s="75"/>
      <c r="AK117" s="75"/>
      <c r="AL117" s="75"/>
      <c r="AM117" s="75"/>
      <c r="AN117" s="75"/>
      <c r="AO117" s="75"/>
      <c r="AP117" s="75"/>
      <c r="AQ117" s="71"/>
      <c r="AR117" s="75"/>
      <c r="AS117" s="75"/>
      <c r="AT117" s="75"/>
      <c r="AU117" s="71"/>
      <c r="AV117" s="71"/>
      <c r="AW117" s="71"/>
      <c r="AX117" s="71"/>
      <c r="AY117" s="72"/>
      <c r="AZ117" s="72"/>
      <c r="BA117" s="74"/>
    </row>
    <row r="118" spans="1:62" s="25" customFormat="1" ht="15" customHeight="1" x14ac:dyDescent="0.2">
      <c r="A118" s="36"/>
      <c r="B118" s="36"/>
      <c r="C118" s="36"/>
      <c r="D118" s="36"/>
      <c r="E118" s="36"/>
      <c r="F118" s="36"/>
      <c r="G118" s="36"/>
      <c r="H118" s="36"/>
      <c r="I118" s="36"/>
      <c r="J118" s="36"/>
      <c r="K118" s="36"/>
      <c r="L118" s="36"/>
      <c r="M118" s="36"/>
      <c r="N118" s="36"/>
      <c r="O118" s="36"/>
      <c r="P118" s="24"/>
      <c r="Q118" s="25">
        <v>58</v>
      </c>
      <c r="R118" s="72">
        <v>-16.809042508134542</v>
      </c>
      <c r="S118" s="72">
        <v>-7.366634176453557</v>
      </c>
      <c r="T118" s="72">
        <v>60.560649871826172</v>
      </c>
      <c r="U118" s="72">
        <v>18.352416983328588</v>
      </c>
      <c r="V118" s="72">
        <v>2.2940521229160734E-2</v>
      </c>
      <c r="W118" s="72">
        <v>0.65876576079506199</v>
      </c>
      <c r="X118" s="72">
        <v>21.503458617898701</v>
      </c>
      <c r="Y118" s="72">
        <v>2.6879323272373377E-2</v>
      </c>
      <c r="Z118" s="72">
        <v>19.857344001895083</v>
      </c>
      <c r="AA118" s="72">
        <v>2.4821680002368854E-2</v>
      </c>
      <c r="AB118" s="72">
        <v>58</v>
      </c>
      <c r="AC118" s="237">
        <f t="shared" si="0"/>
        <v>49.846297834263446</v>
      </c>
      <c r="AD118" s="237">
        <f t="shared" si="1"/>
        <v>37.716381178908875</v>
      </c>
      <c r="AF118" s="151"/>
      <c r="AG118" s="75"/>
      <c r="AH118" s="75"/>
      <c r="AI118" s="75"/>
      <c r="AJ118" s="75"/>
      <c r="AK118" s="75"/>
      <c r="AL118" s="75"/>
      <c r="AM118" s="75"/>
      <c r="AN118" s="75"/>
      <c r="AO118" s="75"/>
      <c r="AP118" s="75"/>
      <c r="AQ118" s="71"/>
      <c r="AR118" s="75"/>
      <c r="AS118" s="75"/>
      <c r="AT118" s="75"/>
      <c r="AU118" s="71"/>
      <c r="AV118" s="71"/>
      <c r="AW118" s="71"/>
      <c r="AX118" s="71"/>
      <c r="AY118" s="71"/>
      <c r="AZ118" s="72"/>
      <c r="BA118" s="74"/>
      <c r="BB118" s="72"/>
      <c r="BC118" s="72"/>
    </row>
    <row r="119" spans="1:62" s="25" customFormat="1" ht="15" customHeight="1" x14ac:dyDescent="0.2">
      <c r="A119" s="36"/>
      <c r="B119" s="36"/>
      <c r="C119" s="36"/>
      <c r="D119" s="36"/>
      <c r="E119" s="36"/>
      <c r="F119" s="36"/>
      <c r="G119" s="36"/>
      <c r="H119" s="36"/>
      <c r="I119" s="36"/>
      <c r="J119" s="36"/>
      <c r="K119" s="36"/>
      <c r="L119" s="36"/>
      <c r="M119" s="36"/>
      <c r="N119" s="36"/>
      <c r="O119" s="36"/>
      <c r="P119" s="24"/>
      <c r="Q119" s="25">
        <v>59</v>
      </c>
      <c r="R119" s="72">
        <v>-17.438977758832117</v>
      </c>
      <c r="S119" s="72">
        <v>-7.5761431143777997</v>
      </c>
      <c r="T119" s="72">
        <v>60.572715759277344</v>
      </c>
      <c r="U119" s="72">
        <v>19.013571199608332</v>
      </c>
      <c r="V119" s="72">
        <v>2.3766963999510414E-2</v>
      </c>
      <c r="W119" s="72">
        <v>0.66895389517785553</v>
      </c>
      <c r="X119" s="72">
        <v>22.165334252934777</v>
      </c>
      <c r="Y119" s="72">
        <v>2.770666781616847E-2</v>
      </c>
      <c r="Z119" s="72">
        <v>20.521196713865113</v>
      </c>
      <c r="AA119" s="72">
        <v>2.5651495892331389E-2</v>
      </c>
      <c r="AB119" s="72">
        <v>59</v>
      </c>
      <c r="AC119" s="237">
        <f t="shared" si="0"/>
        <v>50.510127073586887</v>
      </c>
      <c r="AD119" s="237">
        <f t="shared" si="1"/>
        <v>38.380199317439939</v>
      </c>
      <c r="AF119" s="151"/>
      <c r="AG119" s="75"/>
      <c r="AH119" s="75"/>
      <c r="AI119" s="75"/>
      <c r="AJ119" s="75"/>
      <c r="AK119" s="75"/>
      <c r="AL119" s="75"/>
      <c r="AM119" s="75"/>
      <c r="AN119" s="75"/>
      <c r="AO119" s="75"/>
      <c r="AP119" s="75"/>
      <c r="AQ119" s="71"/>
      <c r="AR119" s="75"/>
      <c r="AS119" s="75"/>
      <c r="AT119" s="75"/>
      <c r="AU119" s="71"/>
      <c r="AV119" s="71"/>
      <c r="AW119" s="71"/>
      <c r="AX119" s="71"/>
      <c r="AY119" s="71"/>
      <c r="AZ119" s="72"/>
      <c r="BA119" s="74"/>
      <c r="BB119" s="72"/>
      <c r="BC119" s="72"/>
    </row>
    <row r="120" spans="1:62" s="25" customFormat="1" ht="15" customHeight="1" x14ac:dyDescent="0.2">
      <c r="A120" s="67"/>
      <c r="B120" s="36"/>
      <c r="C120" s="36"/>
      <c r="D120" s="36"/>
      <c r="E120" s="36"/>
      <c r="F120" s="36"/>
      <c r="G120" s="36"/>
      <c r="H120" s="36"/>
      <c r="I120" s="36"/>
      <c r="J120" s="36"/>
      <c r="K120" s="36"/>
      <c r="L120" s="36"/>
      <c r="M120" s="36"/>
      <c r="N120" s="36"/>
      <c r="O120" s="36"/>
      <c r="P120" s="24"/>
      <c r="Q120" s="25">
        <v>60</v>
      </c>
      <c r="R120" s="72">
        <v>-18.078616684168956</v>
      </c>
      <c r="S120" s="72">
        <v>-7.7887200974844424</v>
      </c>
      <c r="T120" s="72">
        <v>60.584365844726562</v>
      </c>
      <c r="U120" s="72">
        <v>19.685033451078262</v>
      </c>
      <c r="V120" s="72">
        <v>2.4606291813847828E-2</v>
      </c>
      <c r="W120" s="72">
        <v>0.67911799076303092</v>
      </c>
      <c r="X120" s="72">
        <v>22.83746225547079</v>
      </c>
      <c r="Y120" s="72">
        <v>2.8546827819338486E-2</v>
      </c>
      <c r="Z120" s="72">
        <v>21.19522513472733</v>
      </c>
      <c r="AA120" s="72">
        <v>2.6494031418409163E-2</v>
      </c>
      <c r="AB120" s="72">
        <v>60</v>
      </c>
      <c r="AC120" s="237">
        <f t="shared" si="0"/>
        <v>51.184134162561833</v>
      </c>
      <c r="AD120" s="237">
        <f t="shared" si="1"/>
        <v>39.054192635731255</v>
      </c>
      <c r="AF120" s="151"/>
      <c r="AG120" s="75"/>
      <c r="AH120" s="75"/>
      <c r="AI120" s="75"/>
      <c r="AJ120" s="75"/>
      <c r="AK120" s="75"/>
      <c r="AL120" s="75"/>
      <c r="AM120" s="75"/>
      <c r="AN120" s="75"/>
      <c r="AO120" s="75"/>
      <c r="AP120" s="75"/>
      <c r="AQ120" s="71"/>
      <c r="AR120" s="75"/>
      <c r="AS120" s="75"/>
      <c r="AT120" s="75"/>
      <c r="AU120" s="71"/>
      <c r="AV120" s="71"/>
      <c r="AW120" s="71"/>
      <c r="AX120" s="71"/>
      <c r="AY120" s="71"/>
      <c r="AZ120" s="72"/>
      <c r="BA120" s="74"/>
      <c r="BB120" s="72"/>
      <c r="BC120" s="72"/>
    </row>
    <row r="121" spans="1:62" s="25" customFormat="1" ht="15" customHeight="1" x14ac:dyDescent="0.2">
      <c r="A121" s="67"/>
      <c r="B121" s="36"/>
      <c r="C121" s="36"/>
      <c r="D121" s="36"/>
      <c r="E121" s="36"/>
      <c r="F121" s="36"/>
      <c r="G121" s="36"/>
      <c r="H121" s="36"/>
      <c r="I121" s="36"/>
      <c r="J121" s="36"/>
      <c r="K121" s="36"/>
      <c r="L121" s="36"/>
      <c r="M121" s="36"/>
      <c r="N121" s="36"/>
      <c r="O121" s="36"/>
      <c r="P121" s="24"/>
      <c r="Q121" s="25">
        <v>61</v>
      </c>
      <c r="R121" s="72">
        <v>-18.727936905712291</v>
      </c>
      <c r="S121" s="72">
        <v>-8.0043577502609278</v>
      </c>
      <c r="T121" s="72">
        <v>60.595573425292969</v>
      </c>
      <c r="U121" s="72">
        <v>20.366771068053538</v>
      </c>
      <c r="V121" s="72">
        <v>2.5458463835066922E-2</v>
      </c>
      <c r="W121" s="72">
        <v>0.68925906766829004</v>
      </c>
      <c r="X121" s="72">
        <v>23.519815064606657</v>
      </c>
      <c r="Y121" s="72">
        <v>2.9399768830758323E-2</v>
      </c>
      <c r="Z121" s="72">
        <v>21.879405747433587</v>
      </c>
      <c r="AA121" s="72">
        <v>2.7349257184291983E-2</v>
      </c>
      <c r="AB121" s="72">
        <v>61</v>
      </c>
      <c r="AC121" s="237">
        <f t="shared" si="0"/>
        <v>51.868295487225204</v>
      </c>
      <c r="AD121" s="237">
        <f t="shared" si="1"/>
        <v>39.738337652024711</v>
      </c>
      <c r="AF121" s="151"/>
      <c r="AG121" s="75"/>
      <c r="AH121" s="75"/>
      <c r="AI121" s="75"/>
      <c r="AJ121" s="75"/>
      <c r="AK121" s="75"/>
      <c r="AL121" s="75"/>
      <c r="AM121" s="75"/>
      <c r="AN121" s="75"/>
      <c r="AO121" s="75"/>
      <c r="AP121" s="75"/>
      <c r="AQ121" s="71"/>
      <c r="AR121" s="75"/>
      <c r="AS121" s="75"/>
      <c r="AT121" s="75"/>
      <c r="AU121" s="71"/>
      <c r="AV121" s="71"/>
      <c r="AW121" s="71"/>
      <c r="AX121" s="71"/>
      <c r="AY121" s="71"/>
      <c r="AZ121" s="72"/>
      <c r="BA121" s="74"/>
      <c r="BB121" s="72"/>
      <c r="BC121" s="72"/>
    </row>
    <row r="122" spans="1:62" s="25" customFormat="1" ht="15" customHeight="1" x14ac:dyDescent="0.2">
      <c r="A122" s="67"/>
      <c r="B122" s="36"/>
      <c r="C122" s="36"/>
      <c r="D122" s="36"/>
      <c r="E122" s="36"/>
      <c r="F122" s="36"/>
      <c r="G122" s="36"/>
      <c r="H122" s="36"/>
      <c r="I122" s="36"/>
      <c r="J122" s="36"/>
      <c r="K122" s="36"/>
      <c r="L122" s="36"/>
      <c r="M122" s="36"/>
      <c r="N122" s="36"/>
      <c r="O122" s="36"/>
      <c r="P122" s="24"/>
      <c r="Q122" s="25">
        <v>62</v>
      </c>
      <c r="R122" s="72">
        <v>-19.386916905426364</v>
      </c>
      <c r="S122" s="72">
        <v>-8.2230493659711339</v>
      </c>
      <c r="T122" s="72">
        <v>60.606304168701172</v>
      </c>
      <c r="U122" s="72">
        <v>21.058753238810336</v>
      </c>
      <c r="V122" s="72">
        <v>2.6323441548512919E-2</v>
      </c>
      <c r="W122" s="72">
        <v>0.69937815755943245</v>
      </c>
      <c r="X122" s="72">
        <v>24.212366429938346</v>
      </c>
      <c r="Y122" s="72">
        <v>3.0265458037422931E-2</v>
      </c>
      <c r="Z122" s="72">
        <v>22.573716062333823</v>
      </c>
      <c r="AA122" s="72">
        <v>2.8217145077917279E-2</v>
      </c>
      <c r="AB122" s="72">
        <v>62</v>
      </c>
      <c r="AC122" s="237">
        <f t="shared" si="0"/>
        <v>52.562588459467321</v>
      </c>
      <c r="AD122" s="237">
        <f t="shared" si="1"/>
        <v>40.432611913207111</v>
      </c>
      <c r="AF122" s="151"/>
      <c r="AG122" s="75"/>
      <c r="AH122" s="75"/>
      <c r="AI122" s="75"/>
      <c r="AJ122" s="75"/>
      <c r="AK122" s="75"/>
      <c r="AL122" s="75"/>
      <c r="AM122" s="75"/>
      <c r="AN122" s="75"/>
      <c r="AO122" s="75"/>
      <c r="AP122" s="75"/>
      <c r="AQ122" s="71"/>
      <c r="AR122" s="75"/>
      <c r="AS122" s="75"/>
      <c r="AT122" s="75"/>
      <c r="AU122" s="71"/>
      <c r="AV122" s="71"/>
      <c r="AW122" s="71"/>
      <c r="AX122" s="71"/>
      <c r="AY122" s="71"/>
      <c r="AZ122" s="72"/>
      <c r="BA122" s="74"/>
      <c r="BB122" s="72"/>
      <c r="BC122" s="72"/>
    </row>
    <row r="123" spans="1:62" s="25" customFormat="1" ht="15" customHeight="1" x14ac:dyDescent="0.2">
      <c r="A123" s="67"/>
      <c r="B123" s="36"/>
      <c r="C123" s="36"/>
      <c r="D123" s="36"/>
      <c r="E123" s="36"/>
      <c r="F123" s="36"/>
      <c r="G123" s="36"/>
      <c r="H123" s="36"/>
      <c r="I123" s="36"/>
      <c r="J123" s="36"/>
      <c r="K123" s="36"/>
      <c r="L123" s="36"/>
      <c r="M123" s="36"/>
      <c r="N123" s="36"/>
      <c r="O123" s="36"/>
      <c r="P123" s="24"/>
      <c r="Q123" s="25">
        <v>63</v>
      </c>
      <c r="R123" s="72">
        <v>-20.055536043738527</v>
      </c>
      <c r="S123" s="72">
        <v>-8.4447888920093384</v>
      </c>
      <c r="T123" s="72">
        <v>60.616531372070313</v>
      </c>
      <c r="U123" s="72">
        <v>21.760950931250672</v>
      </c>
      <c r="V123" s="72">
        <v>2.720118866406334E-2</v>
      </c>
      <c r="W123" s="72">
        <v>0.70947630523552141</v>
      </c>
      <c r="X123" s="72">
        <v>24.915091400168482</v>
      </c>
      <c r="Y123" s="72">
        <v>3.1143864250210603E-2</v>
      </c>
      <c r="Z123" s="72">
        <v>23.27813462937344</v>
      </c>
      <c r="AA123" s="72">
        <v>2.90976682867168E-2</v>
      </c>
      <c r="AB123" s="72">
        <v>63</v>
      </c>
      <c r="AC123" s="237">
        <f t="shared" si="0"/>
        <v>53.266991529929221</v>
      </c>
      <c r="AD123" s="237">
        <f t="shared" si="1"/>
        <v>41.136994006797849</v>
      </c>
      <c r="AF123" s="151"/>
      <c r="AG123" s="75"/>
      <c r="AH123" s="75"/>
      <c r="AI123" s="75"/>
      <c r="AJ123" s="75"/>
      <c r="AK123" s="75"/>
      <c r="AL123" s="75"/>
      <c r="AM123" s="75"/>
      <c r="AN123" s="75"/>
      <c r="AO123" s="75"/>
      <c r="AP123" s="75"/>
      <c r="AQ123" s="71"/>
      <c r="AR123" s="75"/>
      <c r="AS123" s="75"/>
      <c r="AT123" s="75"/>
      <c r="AU123" s="71"/>
      <c r="AV123" s="71"/>
      <c r="AW123" s="71"/>
      <c r="AX123" s="71"/>
      <c r="AY123" s="71"/>
      <c r="AZ123" s="72"/>
      <c r="BA123" s="74"/>
      <c r="BB123" s="72"/>
      <c r="BC123" s="72"/>
    </row>
    <row r="124" spans="1:62" s="25" customFormat="1" ht="15" customHeight="1" x14ac:dyDescent="0.2">
      <c r="A124" s="36"/>
      <c r="B124" s="36"/>
      <c r="C124" s="36"/>
      <c r="D124" s="36"/>
      <c r="E124" s="36"/>
      <c r="F124" s="36"/>
      <c r="G124" s="36"/>
      <c r="H124" s="36"/>
      <c r="I124" s="36"/>
      <c r="J124" s="36"/>
      <c r="K124" s="36"/>
      <c r="L124" s="36"/>
      <c r="M124" s="36"/>
      <c r="N124" s="36"/>
      <c r="O124" s="36"/>
      <c r="P124" s="24"/>
      <c r="Q124" s="25">
        <v>64</v>
      </c>
      <c r="R124" s="72">
        <v>-20.733774579377304</v>
      </c>
      <c r="S124" s="72">
        <v>-8.6695709150185465</v>
      </c>
      <c r="T124" s="72">
        <v>60.626228332519531</v>
      </c>
      <c r="U124" s="72">
        <v>22.473336827426586</v>
      </c>
      <c r="V124" s="72">
        <v>2.8091671034283231E-2</v>
      </c>
      <c r="W124" s="72">
        <v>0.71955457033211057</v>
      </c>
      <c r="X124" s="72">
        <v>25.627966315438861</v>
      </c>
      <c r="Y124" s="72">
        <v>3.2034957894298575E-2</v>
      </c>
      <c r="Z124" s="72">
        <v>23.992641051923403</v>
      </c>
      <c r="AA124" s="72">
        <v>2.9990801314904253E-2</v>
      </c>
      <c r="AB124" s="72">
        <v>64</v>
      </c>
      <c r="AC124" s="237">
        <f t="shared" si="0"/>
        <v>53.981484202474519</v>
      </c>
      <c r="AD124" s="237">
        <f t="shared" si="1"/>
        <v>41.851463574569564</v>
      </c>
      <c r="AF124" s="151"/>
      <c r="AG124" s="75"/>
      <c r="AH124" s="75"/>
      <c r="AI124" s="75"/>
      <c r="AJ124" s="75"/>
      <c r="AK124" s="75"/>
      <c r="AL124" s="75"/>
      <c r="AM124" s="75"/>
      <c r="AN124" s="75"/>
      <c r="AO124" s="75"/>
      <c r="AP124" s="75"/>
      <c r="AQ124" s="71"/>
      <c r="AR124" s="75"/>
      <c r="AS124" s="75"/>
      <c r="AT124" s="75"/>
      <c r="AU124" s="71"/>
      <c r="AV124" s="71"/>
      <c r="AW124" s="71"/>
      <c r="AX124" s="71"/>
      <c r="AY124" s="71"/>
      <c r="AZ124" s="72"/>
      <c r="BA124" s="74"/>
      <c r="BB124" s="72"/>
      <c r="BC124" s="72"/>
    </row>
    <row r="125" spans="1:62" s="25" customFormat="1" ht="15" customHeight="1" x14ac:dyDescent="0.2">
      <c r="A125" s="36"/>
      <c r="B125" s="36"/>
      <c r="C125" s="36"/>
      <c r="D125" s="36"/>
      <c r="E125" s="36"/>
      <c r="F125" s="36"/>
      <c r="G125" s="36"/>
      <c r="H125" s="36"/>
      <c r="I125" s="36"/>
      <c r="J125" s="36"/>
      <c r="K125" s="36"/>
      <c r="L125" s="36"/>
      <c r="M125" s="36"/>
      <c r="N125" s="36"/>
      <c r="O125" s="36"/>
      <c r="P125" s="24"/>
      <c r="Q125" s="25">
        <v>65</v>
      </c>
      <c r="R125" s="72">
        <v>-21.421613691140706</v>
      </c>
      <c r="S125" s="72">
        <v>-8.8973906456833625</v>
      </c>
      <c r="T125" s="72">
        <v>60.635368347167969</v>
      </c>
      <c r="U125" s="72">
        <v>23.195885269468825</v>
      </c>
      <c r="V125" s="72">
        <v>2.8994856586836031E-2</v>
      </c>
      <c r="W125" s="72">
        <v>0.72961402914870099</v>
      </c>
      <c r="X125" s="72">
        <v>26.350968803301555</v>
      </c>
      <c r="Y125" s="72">
        <v>3.2938711004126944E-2</v>
      </c>
      <c r="Z125" s="72">
        <v>24.717216002364765</v>
      </c>
      <c r="AA125" s="72">
        <v>3.0896520002955955E-2</v>
      </c>
      <c r="AB125" s="72">
        <v>65</v>
      </c>
      <c r="AC125" s="237">
        <f t="shared" ref="AC125:AC188" si="22">IF(Q125="","",SQRT(($R125-$AR$61)^2+($S125-$AS$61)^2))</f>
        <v>54.706047050361775</v>
      </c>
      <c r="AD125" s="237">
        <f t="shared" ref="AD125:AD188" si="23">IF(Q125="","",SQRT(($R125-$AT$61)^2+($S125-$AU$61)^2))</f>
        <v>42.576001327923578</v>
      </c>
      <c r="AF125" s="151"/>
      <c r="AG125" s="75"/>
      <c r="AH125" s="75"/>
      <c r="AI125" s="75"/>
      <c r="AJ125" s="75"/>
      <c r="AK125" s="75"/>
      <c r="AL125" s="75"/>
      <c r="AM125" s="75"/>
      <c r="AN125" s="75"/>
      <c r="AO125" s="75"/>
      <c r="AP125" s="75"/>
      <c r="AQ125" s="71"/>
      <c r="AR125" s="75"/>
      <c r="AS125" s="75"/>
      <c r="AT125" s="75"/>
      <c r="AU125" s="71"/>
      <c r="AV125" s="71"/>
      <c r="AW125" s="71"/>
      <c r="AX125" s="71"/>
      <c r="AY125" s="71"/>
      <c r="AZ125" s="72"/>
      <c r="BA125" s="74"/>
      <c r="BB125" s="72"/>
      <c r="BC125" s="72"/>
    </row>
    <row r="126" spans="1:62" ht="15" customHeight="1" x14ac:dyDescent="0.2">
      <c r="A126" s="36"/>
      <c r="B126" s="36"/>
      <c r="C126" s="36"/>
      <c r="D126" s="36"/>
      <c r="E126" s="36"/>
      <c r="F126" s="36"/>
      <c r="G126" s="36"/>
      <c r="H126" s="36"/>
      <c r="I126" s="36"/>
      <c r="J126" s="36"/>
      <c r="K126" s="36"/>
      <c r="L126" s="36"/>
      <c r="M126" s="36"/>
      <c r="N126" s="36"/>
      <c r="O126" s="36"/>
      <c r="Q126" s="25">
        <v>66</v>
      </c>
      <c r="R126" s="72">
        <v>-22.1190355017611</v>
      </c>
      <c r="S126" s="72">
        <v>-9.1282439031032947</v>
      </c>
      <c r="T126" s="72">
        <v>60.6439208984375</v>
      </c>
      <c r="U126" s="72">
        <v>23.928572215715469</v>
      </c>
      <c r="V126" s="72">
        <v>2.9910715269644336E-2</v>
      </c>
      <c r="W126" s="72">
        <v>0.73965577660633652</v>
      </c>
      <c r="X126" s="72">
        <v>27.084077778271936</v>
      </c>
      <c r="Y126" s="72">
        <v>3.3855097222839921E-2</v>
      </c>
      <c r="Z126" s="72">
        <v>25.451841239555701</v>
      </c>
      <c r="AA126" s="72">
        <v>3.1814801549444625E-2</v>
      </c>
      <c r="AB126" s="72">
        <v>66</v>
      </c>
      <c r="AC126" s="237">
        <f t="shared" si="22"/>
        <v>55.440661734249616</v>
      </c>
      <c r="AD126" s="237">
        <f t="shared" si="23"/>
        <v>43.310589065148271</v>
      </c>
      <c r="AE126" s="25"/>
      <c r="AF126" s="151"/>
      <c r="AG126" s="75"/>
      <c r="AH126" s="75"/>
      <c r="AI126" s="75"/>
      <c r="AJ126" s="75"/>
      <c r="AK126" s="75"/>
      <c r="AL126" s="75"/>
      <c r="AM126" s="75"/>
      <c r="AN126" s="75"/>
      <c r="AO126" s="75"/>
      <c r="AP126" s="75"/>
      <c r="AQ126" s="71"/>
      <c r="AR126" s="75"/>
      <c r="AS126" s="75"/>
      <c r="AT126" s="75"/>
      <c r="AU126" s="71"/>
      <c r="AV126" s="71"/>
      <c r="AW126" s="71"/>
      <c r="AX126" s="71"/>
      <c r="AY126" s="71"/>
      <c r="AZ126" s="71"/>
      <c r="BB126" s="71"/>
      <c r="BD126" s="24"/>
      <c r="BG126" s="24"/>
      <c r="BJ126" s="24"/>
    </row>
    <row r="127" spans="1:62" ht="15" customHeight="1" x14ac:dyDescent="0.2">
      <c r="A127" s="36"/>
      <c r="B127" s="36"/>
      <c r="C127" s="36"/>
      <c r="D127" s="36"/>
      <c r="E127" s="36"/>
      <c r="F127" s="36"/>
      <c r="G127" s="36"/>
      <c r="H127" s="36"/>
      <c r="I127" s="36"/>
      <c r="J127" s="36"/>
      <c r="K127" s="36"/>
      <c r="L127" s="36"/>
      <c r="M127" s="36"/>
      <c r="N127" s="36"/>
      <c r="O127" s="36"/>
      <c r="Q127" s="25">
        <v>67</v>
      </c>
      <c r="R127" s="72">
        <v>-22.82602310266741</v>
      </c>
      <c r="S127" s="72">
        <v>-9.3621270987159377</v>
      </c>
      <c r="T127" s="72">
        <v>60.651859283447266</v>
      </c>
      <c r="U127" s="72">
        <v>24.671375204799947</v>
      </c>
      <c r="V127" s="72">
        <v>3.0839219005999934E-2</v>
      </c>
      <c r="W127" s="72">
        <v>0.74968092200574143</v>
      </c>
      <c r="X127" s="72">
        <v>27.827273443682081</v>
      </c>
      <c r="Y127" s="72">
        <v>3.4784091804602603E-2</v>
      </c>
      <c r="Z127" s="72">
        <v>26.196499627035202</v>
      </c>
      <c r="AA127" s="72">
        <v>3.2745624533794003E-2</v>
      </c>
      <c r="AB127" s="72">
        <v>67</v>
      </c>
      <c r="AC127" s="237">
        <f t="shared" si="22"/>
        <v>56.185311020886736</v>
      </c>
      <c r="AD127" s="237">
        <f t="shared" si="23"/>
        <v>44.055209689417062</v>
      </c>
      <c r="AE127" s="25"/>
      <c r="AF127" s="151"/>
      <c r="AG127" s="75"/>
      <c r="AH127" s="75"/>
      <c r="AI127" s="75"/>
      <c r="AJ127" s="75"/>
      <c r="AK127" s="75"/>
      <c r="AL127" s="75"/>
      <c r="AM127" s="75"/>
      <c r="AN127" s="75"/>
      <c r="AO127" s="75"/>
      <c r="AP127" s="75"/>
      <c r="AQ127" s="71"/>
      <c r="AR127" s="75"/>
      <c r="AS127" s="75"/>
      <c r="AT127" s="75"/>
      <c r="AU127" s="71"/>
      <c r="AV127" s="71"/>
      <c r="AW127" s="71"/>
      <c r="AX127" s="71"/>
      <c r="AY127" s="71"/>
      <c r="AZ127" s="71"/>
      <c r="BB127" s="71"/>
      <c r="BD127" s="24"/>
      <c r="BG127" s="24"/>
      <c r="BJ127" s="24"/>
    </row>
    <row r="128" spans="1:62" ht="15" customHeight="1" x14ac:dyDescent="0.2">
      <c r="A128" s="36"/>
      <c r="B128" s="36"/>
      <c r="C128" s="36"/>
      <c r="D128" s="36"/>
      <c r="E128" s="36"/>
      <c r="F128" s="36"/>
      <c r="G128" s="36"/>
      <c r="H128" s="36"/>
      <c r="I128" s="36"/>
      <c r="J128" s="36"/>
      <c r="K128" s="36"/>
      <c r="L128" s="36"/>
      <c r="M128" s="36"/>
      <c r="N128" s="36"/>
      <c r="O128" s="36"/>
      <c r="Q128" s="25">
        <v>68</v>
      </c>
      <c r="R128" s="72">
        <v>-23.542560537392241</v>
      </c>
      <c r="S128" s="72">
        <v>-9.5990372217304767</v>
      </c>
      <c r="T128" s="72">
        <v>60.659156799316406</v>
      </c>
      <c r="U128" s="72">
        <v>25.424273288354684</v>
      </c>
      <c r="V128" s="72">
        <v>3.1780341610443352E-2</v>
      </c>
      <c r="W128" s="72">
        <v>0.75969049908189401</v>
      </c>
      <c r="X128" s="72">
        <v>28.580537257174853</v>
      </c>
      <c r="Y128" s="72">
        <v>3.5725671571468567E-2</v>
      </c>
      <c r="Z128" s="72">
        <v>26.951175112544789</v>
      </c>
      <c r="AA128" s="72">
        <v>3.3688968890680987E-2</v>
      </c>
      <c r="AB128" s="72">
        <v>68</v>
      </c>
      <c r="AC128" s="237">
        <f t="shared" si="22"/>
        <v>56.93997876288212</v>
      </c>
      <c r="AD128" s="237">
        <f t="shared" si="23"/>
        <v>44.809847188199967</v>
      </c>
      <c r="AE128" s="25"/>
      <c r="AF128" s="151"/>
      <c r="AG128" s="75"/>
      <c r="AH128" s="75"/>
      <c r="AI128" s="75"/>
      <c r="AJ128" s="75"/>
      <c r="AK128" s="75"/>
      <c r="AL128" s="75"/>
      <c r="AM128" s="75"/>
      <c r="AN128" s="75"/>
      <c r="AO128" s="75"/>
      <c r="AP128" s="75"/>
      <c r="AQ128" s="71"/>
      <c r="AR128" s="75"/>
      <c r="AS128" s="75"/>
      <c r="AT128" s="75"/>
      <c r="AU128" s="71"/>
      <c r="AV128" s="71"/>
      <c r="AW128" s="71"/>
      <c r="AX128" s="71"/>
      <c r="AY128" s="71"/>
      <c r="AZ128" s="71"/>
      <c r="BB128" s="71"/>
      <c r="BD128" s="24"/>
      <c r="BG128" s="24"/>
      <c r="BJ128" s="24"/>
    </row>
    <row r="129" spans="1:62" ht="15" customHeight="1" x14ac:dyDescent="0.2">
      <c r="A129" s="36"/>
      <c r="B129" s="36"/>
      <c r="C129" s="36"/>
      <c r="D129" s="36"/>
      <c r="E129" s="36"/>
      <c r="F129" s="36"/>
      <c r="G129" s="36"/>
      <c r="H129" s="36"/>
      <c r="I129" s="36"/>
      <c r="J129" s="36"/>
      <c r="K129" s="36"/>
      <c r="L129" s="36"/>
      <c r="M129" s="36"/>
      <c r="N129" s="36"/>
      <c r="O129" s="36"/>
      <c r="Q129" s="25">
        <v>69</v>
      </c>
      <c r="R129" s="72">
        <v>-24.268632658595493</v>
      </c>
      <c r="S129" s="72">
        <v>-9.838971829965379</v>
      </c>
      <c r="T129" s="72">
        <v>60.665786743164063</v>
      </c>
      <c r="U129" s="72">
        <v>26.187246853930638</v>
      </c>
      <c r="V129" s="72">
        <v>3.27340585674133E-2</v>
      </c>
      <c r="W129" s="72">
        <v>0.76968535712631958</v>
      </c>
      <c r="X129" s="72">
        <v>29.343851781935577</v>
      </c>
      <c r="Y129" s="72">
        <v>3.667981472741947E-2</v>
      </c>
      <c r="Z129" s="72">
        <v>27.715852589504642</v>
      </c>
      <c r="AA129" s="72">
        <v>3.4644815736880802E-2</v>
      </c>
      <c r="AB129" s="72">
        <v>69</v>
      </c>
      <c r="AC129" s="237">
        <f t="shared" si="22"/>
        <v>57.70464975985</v>
      </c>
      <c r="AD129" s="237">
        <f t="shared" si="23"/>
        <v>45.57448649490366</v>
      </c>
      <c r="AE129" s="25"/>
      <c r="AF129" s="151"/>
      <c r="AG129" s="75"/>
      <c r="AH129" s="75"/>
      <c r="AI129" s="75"/>
      <c r="AJ129" s="75"/>
      <c r="AK129" s="75"/>
      <c r="AL129" s="75"/>
      <c r="AM129" s="75"/>
      <c r="AN129" s="75"/>
      <c r="AO129" s="75"/>
      <c r="AP129" s="75"/>
      <c r="AQ129" s="71"/>
      <c r="AR129" s="75"/>
      <c r="AS129" s="75"/>
      <c r="AT129" s="75"/>
      <c r="AU129" s="71"/>
      <c r="AV129" s="71"/>
      <c r="AW129" s="71"/>
      <c r="AX129" s="71"/>
      <c r="AY129" s="71"/>
      <c r="AZ129" s="71"/>
      <c r="BB129" s="71"/>
      <c r="BD129" s="24"/>
      <c r="BG129" s="24"/>
      <c r="BJ129" s="24"/>
    </row>
    <row r="130" spans="1:62" ht="15" customHeight="1" x14ac:dyDescent="0.2">
      <c r="A130" s="36"/>
      <c r="B130" s="36"/>
      <c r="C130" s="36"/>
      <c r="D130" s="36"/>
      <c r="E130" s="36"/>
      <c r="F130" s="36"/>
      <c r="G130" s="36"/>
      <c r="H130" s="36"/>
      <c r="I130" s="36"/>
      <c r="J130" s="36"/>
      <c r="K130" s="36"/>
      <c r="L130" s="36"/>
      <c r="M130" s="36"/>
      <c r="N130" s="36"/>
      <c r="O130" s="36"/>
      <c r="Q130" s="25">
        <v>70</v>
      </c>
      <c r="R130" s="72">
        <v>-25.004224926432936</v>
      </c>
      <c r="S130" s="72">
        <v>-10.081929042359233</v>
      </c>
      <c r="T130" s="72">
        <v>60.671718597412109</v>
      </c>
      <c r="U130" s="72">
        <v>26.960277398180025</v>
      </c>
      <c r="V130" s="72">
        <v>3.3700346747725034E-2</v>
      </c>
      <c r="W130" s="72">
        <v>0.77966614859410077</v>
      </c>
      <c r="X130" s="72">
        <v>30.117200484609004</v>
      </c>
      <c r="Y130" s="72">
        <v>3.7646500605761253E-2</v>
      </c>
      <c r="Z130" s="72">
        <v>28.490517703401423</v>
      </c>
      <c r="AA130" s="72">
        <v>3.5613147129251781E-2</v>
      </c>
      <c r="AB130" s="72">
        <v>70</v>
      </c>
      <c r="AC130" s="237">
        <f t="shared" si="22"/>
        <v>58.479309564261364</v>
      </c>
      <c r="AD130" s="237">
        <f t="shared" si="23"/>
        <v>46.349113295535822</v>
      </c>
      <c r="AE130" s="25"/>
      <c r="AF130" s="151"/>
      <c r="AG130" s="75"/>
      <c r="AH130" s="75"/>
      <c r="AI130" s="75"/>
      <c r="AJ130" s="75"/>
      <c r="AK130" s="75"/>
      <c r="AL130" s="75"/>
      <c r="AM130" s="75"/>
      <c r="AN130" s="75"/>
      <c r="AO130" s="75"/>
      <c r="AP130" s="75"/>
      <c r="AQ130" s="71"/>
      <c r="AR130" s="75"/>
      <c r="AS130" s="75"/>
      <c r="AT130" s="75"/>
      <c r="AU130" s="71"/>
      <c r="AV130" s="71"/>
      <c r="AW130" s="71"/>
      <c r="AX130" s="71"/>
      <c r="AY130" s="71"/>
      <c r="AZ130" s="71"/>
      <c r="BB130" s="71"/>
      <c r="BD130" s="24"/>
      <c r="BG130" s="24"/>
      <c r="BJ130" s="24"/>
    </row>
    <row r="131" spans="1:62" ht="15" customHeight="1" x14ac:dyDescent="0.2">
      <c r="A131" s="36"/>
      <c r="B131" s="36"/>
      <c r="C131" s="36"/>
      <c r="D131" s="36"/>
      <c r="E131" s="36"/>
      <c r="F131" s="36"/>
      <c r="G131" s="36"/>
      <c r="H131" s="36"/>
      <c r="I131" s="36"/>
      <c r="J131" s="36"/>
      <c r="K131" s="36"/>
      <c r="L131" s="36"/>
      <c r="M131" s="36"/>
      <c r="N131" s="36"/>
      <c r="O131" s="36"/>
      <c r="Q131" s="24">
        <v>71</v>
      </c>
      <c r="R131" s="71">
        <v>-25.74932320400826</v>
      </c>
      <c r="S131" s="71">
        <v>-10.327907530145156</v>
      </c>
      <c r="T131" s="71">
        <v>60.676933288574219</v>
      </c>
      <c r="U131" s="71">
        <v>27.743347300131379</v>
      </c>
      <c r="V131" s="71">
        <v>3.4679184125164221E-2</v>
      </c>
      <c r="W131" s="71">
        <v>0.78963332859633917</v>
      </c>
      <c r="X131" s="71">
        <v>30.900567530387644</v>
      </c>
      <c r="Y131" s="71">
        <v>3.8625709412984557E-2</v>
      </c>
      <c r="Z131" s="71">
        <v>29.275156654942943</v>
      </c>
      <c r="AA131" s="71">
        <v>3.6593945818678676E-2</v>
      </c>
      <c r="AB131" s="71">
        <v>71</v>
      </c>
      <c r="AC131" s="237">
        <f t="shared" si="22"/>
        <v>59.263944284126694</v>
      </c>
      <c r="AD131" s="237">
        <f t="shared" si="23"/>
        <v>47.133713832121629</v>
      </c>
      <c r="AF131" s="151"/>
      <c r="AG131" s="75"/>
      <c r="AH131" s="75"/>
      <c r="AI131" s="75"/>
      <c r="AJ131" s="75"/>
      <c r="AK131" s="75"/>
      <c r="AL131" s="75"/>
      <c r="AM131" s="75"/>
      <c r="AN131" s="75"/>
      <c r="AO131" s="75"/>
      <c r="AP131" s="75"/>
      <c r="AQ131" s="71"/>
      <c r="AR131" s="75"/>
      <c r="AS131" s="75"/>
      <c r="AT131" s="75"/>
      <c r="AU131" s="71"/>
      <c r="AV131" s="71"/>
      <c r="AW131" s="71"/>
      <c r="AX131" s="71"/>
      <c r="AY131" s="71"/>
      <c r="AZ131" s="71"/>
      <c r="BB131" s="71"/>
      <c r="BD131" s="24"/>
      <c r="BG131" s="24"/>
      <c r="BJ131" s="24"/>
    </row>
    <row r="132" spans="1:62" ht="15" customHeight="1" x14ac:dyDescent="0.2">
      <c r="A132" s="36"/>
      <c r="B132" s="36"/>
      <c r="C132" s="36"/>
      <c r="D132" s="36"/>
      <c r="E132" s="36"/>
      <c r="F132" s="36"/>
      <c r="G132" s="36"/>
      <c r="H132" s="36"/>
      <c r="I132" s="36"/>
      <c r="J132" s="36"/>
      <c r="K132" s="36"/>
      <c r="L132" s="36"/>
      <c r="M132" s="36"/>
      <c r="N132" s="36"/>
      <c r="O132" s="36"/>
      <c r="Q132" s="24">
        <v>72</v>
      </c>
      <c r="R132" s="71">
        <v>-26.503913552800121</v>
      </c>
      <c r="S132" s="71">
        <v>-10.576906506334335</v>
      </c>
      <c r="T132" s="71">
        <v>60.681400299072266</v>
      </c>
      <c r="U132" s="71">
        <v>28.53643959673385</v>
      </c>
      <c r="V132" s="71">
        <v>3.567054949591731E-2</v>
      </c>
      <c r="W132" s="71">
        <v>0.79958715426713245</v>
      </c>
      <c r="X132" s="71">
        <v>31.69393757783196</v>
      </c>
      <c r="Y132" s="71">
        <v>3.961742197228995E-2</v>
      </c>
      <c r="Z132" s="71">
        <v>30.069756002611182</v>
      </c>
      <c r="AA132" s="71">
        <v>3.7587195003263976E-2</v>
      </c>
      <c r="AB132" s="71">
        <v>72</v>
      </c>
      <c r="AC132" s="237">
        <f t="shared" si="22"/>
        <v>60.058540385149939</v>
      </c>
      <c r="AD132" s="237">
        <f t="shared" si="23"/>
        <v>47.928274705495653</v>
      </c>
      <c r="AF132" s="151"/>
      <c r="AG132" s="75"/>
      <c r="AH132" s="75"/>
      <c r="AI132" s="75"/>
      <c r="AJ132" s="75"/>
      <c r="AK132" s="75"/>
      <c r="AL132" s="75"/>
      <c r="AM132" s="75"/>
      <c r="AN132" s="75"/>
      <c r="AO132" s="75"/>
      <c r="AP132" s="75"/>
      <c r="AQ132" s="71"/>
      <c r="AR132" s="75"/>
      <c r="AS132" s="75"/>
      <c r="AT132" s="75"/>
      <c r="AU132" s="71"/>
      <c r="AV132" s="71"/>
      <c r="AW132" s="71"/>
      <c r="AX132" s="71"/>
      <c r="AY132" s="71"/>
      <c r="AZ132" s="71"/>
      <c r="BB132" s="71"/>
      <c r="BD132" s="24"/>
      <c r="BG132" s="24"/>
      <c r="BJ132" s="24"/>
    </row>
    <row r="133" spans="1:62" ht="15" customHeight="1" x14ac:dyDescent="0.2">
      <c r="A133" s="36"/>
      <c r="B133" s="36"/>
      <c r="C133" s="36"/>
      <c r="D133" s="36"/>
      <c r="E133" s="36"/>
      <c r="F133" s="36"/>
      <c r="G133" s="36"/>
      <c r="H133" s="36"/>
      <c r="I133" s="36"/>
      <c r="J133" s="36"/>
      <c r="K133" s="36"/>
      <c r="L133" s="36"/>
      <c r="M133" s="36"/>
      <c r="N133" s="36"/>
      <c r="O133" s="36"/>
      <c r="Q133" s="24">
        <v>73</v>
      </c>
      <c r="R133" s="71">
        <v>-27.267982028018444</v>
      </c>
      <c r="S133" s="71">
        <v>-10.828925713306544</v>
      </c>
      <c r="T133" s="71">
        <v>60.685092926025391</v>
      </c>
      <c r="U133" s="71">
        <v>29.339537760241701</v>
      </c>
      <c r="V133" s="71">
        <v>3.6674422200302127E-2</v>
      </c>
      <c r="W133" s="71">
        <v>0.80952768405976983</v>
      </c>
      <c r="X133" s="71">
        <v>32.497295573314595</v>
      </c>
      <c r="Y133" s="71">
        <v>4.0621619466643243E-2</v>
      </c>
      <c r="Z133" s="71">
        <v>30.874302464510986</v>
      </c>
      <c r="AA133" s="71">
        <v>3.8592878080638736E-2</v>
      </c>
      <c r="AB133" s="71">
        <v>73</v>
      </c>
      <c r="AC133" s="237">
        <f t="shared" si="22"/>
        <v>60.863084492245534</v>
      </c>
      <c r="AD133" s="237">
        <f t="shared" si="23"/>
        <v>48.73278267736525</v>
      </c>
      <c r="AF133" s="151"/>
      <c r="AG133" s="75"/>
      <c r="AH133" s="75"/>
      <c r="AI133" s="75"/>
      <c r="AJ133" s="75"/>
      <c r="AK133" s="75"/>
      <c r="AL133" s="75"/>
      <c r="AM133" s="75"/>
      <c r="AN133" s="75"/>
      <c r="AO133" s="75"/>
      <c r="AP133" s="75"/>
      <c r="AQ133" s="71"/>
      <c r="AR133" s="75"/>
      <c r="AS133" s="75"/>
      <c r="AT133" s="75"/>
      <c r="AU133" s="71"/>
      <c r="AV133" s="71"/>
      <c r="AW133" s="71"/>
      <c r="AX133" s="71"/>
      <c r="AY133" s="71"/>
      <c r="AZ133" s="71"/>
      <c r="BB133" s="71"/>
      <c r="BD133" s="24"/>
      <c r="BG133" s="24"/>
      <c r="BJ133" s="24"/>
    </row>
    <row r="134" spans="1:62" ht="15" customHeight="1" x14ac:dyDescent="0.2">
      <c r="A134" s="36"/>
      <c r="B134" s="36"/>
      <c r="C134" s="36"/>
      <c r="D134" s="36"/>
      <c r="E134" s="36"/>
      <c r="F134" s="36"/>
      <c r="G134" s="36"/>
      <c r="H134" s="36"/>
      <c r="I134" s="36"/>
      <c r="J134" s="36"/>
      <c r="K134" s="36"/>
      <c r="L134" s="36"/>
      <c r="M134" s="36"/>
      <c r="N134" s="36"/>
      <c r="O134" s="36"/>
      <c r="Q134" s="24">
        <v>74</v>
      </c>
      <c r="R134" s="71">
        <v>-28.041514473901241</v>
      </c>
      <c r="S134" s="71">
        <v>-11.083965408311016</v>
      </c>
      <c r="T134" s="71">
        <v>60.687980651855469</v>
      </c>
      <c r="U134" s="71">
        <v>30.152625477106433</v>
      </c>
      <c r="V134" s="71">
        <v>3.769078184638304E-2</v>
      </c>
      <c r="W134" s="71">
        <v>0.81945477702996428</v>
      </c>
      <c r="X134" s="71">
        <v>33.310626545033301</v>
      </c>
      <c r="Y134" s="71">
        <v>4.1638283181291626E-2</v>
      </c>
      <c r="Z134" s="71">
        <v>31.688782719467639</v>
      </c>
      <c r="AA134" s="71">
        <v>3.961097839933455E-2</v>
      </c>
      <c r="AB134" s="71">
        <v>74</v>
      </c>
      <c r="AC134" s="237">
        <f t="shared" si="22"/>
        <v>61.677563190366619</v>
      </c>
      <c r="AD134" s="237">
        <f t="shared" si="23"/>
        <v>49.547224471597424</v>
      </c>
      <c r="AF134" s="151"/>
      <c r="AG134" s="75"/>
      <c r="AH134" s="75"/>
      <c r="AI134" s="75"/>
      <c r="AJ134" s="75"/>
      <c r="AK134" s="75"/>
      <c r="AL134" s="75"/>
      <c r="AM134" s="75"/>
      <c r="AN134" s="75"/>
      <c r="AO134" s="75"/>
      <c r="AP134" s="75"/>
      <c r="AQ134" s="71"/>
      <c r="AR134" s="75"/>
      <c r="AS134" s="75"/>
      <c r="AT134" s="75"/>
      <c r="AU134" s="71"/>
      <c r="AV134" s="71"/>
      <c r="AW134" s="71"/>
      <c r="AX134" s="71"/>
      <c r="AY134" s="71"/>
      <c r="AZ134" s="71"/>
      <c r="BB134" s="71"/>
      <c r="BD134" s="24"/>
      <c r="BG134" s="24"/>
      <c r="BJ134" s="24"/>
    </row>
    <row r="135" spans="1:62" ht="15" customHeight="1" x14ac:dyDescent="0.2">
      <c r="A135" s="36"/>
      <c r="B135" s="36"/>
      <c r="C135" s="36"/>
      <c r="D135" s="36"/>
      <c r="E135" s="36"/>
      <c r="F135" s="36"/>
      <c r="G135" s="36"/>
      <c r="H135" s="36"/>
      <c r="I135" s="36"/>
      <c r="J135" s="36"/>
      <c r="K135" s="36"/>
      <c r="L135" s="36"/>
      <c r="M135" s="36"/>
      <c r="N135" s="36"/>
      <c r="O135" s="36"/>
      <c r="Q135" s="24">
        <v>75</v>
      </c>
      <c r="R135" s="71">
        <v>-28.824496319022803</v>
      </c>
      <c r="S135" s="71">
        <v>-11.342026346689876</v>
      </c>
      <c r="T135" s="71">
        <v>60.690040588378906</v>
      </c>
      <c r="U135" s="71">
        <v>30.975686428138545</v>
      </c>
      <c r="V135" s="71">
        <v>3.8719608035173179E-2</v>
      </c>
      <c r="W135" s="71">
        <v>0.82936809216739993</v>
      </c>
      <c r="X135" s="71">
        <v>34.133915396594674</v>
      </c>
      <c r="Y135" s="71">
        <v>4.266739424574334E-2</v>
      </c>
      <c r="Z135" s="71">
        <v>32.513183207386476</v>
      </c>
      <c r="AA135" s="71">
        <v>4.0641479009233095E-2</v>
      </c>
      <c r="AB135" s="71">
        <v>75</v>
      </c>
      <c r="AC135" s="237">
        <f t="shared" si="22"/>
        <v>62.501962824652459</v>
      </c>
      <c r="AD135" s="237">
        <f t="shared" si="23"/>
        <v>50.371586574741194</v>
      </c>
      <c r="AF135" s="151"/>
      <c r="AG135" s="75"/>
      <c r="AH135" s="75"/>
      <c r="AI135" s="75"/>
      <c r="AJ135" s="75"/>
      <c r="AK135" s="75"/>
      <c r="AL135" s="75"/>
      <c r="AM135" s="75"/>
      <c r="AN135" s="75"/>
      <c r="AO135" s="75"/>
      <c r="AP135" s="75"/>
      <c r="AQ135" s="71"/>
      <c r="AR135" s="75"/>
      <c r="AS135" s="75"/>
      <c r="AT135" s="75"/>
      <c r="AU135" s="71"/>
      <c r="AV135" s="71"/>
      <c r="AW135" s="71"/>
      <c r="AX135" s="71"/>
      <c r="AY135" s="71"/>
      <c r="AZ135" s="71"/>
      <c r="BB135" s="71"/>
      <c r="BD135" s="24"/>
      <c r="BG135" s="24"/>
      <c r="BJ135" s="24"/>
    </row>
    <row r="136" spans="1:62" ht="15" customHeight="1" x14ac:dyDescent="0.2">
      <c r="A136" s="36"/>
      <c r="B136" s="36"/>
      <c r="C136" s="36"/>
      <c r="D136" s="36"/>
      <c r="E136" s="36"/>
      <c r="F136" s="36"/>
      <c r="G136" s="36"/>
      <c r="H136" s="36"/>
      <c r="I136" s="36"/>
      <c r="J136" s="36"/>
      <c r="K136" s="36"/>
      <c r="L136" s="36"/>
      <c r="M136" s="36"/>
      <c r="N136" s="36"/>
      <c r="O136" s="36"/>
      <c r="Q136" s="24">
        <v>76</v>
      </c>
      <c r="R136" s="71">
        <v>-29.616912371746253</v>
      </c>
      <c r="S136" s="71">
        <v>-11.603109762647891</v>
      </c>
      <c r="T136" s="71">
        <v>60.691238403320313</v>
      </c>
      <c r="U136" s="71">
        <v>31.808704069794342</v>
      </c>
      <c r="V136" s="71">
        <v>3.9760880087242927E-2</v>
      </c>
      <c r="W136" s="71">
        <v>0.83926708784056359</v>
      </c>
      <c r="X136" s="71">
        <v>34.967146700231694</v>
      </c>
      <c r="Y136" s="71">
        <v>4.3708933375289617E-2</v>
      </c>
      <c r="Z136" s="71">
        <v>33.347489928950282</v>
      </c>
      <c r="AA136" s="71">
        <v>4.168436241118785E-2</v>
      </c>
      <c r="AB136" s="71">
        <v>76</v>
      </c>
      <c r="AC136" s="237">
        <f t="shared" si="22"/>
        <v>63.336269299965828</v>
      </c>
      <c r="AD136" s="237">
        <f t="shared" si="23"/>
        <v>51.205855035860374</v>
      </c>
      <c r="AF136" s="151"/>
      <c r="AG136" s="75"/>
      <c r="AH136" s="75"/>
      <c r="AI136" s="75"/>
      <c r="AJ136" s="75"/>
      <c r="AK136" s="75"/>
      <c r="AL136" s="75"/>
      <c r="AM136" s="75"/>
      <c r="AN136" s="75"/>
      <c r="AO136" s="75"/>
      <c r="AP136" s="75"/>
      <c r="AQ136" s="71"/>
      <c r="AR136" s="75"/>
      <c r="AS136" s="75"/>
      <c r="AT136" s="75"/>
      <c r="AU136" s="71"/>
      <c r="AV136" s="71"/>
      <c r="AW136" s="71"/>
      <c r="AX136" s="71"/>
      <c r="AY136" s="71"/>
      <c r="AZ136" s="71"/>
      <c r="BB136" s="71"/>
      <c r="BD136" s="24"/>
      <c r="BG136" s="24"/>
      <c r="BJ136" s="24"/>
    </row>
    <row r="137" spans="1:62" ht="15" customHeight="1" x14ac:dyDescent="0.2">
      <c r="A137" s="36"/>
      <c r="B137" s="36"/>
      <c r="C137" s="36"/>
      <c r="D137" s="36"/>
      <c r="E137" s="36"/>
      <c r="F137" s="36"/>
      <c r="G137" s="36"/>
      <c r="H137" s="36"/>
      <c r="I137" s="36"/>
      <c r="J137" s="36"/>
      <c r="K137" s="36"/>
      <c r="L137" s="36"/>
      <c r="M137" s="36"/>
      <c r="N137" s="36"/>
      <c r="O137" s="36"/>
      <c r="Q137" s="24">
        <v>77</v>
      </c>
      <c r="R137" s="71">
        <v>-30.418746616018783</v>
      </c>
      <c r="S137" s="71">
        <v>-11.867217347407298</v>
      </c>
      <c r="T137" s="71">
        <v>60.691543579101563</v>
      </c>
      <c r="U137" s="71">
        <v>32.651661416536811</v>
      </c>
      <c r="V137" s="71">
        <v>4.0814576770671011E-2</v>
      </c>
      <c r="W137" s="71">
        <v>0.84915102142365417</v>
      </c>
      <c r="X137" s="71">
        <v>35.810304489784585</v>
      </c>
      <c r="Y137" s="71">
        <v>4.4762880612230729E-2</v>
      </c>
      <c r="Z137" s="71">
        <v>34.191688244797433</v>
      </c>
      <c r="AA137" s="71">
        <v>4.2739610305996795E-2</v>
      </c>
      <c r="AB137" s="71">
        <v>77</v>
      </c>
      <c r="AC137" s="237">
        <f t="shared" si="22"/>
        <v>64.180467879958897</v>
      </c>
      <c r="AD137" s="237">
        <f t="shared" si="23"/>
        <v>52.05001526581885</v>
      </c>
      <c r="AF137" s="151"/>
      <c r="AG137" s="75"/>
      <c r="AH137" s="75"/>
      <c r="AI137" s="75"/>
      <c r="AJ137" s="75"/>
      <c r="AK137" s="75"/>
      <c r="AL137" s="75"/>
      <c r="AM137" s="75"/>
      <c r="AN137" s="75"/>
      <c r="AO137" s="75"/>
      <c r="AP137" s="75"/>
      <c r="AQ137" s="71"/>
      <c r="AR137" s="75"/>
      <c r="AS137" s="75"/>
      <c r="AT137" s="75"/>
      <c r="AU137" s="71"/>
      <c r="AV137" s="71"/>
      <c r="AW137" s="71"/>
      <c r="AX137" s="71"/>
      <c r="AY137" s="71"/>
      <c r="AZ137" s="71"/>
      <c r="BB137" s="71"/>
      <c r="BD137" s="24"/>
      <c r="BG137" s="24"/>
      <c r="BJ137" s="24"/>
    </row>
    <row r="138" spans="1:62" ht="15" customHeight="1" x14ac:dyDescent="0.2">
      <c r="A138" s="36"/>
      <c r="B138" s="36"/>
      <c r="C138" s="36"/>
      <c r="D138" s="36"/>
      <c r="E138" s="36"/>
      <c r="F138" s="36"/>
      <c r="G138" s="36"/>
      <c r="H138" s="36"/>
      <c r="I138" s="36"/>
      <c r="J138" s="36"/>
      <c r="K138" s="36"/>
      <c r="L138" s="36"/>
      <c r="M138" s="36"/>
      <c r="N138" s="36"/>
      <c r="O138" s="36"/>
      <c r="Q138" s="24">
        <v>78</v>
      </c>
      <c r="R138" s="71">
        <v>-31.229982007776087</v>
      </c>
      <c r="S138" s="71">
        <v>-12.134351224604581</v>
      </c>
      <c r="T138" s="71">
        <v>60.690929412841797</v>
      </c>
      <c r="U138" s="71">
        <v>33.504540824313359</v>
      </c>
      <c r="V138" s="71">
        <v>4.1880676030391702E-2</v>
      </c>
      <c r="W138" s="71">
        <v>0.8590189491781578</v>
      </c>
      <c r="X138" s="71">
        <v>36.663372053644309</v>
      </c>
      <c r="Y138" s="71">
        <v>4.5829215067055389E-2</v>
      </c>
      <c r="Z138" s="71">
        <v>35.045762674394403</v>
      </c>
      <c r="AA138" s="71">
        <v>4.3807203342993005E-2</v>
      </c>
      <c r="AB138" s="71">
        <v>78</v>
      </c>
      <c r="AC138" s="237">
        <f t="shared" si="22"/>
        <v>65.034542985876342</v>
      </c>
      <c r="AD138" s="237">
        <f t="shared" si="23"/>
        <v>52.90405183623124</v>
      </c>
      <c r="AF138" s="151"/>
      <c r="AG138" s="75"/>
      <c r="AH138" s="75"/>
      <c r="AI138" s="75"/>
      <c r="AJ138" s="75"/>
      <c r="AK138" s="75"/>
      <c r="AL138" s="75"/>
      <c r="AM138" s="75"/>
      <c r="AN138" s="75"/>
      <c r="AO138" s="75"/>
      <c r="AP138" s="75"/>
      <c r="AQ138" s="71"/>
      <c r="AR138" s="75"/>
      <c r="AS138" s="75"/>
      <c r="AT138" s="75"/>
      <c r="AU138" s="71"/>
      <c r="AV138" s="71"/>
      <c r="AW138" s="71"/>
      <c r="AX138" s="71"/>
      <c r="AY138" s="71"/>
      <c r="AZ138" s="71"/>
      <c r="BB138" s="71"/>
      <c r="BD138" s="24"/>
      <c r="BG138" s="24"/>
      <c r="BJ138" s="24"/>
    </row>
    <row r="139" spans="1:62" ht="15" customHeight="1" x14ac:dyDescent="0.2">
      <c r="A139" s="36"/>
      <c r="B139" s="36"/>
      <c r="C139" s="36"/>
      <c r="D139" s="36"/>
      <c r="E139" s="36"/>
      <c r="F139" s="36"/>
      <c r="G139" s="36"/>
      <c r="H139" s="36"/>
      <c r="I139" s="36"/>
      <c r="J139" s="36"/>
      <c r="K139" s="36"/>
      <c r="L139" s="36"/>
      <c r="M139" s="36"/>
      <c r="N139" s="36"/>
      <c r="O139" s="36"/>
      <c r="Q139" s="24">
        <v>79</v>
      </c>
      <c r="R139" s="71">
        <v>-32.050600272532876</v>
      </c>
      <c r="S139" s="71">
        <v>-12.404513922800927</v>
      </c>
      <c r="T139" s="71">
        <v>60.689357757568359</v>
      </c>
      <c r="U139" s="71">
        <v>34.367323775508716</v>
      </c>
      <c r="V139" s="71">
        <v>4.2959154719385897E-2</v>
      </c>
      <c r="W139" s="71">
        <v>0.86886972801109752</v>
      </c>
      <c r="X139" s="71">
        <v>37.526331728153842</v>
      </c>
      <c r="Y139" s="71">
        <v>4.6907914660192306E-2</v>
      </c>
      <c r="Z139" s="71">
        <v>35.909696695115322</v>
      </c>
      <c r="AA139" s="71">
        <v>4.4887120868894154E-2</v>
      </c>
      <c r="AB139" s="71">
        <v>79</v>
      </c>
      <c r="AC139" s="237">
        <f t="shared" si="22"/>
        <v>65.898477995605319</v>
      </c>
      <c r="AD139" s="237">
        <f t="shared" si="23"/>
        <v>53.767948278590957</v>
      </c>
      <c r="AF139" s="151"/>
      <c r="AG139" s="75"/>
      <c r="AH139" s="75"/>
      <c r="AI139" s="75"/>
      <c r="AJ139" s="75"/>
      <c r="AK139" s="75"/>
      <c r="AL139" s="75"/>
      <c r="AM139" s="75"/>
      <c r="AN139" s="75"/>
      <c r="AO139" s="75"/>
      <c r="AP139" s="75"/>
      <c r="AQ139" s="71"/>
      <c r="AR139" s="75"/>
      <c r="AS139" s="75"/>
      <c r="AT139" s="75"/>
      <c r="AU139" s="71"/>
      <c r="AV139" s="71"/>
      <c r="AW139" s="71"/>
      <c r="AX139" s="71"/>
      <c r="AY139" s="71"/>
      <c r="AZ139" s="71"/>
      <c r="BB139" s="71"/>
      <c r="BD139" s="24"/>
      <c r="BG139" s="24"/>
      <c r="BJ139" s="24"/>
    </row>
    <row r="140" spans="1:62" ht="15" customHeight="1" x14ac:dyDescent="0.2">
      <c r="A140" s="36"/>
      <c r="B140" s="36"/>
      <c r="C140" s="36"/>
      <c r="D140" s="36"/>
      <c r="E140" s="36"/>
      <c r="F140" s="36"/>
      <c r="G140" s="36"/>
      <c r="H140" s="36"/>
      <c r="I140" s="36"/>
      <c r="J140" s="36"/>
      <c r="K140" s="36"/>
      <c r="L140" s="36"/>
      <c r="M140" s="36"/>
      <c r="N140" s="36"/>
      <c r="O140" s="36"/>
      <c r="Q140" s="24">
        <v>80</v>
      </c>
      <c r="R140" s="71">
        <v>-32.880581735225313</v>
      </c>
      <c r="S140" s="71">
        <v>-12.677708344130135</v>
      </c>
      <c r="T140" s="71">
        <v>60.686798095703125</v>
      </c>
      <c r="U140" s="71">
        <v>35.239990693892913</v>
      </c>
      <c r="V140" s="71">
        <v>4.4049988367366143E-2</v>
      </c>
      <c r="W140" s="71">
        <v>0.87870210155977335</v>
      </c>
      <c r="X140" s="71">
        <v>38.399164720150772</v>
      </c>
      <c r="Y140" s="71">
        <v>4.7998955900188461E-2</v>
      </c>
      <c r="Z140" s="71">
        <v>36.783472570684516</v>
      </c>
      <c r="AA140" s="71">
        <v>4.5979340713355646E-2</v>
      </c>
      <c r="AB140" s="71">
        <v>80</v>
      </c>
      <c r="AC140" s="237">
        <f t="shared" si="22"/>
        <v>66.772255072226514</v>
      </c>
      <c r="AD140" s="237">
        <f t="shared" si="23"/>
        <v>54.641686912673258</v>
      </c>
      <c r="AF140" s="151"/>
      <c r="AG140" s="75"/>
      <c r="AH140" s="75"/>
      <c r="AI140" s="75"/>
      <c r="AJ140" s="75"/>
      <c r="AK140" s="75"/>
      <c r="AL140" s="75"/>
      <c r="AM140" s="75"/>
      <c r="AN140" s="75"/>
      <c r="AO140" s="75"/>
      <c r="AP140" s="75"/>
      <c r="AQ140" s="71"/>
      <c r="AR140" s="75"/>
      <c r="AS140" s="75"/>
      <c r="AT140" s="75"/>
      <c r="AU140" s="71"/>
      <c r="AV140" s="71"/>
      <c r="AW140" s="71"/>
      <c r="AX140" s="71"/>
      <c r="AY140" s="71"/>
      <c r="AZ140" s="71"/>
      <c r="BB140" s="71"/>
      <c r="BD140" s="24"/>
      <c r="BG140" s="24"/>
      <c r="BJ140" s="24"/>
    </row>
    <row r="141" spans="1:62" ht="15" customHeight="1" x14ac:dyDescent="0.2">
      <c r="A141" s="67"/>
      <c r="B141" s="36"/>
      <c r="C141" s="36"/>
      <c r="D141" s="36"/>
      <c r="E141" s="36"/>
      <c r="F141" s="36"/>
      <c r="G141" s="36"/>
      <c r="H141" s="36"/>
      <c r="I141" s="36"/>
      <c r="J141" s="36"/>
      <c r="K141" s="36"/>
      <c r="L141" s="36"/>
      <c r="M141" s="36"/>
      <c r="N141" s="36"/>
      <c r="O141" s="36"/>
      <c r="Q141" s="24">
        <v>81</v>
      </c>
      <c r="R141" s="71">
        <v>-33.719905332123538</v>
      </c>
      <c r="S141" s="71">
        <v>-12.953937724933485</v>
      </c>
      <c r="T141" s="71">
        <v>60.683216094970703</v>
      </c>
      <c r="U141" s="71">
        <v>36.122520927931212</v>
      </c>
      <c r="V141" s="71">
        <v>4.5153151159914015E-2</v>
      </c>
      <c r="W141" s="71">
        <v>0.88851491810278083</v>
      </c>
      <c r="X141" s="71">
        <v>39.281851097312568</v>
      </c>
      <c r="Y141" s="71">
        <v>4.9102313871640713E-2</v>
      </c>
      <c r="Z141" s="71">
        <v>37.667071349753961</v>
      </c>
      <c r="AA141" s="71">
        <v>4.7083839187192451E-2</v>
      </c>
      <c r="AB141" s="71">
        <v>81</v>
      </c>
      <c r="AC141" s="237">
        <f t="shared" si="22"/>
        <v>67.655855163312836</v>
      </c>
      <c r="AD141" s="237">
        <f t="shared" si="23"/>
        <v>55.5252488447125</v>
      </c>
      <c r="AF141" s="151"/>
      <c r="AG141" s="75"/>
      <c r="AH141" s="75"/>
      <c r="AI141" s="75"/>
      <c r="AJ141" s="75"/>
      <c r="AK141" s="75"/>
      <c r="AL141" s="75"/>
      <c r="AM141" s="75"/>
      <c r="AN141" s="75"/>
      <c r="AO141" s="75"/>
      <c r="AP141" s="75"/>
      <c r="AQ141" s="71"/>
      <c r="AR141" s="75"/>
      <c r="AS141" s="75"/>
      <c r="AT141" s="75"/>
      <c r="AU141" s="71"/>
      <c r="AV141" s="71"/>
      <c r="AW141" s="71"/>
      <c r="AX141" s="71"/>
      <c r="AY141" s="71"/>
      <c r="AZ141" s="71"/>
      <c r="BB141" s="71"/>
      <c r="BD141" s="24"/>
      <c r="BG141" s="24"/>
      <c r="BJ141" s="24"/>
    </row>
    <row r="142" spans="1:62" ht="15" customHeight="1" x14ac:dyDescent="0.2">
      <c r="A142" s="67"/>
      <c r="B142" s="36"/>
      <c r="C142" s="36"/>
      <c r="D142" s="36"/>
      <c r="E142" s="36"/>
      <c r="F142" s="36"/>
      <c r="G142" s="36"/>
      <c r="H142" s="36"/>
      <c r="I142" s="36"/>
      <c r="J142" s="36"/>
      <c r="K142" s="36"/>
      <c r="L142" s="36"/>
      <c r="M142" s="36"/>
      <c r="N142" s="36"/>
      <c r="O142" s="36"/>
      <c r="Q142" s="24">
        <v>82</v>
      </c>
      <c r="R142" s="71">
        <v>-34.568548778243837</v>
      </c>
      <c r="S142" s="71">
        <v>-13.233205589879736</v>
      </c>
      <c r="T142" s="71">
        <v>60.678569793701172</v>
      </c>
      <c r="U142" s="71">
        <v>37.01489287864883</v>
      </c>
      <c r="V142" s="71">
        <v>4.6268616098311038E-2</v>
      </c>
      <c r="W142" s="71">
        <v>0.89830718660584019</v>
      </c>
      <c r="X142" s="71">
        <v>40.174369922465125</v>
      </c>
      <c r="Y142" s="71">
        <v>5.0217962403081406E-2</v>
      </c>
      <c r="Z142" s="71">
        <v>38.56047300994976</v>
      </c>
      <c r="AA142" s="71">
        <v>4.8200591262437198E-2</v>
      </c>
      <c r="AB142" s="71">
        <v>82</v>
      </c>
      <c r="AC142" s="237">
        <f t="shared" si="22"/>
        <v>68.549258146135756</v>
      </c>
      <c r="AD142" s="237">
        <f t="shared" si="23"/>
        <v>56.418614110763137</v>
      </c>
      <c r="AF142" s="151"/>
      <c r="AG142" s="75"/>
      <c r="AH142" s="75"/>
      <c r="AI142" s="75"/>
      <c r="AJ142" s="75"/>
      <c r="AK142" s="75"/>
      <c r="AL142" s="75"/>
      <c r="AM142" s="75"/>
      <c r="AN142" s="75"/>
      <c r="AO142" s="75"/>
      <c r="AP142" s="75"/>
      <c r="AQ142" s="71"/>
      <c r="AR142" s="75"/>
      <c r="AS142" s="75"/>
      <c r="AT142" s="75"/>
      <c r="AU142" s="71"/>
      <c r="AV142" s="71"/>
      <c r="AW142" s="71"/>
      <c r="AX142" s="71"/>
      <c r="AY142" s="71"/>
      <c r="AZ142" s="71"/>
      <c r="BB142" s="71"/>
      <c r="BD142" s="24"/>
      <c r="BG142" s="24"/>
      <c r="BJ142" s="24"/>
    </row>
    <row r="143" spans="1:62" ht="15" customHeight="1" x14ac:dyDescent="0.2">
      <c r="A143" s="67"/>
      <c r="B143" s="36"/>
      <c r="C143" s="36"/>
      <c r="D143" s="36"/>
      <c r="E143" s="36"/>
      <c r="F143" s="36"/>
      <c r="G143" s="36"/>
      <c r="H143" s="36"/>
      <c r="I143" s="36"/>
      <c r="J143" s="36"/>
      <c r="K143" s="36"/>
      <c r="L143" s="36"/>
      <c r="M143" s="36"/>
      <c r="N143" s="36"/>
      <c r="O143" s="36"/>
      <c r="Q143" s="24">
        <v>83</v>
      </c>
      <c r="R143" s="71">
        <v>-35.426488750264561</v>
      </c>
      <c r="S143" s="71">
        <v>-13.515515704126301</v>
      </c>
      <c r="T143" s="71">
        <v>60.672821044921875</v>
      </c>
      <c r="U143" s="71">
        <v>37.917084143181505</v>
      </c>
      <c r="V143" s="71">
        <v>4.7396355178976883E-2</v>
      </c>
      <c r="W143" s="71">
        <v>0.90807807324801249</v>
      </c>
      <c r="X143" s="71">
        <v>41.076699402835985</v>
      </c>
      <c r="Y143" s="71">
        <v>5.1345874253544983E-2</v>
      </c>
      <c r="Z143" s="71">
        <v>39.463656616105808</v>
      </c>
      <c r="AA143" s="71">
        <v>4.932957077013226E-2</v>
      </c>
      <c r="AB143" s="71">
        <v>83</v>
      </c>
      <c r="AC143" s="237">
        <f t="shared" si="22"/>
        <v>69.452442986986128</v>
      </c>
      <c r="AD143" s="237">
        <f t="shared" si="23"/>
        <v>57.321761834241407</v>
      </c>
      <c r="AF143" s="151"/>
      <c r="AG143" s="75"/>
      <c r="AH143" s="75"/>
      <c r="AI143" s="75"/>
      <c r="AJ143" s="75"/>
      <c r="AK143" s="75"/>
      <c r="AL143" s="75"/>
      <c r="AM143" s="75"/>
      <c r="AN143" s="75"/>
      <c r="AO143" s="75"/>
      <c r="AP143" s="75"/>
      <c r="AQ143" s="71"/>
      <c r="AR143" s="75"/>
      <c r="AS143" s="75"/>
      <c r="AT143" s="75"/>
      <c r="AU143" s="71"/>
      <c r="AV143" s="71"/>
      <c r="AW143" s="71"/>
      <c r="AX143" s="71"/>
      <c r="AY143" s="71"/>
      <c r="AZ143" s="71"/>
      <c r="BB143" s="71"/>
      <c r="BD143" s="24"/>
      <c r="BG143" s="24"/>
      <c r="BJ143" s="24"/>
    </row>
    <row r="144" spans="1:62" ht="15" customHeight="1" x14ac:dyDescent="0.2">
      <c r="A144" s="67"/>
      <c r="B144" s="36"/>
      <c r="C144" s="36"/>
      <c r="D144" s="36"/>
      <c r="E144" s="36"/>
      <c r="F144" s="36"/>
      <c r="G144" s="36"/>
      <c r="H144" s="36"/>
      <c r="I144" s="36"/>
      <c r="J144" s="36"/>
      <c r="K144" s="36"/>
      <c r="L144" s="36"/>
      <c r="M144" s="36"/>
      <c r="N144" s="36"/>
      <c r="O144" s="36"/>
      <c r="Q144" s="24">
        <v>84</v>
      </c>
      <c r="R144" s="71">
        <v>-36.293701065662837</v>
      </c>
      <c r="S144" s="71">
        <v>-13.800872024268758</v>
      </c>
      <c r="T144" s="71">
        <v>60.665939331054688</v>
      </c>
      <c r="U144" s="71">
        <v>38.829071656092168</v>
      </c>
      <c r="V144" s="71">
        <v>4.853633957011521E-2</v>
      </c>
      <c r="W144" s="71">
        <v>0.91782689739073597</v>
      </c>
      <c r="X144" s="71">
        <v>41.988817036402139</v>
      </c>
      <c r="Y144" s="71">
        <v>5.2486021295502672E-2</v>
      </c>
      <c r="Z144" s="71">
        <v>40.376600474632006</v>
      </c>
      <c r="AA144" s="71">
        <v>5.0470750593290009E-2</v>
      </c>
      <c r="AB144" s="71">
        <v>84</v>
      </c>
      <c r="AC144" s="237">
        <f t="shared" si="22"/>
        <v>70.365387896498774</v>
      </c>
      <c r="AD144" s="237">
        <f t="shared" si="23"/>
        <v>58.234670379634132</v>
      </c>
      <c r="AF144" s="151"/>
      <c r="AG144" s="75"/>
      <c r="AH144" s="75"/>
      <c r="AI144" s="75"/>
      <c r="AJ144" s="75"/>
      <c r="AK144" s="75"/>
      <c r="AL144" s="75"/>
      <c r="AM144" s="75"/>
      <c r="AN144" s="75"/>
      <c r="AO144" s="75"/>
      <c r="AP144" s="75"/>
      <c r="AQ144" s="71"/>
      <c r="AR144" s="75"/>
      <c r="AS144" s="75"/>
      <c r="AT144" s="75"/>
      <c r="AU144" s="71"/>
      <c r="AV144" s="71"/>
      <c r="AW144" s="71"/>
      <c r="AX144" s="71"/>
      <c r="AY144" s="71"/>
      <c r="AZ144" s="71"/>
      <c r="BB144" s="71"/>
      <c r="BD144" s="24"/>
      <c r="BG144" s="24"/>
      <c r="BJ144" s="24"/>
    </row>
    <row r="145" spans="1:62" ht="15" customHeight="1" x14ac:dyDescent="0.2">
      <c r="A145" s="67"/>
      <c r="B145" s="36"/>
      <c r="C145" s="36"/>
      <c r="D145" s="36"/>
      <c r="E145" s="36"/>
      <c r="F145" s="36"/>
      <c r="G145" s="36"/>
      <c r="H145" s="36"/>
      <c r="I145" s="36"/>
      <c r="J145" s="36"/>
      <c r="K145" s="36"/>
      <c r="L145" s="36"/>
      <c r="M145" s="36"/>
      <c r="N145" s="36"/>
      <c r="O145" s="36"/>
      <c r="Q145" s="24">
        <v>85</v>
      </c>
      <c r="R145" s="71">
        <v>-37.170160857844074</v>
      </c>
      <c r="S145" s="71">
        <v>-14.089278648254039</v>
      </c>
      <c r="T145" s="71">
        <v>60.657878875732422</v>
      </c>
      <c r="U145" s="71">
        <v>39.750831828103308</v>
      </c>
      <c r="V145" s="71">
        <v>4.9688539785129132E-2</v>
      </c>
      <c r="W145" s="71">
        <v>0.92755312744004226</v>
      </c>
      <c r="X145" s="71">
        <v>42.910699755069523</v>
      </c>
      <c r="Y145" s="71">
        <v>5.36383746938369E-2</v>
      </c>
      <c r="Z145" s="71">
        <v>41.299282283848704</v>
      </c>
      <c r="AA145" s="71">
        <v>5.162410285481088E-2</v>
      </c>
      <c r="AB145" s="71">
        <v>85</v>
      </c>
      <c r="AC145" s="237">
        <f t="shared" si="22"/>
        <v>71.288070480822057</v>
      </c>
      <c r="AD145" s="237">
        <f t="shared" si="23"/>
        <v>59.15731750220926</v>
      </c>
      <c r="AF145" s="151"/>
      <c r="AG145" s="75"/>
      <c r="AH145" s="75"/>
      <c r="AI145" s="75"/>
      <c r="AJ145" s="75"/>
      <c r="AK145" s="75"/>
      <c r="AL145" s="75"/>
      <c r="AM145" s="75"/>
      <c r="AN145" s="75"/>
      <c r="AO145" s="75"/>
      <c r="AP145" s="75"/>
      <c r="AQ145" s="71"/>
      <c r="AR145" s="75"/>
      <c r="AS145" s="75"/>
      <c r="AT145" s="75"/>
      <c r="AU145" s="71"/>
      <c r="AV145" s="71"/>
      <c r="AW145" s="71"/>
      <c r="AX145" s="71"/>
      <c r="AY145" s="71"/>
      <c r="AZ145" s="71"/>
      <c r="BB145" s="71"/>
      <c r="BD145" s="24"/>
      <c r="BG145" s="24"/>
      <c r="BJ145" s="24"/>
    </row>
    <row r="146" spans="1:62" ht="15" customHeight="1" x14ac:dyDescent="0.2">
      <c r="A146" s="67"/>
      <c r="B146" s="36"/>
      <c r="C146" s="67"/>
      <c r="D146" s="67"/>
      <c r="E146" s="67"/>
      <c r="F146" s="67"/>
      <c r="G146" s="67"/>
      <c r="H146" s="67"/>
      <c r="I146" s="67"/>
      <c r="J146" s="67"/>
      <c r="K146" s="67"/>
      <c r="L146" s="67"/>
      <c r="M146" s="67"/>
      <c r="N146" s="67"/>
      <c r="O146" s="36"/>
      <c r="Q146" s="24">
        <v>86</v>
      </c>
      <c r="R146" s="71">
        <v>-38.05584274713479</v>
      </c>
      <c r="S146" s="71">
        <v>-14.380739764438903</v>
      </c>
      <c r="T146" s="71">
        <v>60.648601531982422</v>
      </c>
      <c r="U146" s="71">
        <v>40.682340682010491</v>
      </c>
      <c r="V146" s="71">
        <v>5.0852925852513116E-2</v>
      </c>
      <c r="W146" s="71">
        <v>0.93725637664397687</v>
      </c>
      <c r="X146" s="71">
        <v>43.842324064525279</v>
      </c>
      <c r="Y146" s="71">
        <v>5.4802905080656598E-2</v>
      </c>
      <c r="Z146" s="71">
        <v>42.231679280213655</v>
      </c>
      <c r="AA146" s="71">
        <v>5.2789599100267065E-2</v>
      </c>
      <c r="AB146" s="71">
        <v>86</v>
      </c>
      <c r="AC146" s="237">
        <f t="shared" si="22"/>
        <v>72.220467888568848</v>
      </c>
      <c r="AD146" s="237">
        <f t="shared" si="23"/>
        <v>60.089680493655791</v>
      </c>
      <c r="AF146" s="151"/>
      <c r="AG146" s="75"/>
      <c r="AH146" s="75"/>
      <c r="AI146" s="75"/>
      <c r="AJ146" s="75"/>
      <c r="AK146" s="75"/>
      <c r="AL146" s="75"/>
      <c r="AM146" s="75"/>
      <c r="AN146" s="75"/>
      <c r="AO146" s="75"/>
      <c r="AP146" s="75"/>
      <c r="AQ146" s="71"/>
      <c r="AR146" s="75"/>
      <c r="AS146" s="75"/>
      <c r="AT146" s="75"/>
      <c r="AU146" s="71"/>
      <c r="AV146" s="71"/>
      <c r="AW146" s="71"/>
      <c r="AX146" s="71"/>
      <c r="AY146" s="71"/>
      <c r="AZ146" s="71"/>
      <c r="BB146" s="71"/>
      <c r="BD146" s="24"/>
      <c r="BG146" s="24"/>
      <c r="BJ146" s="24"/>
    </row>
    <row r="147" spans="1:62" ht="15" customHeight="1" x14ac:dyDescent="0.2">
      <c r="A147" s="67"/>
      <c r="B147" s="67"/>
      <c r="C147" s="67"/>
      <c r="D147" s="67"/>
      <c r="E147" s="67"/>
      <c r="F147" s="67"/>
      <c r="G147" s="67"/>
      <c r="H147" s="67"/>
      <c r="I147" s="67"/>
      <c r="J147" s="67"/>
      <c r="K147" s="67"/>
      <c r="L147" s="67"/>
      <c r="M147" s="67"/>
      <c r="N147" s="67"/>
      <c r="O147" s="67"/>
      <c r="Q147" s="24">
        <v>87</v>
      </c>
      <c r="R147" s="71">
        <v>-38.950721007548545</v>
      </c>
      <c r="S147" s="71">
        <v>-14.675259599982008</v>
      </c>
      <c r="T147" s="71">
        <v>60.638065338134766</v>
      </c>
      <c r="U147" s="71">
        <v>41.623573985600366</v>
      </c>
      <c r="V147" s="71">
        <v>5.2029467482000456E-2</v>
      </c>
      <c r="W147" s="71">
        <v>0.94693639886142755</v>
      </c>
      <c r="X147" s="71">
        <v>44.78366618065121</v>
      </c>
      <c r="Y147" s="71">
        <v>5.5979582725814013E-2</v>
      </c>
      <c r="Z147" s="71">
        <v>43.173768380406379</v>
      </c>
      <c r="AA147" s="71">
        <v>5.3967210475507975E-2</v>
      </c>
      <c r="AB147" s="71">
        <v>87</v>
      </c>
      <c r="AC147" s="237">
        <f t="shared" si="22"/>
        <v>73.162556953523122</v>
      </c>
      <c r="AD147" s="237">
        <f t="shared" si="23"/>
        <v>61.031736323620216</v>
      </c>
      <c r="AF147" s="151"/>
      <c r="AG147" s="75"/>
      <c r="AH147" s="75"/>
      <c r="AI147" s="75"/>
      <c r="AJ147" s="75"/>
      <c r="AK147" s="75"/>
      <c r="AL147" s="75"/>
      <c r="AM147" s="75"/>
      <c r="AN147" s="75"/>
      <c r="AO147" s="75"/>
      <c r="AP147" s="75"/>
      <c r="AQ147" s="71"/>
      <c r="AR147" s="75"/>
      <c r="AS147" s="75"/>
      <c r="AT147" s="75"/>
      <c r="AU147" s="71"/>
      <c r="AV147" s="71"/>
      <c r="AW147" s="71"/>
      <c r="AX147" s="71"/>
      <c r="AY147" s="71"/>
      <c r="AZ147" s="71"/>
      <c r="BB147" s="71"/>
      <c r="BD147" s="24"/>
      <c r="BG147" s="24"/>
      <c r="BJ147" s="24"/>
    </row>
    <row r="148" spans="1:62" ht="15" customHeight="1" x14ac:dyDescent="0.2">
      <c r="A148" s="67"/>
      <c r="B148" s="67"/>
      <c r="C148" s="67"/>
      <c r="D148" s="67"/>
      <c r="E148" s="67"/>
      <c r="F148" s="67"/>
      <c r="G148" s="67"/>
      <c r="H148" s="67"/>
      <c r="I148" s="67"/>
      <c r="J148" s="67"/>
      <c r="K148" s="67"/>
      <c r="L148" s="67"/>
      <c r="M148" s="67"/>
      <c r="N148" s="67"/>
      <c r="O148" s="67"/>
      <c r="Q148" s="24">
        <v>88</v>
      </c>
      <c r="R148" s="71">
        <v>-39.854769729267012</v>
      </c>
      <c r="S148" s="71">
        <v>-14.972842368763306</v>
      </c>
      <c r="T148" s="71">
        <v>60.626235961914062</v>
      </c>
      <c r="U148" s="71">
        <v>42.574507381445194</v>
      </c>
      <c r="V148" s="71">
        <v>5.3218134226806491E-2</v>
      </c>
      <c r="W148" s="71">
        <v>0.95659308433302082</v>
      </c>
      <c r="X148" s="71">
        <v>45.734702162426515</v>
      </c>
      <c r="Y148" s="71">
        <v>5.7168377703033145E-2</v>
      </c>
      <c r="Z148" s="71">
        <v>44.125526319266413</v>
      </c>
      <c r="AA148" s="71">
        <v>5.5156907899083014E-2</v>
      </c>
      <c r="AB148" s="71">
        <v>88</v>
      </c>
      <c r="AC148" s="237">
        <f t="shared" si="22"/>
        <v>74.114314333108481</v>
      </c>
      <c r="AD148" s="237">
        <f t="shared" si="23"/>
        <v>61.983461777137201</v>
      </c>
      <c r="AF148" s="151"/>
      <c r="AG148" s="75"/>
      <c r="AH148" s="75"/>
      <c r="AI148" s="75"/>
      <c r="AJ148" s="75"/>
      <c r="AK148" s="75"/>
      <c r="AL148" s="75"/>
      <c r="AM148" s="75"/>
      <c r="AN148" s="75"/>
      <c r="AO148" s="75"/>
      <c r="AP148" s="75"/>
      <c r="AQ148" s="71"/>
      <c r="AR148" s="75"/>
      <c r="AS148" s="75"/>
      <c r="AT148" s="75"/>
      <c r="AU148" s="71"/>
      <c r="AV148" s="71"/>
      <c r="AW148" s="71"/>
      <c r="AX148" s="71"/>
      <c r="AY148" s="71"/>
      <c r="AZ148" s="71"/>
      <c r="BB148" s="71"/>
      <c r="BD148" s="24"/>
      <c r="BG148" s="24"/>
      <c r="BJ148" s="24"/>
    </row>
    <row r="149" spans="1:62" ht="15" customHeight="1" x14ac:dyDescent="0.2">
      <c r="A149" s="67"/>
      <c r="B149" s="67"/>
      <c r="C149" s="67"/>
      <c r="D149" s="67"/>
      <c r="E149" s="67"/>
      <c r="F149" s="67"/>
      <c r="G149" s="67"/>
      <c r="H149" s="67"/>
      <c r="I149" s="67"/>
      <c r="J149" s="67"/>
      <c r="K149" s="67"/>
      <c r="L149" s="67"/>
      <c r="M149" s="67"/>
      <c r="N149" s="67"/>
      <c r="O149" s="67"/>
      <c r="Q149" s="24">
        <v>89</v>
      </c>
      <c r="R149" s="71">
        <v>-40.767962976805592</v>
      </c>
      <c r="S149" s="71">
        <v>-15.273492219028499</v>
      </c>
      <c r="T149" s="71">
        <v>60.613067626953125</v>
      </c>
      <c r="U149" s="71">
        <v>43.53511651348731</v>
      </c>
      <c r="V149" s="71">
        <v>5.4418895641859137E-2</v>
      </c>
      <c r="W149" s="71">
        <v>0.96622645547961417</v>
      </c>
      <c r="X149" s="71">
        <v>46.695408041281809</v>
      </c>
      <c r="Y149" s="71">
        <v>5.8369260051602263E-2</v>
      </c>
      <c r="Z149" s="71">
        <v>45.086929783608916</v>
      </c>
      <c r="AA149" s="71">
        <v>5.6358662229511143E-2</v>
      </c>
      <c r="AB149" s="71">
        <v>89</v>
      </c>
      <c r="AC149" s="237">
        <f t="shared" si="22"/>
        <v>75.075716642650818</v>
      </c>
      <c r="AD149" s="237">
        <f t="shared" si="23"/>
        <v>62.944833587979474</v>
      </c>
      <c r="AF149" s="151"/>
      <c r="AG149" s="75"/>
      <c r="AH149" s="75"/>
      <c r="AI149" s="75"/>
      <c r="AJ149" s="75"/>
      <c r="AK149" s="75"/>
      <c r="AL149" s="75"/>
      <c r="AM149" s="75"/>
      <c r="AN149" s="75"/>
      <c r="AO149" s="75"/>
      <c r="AP149" s="75"/>
      <c r="AQ149" s="71"/>
      <c r="AR149" s="75"/>
      <c r="AS149" s="75"/>
      <c r="AT149" s="75"/>
      <c r="AU149" s="71"/>
      <c r="AV149" s="71"/>
      <c r="AW149" s="71"/>
      <c r="AX149" s="71"/>
      <c r="AY149" s="71"/>
      <c r="AZ149" s="71"/>
      <c r="BB149" s="71"/>
      <c r="BD149" s="24"/>
      <c r="BG149" s="24"/>
      <c r="BJ149" s="24"/>
    </row>
    <row r="150" spans="1:62" ht="15" customHeight="1" x14ac:dyDescent="0.2">
      <c r="A150" s="67"/>
      <c r="B150" s="67"/>
      <c r="O150" s="67"/>
      <c r="Q150" s="24">
        <v>90</v>
      </c>
      <c r="R150" s="71">
        <v>-41.690274942855041</v>
      </c>
      <c r="S150" s="71">
        <v>-15.577213180958644</v>
      </c>
      <c r="T150" s="71">
        <v>60.598529815673828</v>
      </c>
      <c r="U150" s="71">
        <v>44.505377150361042</v>
      </c>
      <c r="V150" s="71">
        <v>5.5631721437951302E-2</v>
      </c>
      <c r="W150" s="71">
        <v>0.97583666274920133</v>
      </c>
      <c r="X150" s="71">
        <v>47.665759946894013</v>
      </c>
      <c r="Y150" s="71">
        <v>5.9582199933617519E-2</v>
      </c>
      <c r="Z150" s="71">
        <v>46.057955541962365</v>
      </c>
      <c r="AA150" s="71">
        <v>5.7572444427452955E-2</v>
      </c>
      <c r="AB150" s="71">
        <v>90</v>
      </c>
      <c r="AC150" s="237">
        <f t="shared" si="22"/>
        <v>76.046740585488507</v>
      </c>
      <c r="AD150" s="237">
        <f t="shared" si="23"/>
        <v>63.915828567972341</v>
      </c>
      <c r="AF150" s="151"/>
      <c r="AG150" s="75"/>
      <c r="AH150" s="75"/>
      <c r="AI150" s="75"/>
      <c r="AJ150" s="75"/>
      <c r="AK150" s="75"/>
      <c r="AL150" s="75"/>
      <c r="AM150" s="75"/>
      <c r="AN150" s="75"/>
      <c r="AO150" s="75"/>
      <c r="AP150" s="75"/>
      <c r="AQ150" s="71"/>
      <c r="AR150" s="75"/>
      <c r="AS150" s="75"/>
      <c r="AT150" s="75"/>
      <c r="AU150" s="71"/>
      <c r="AV150" s="71"/>
      <c r="AW150" s="71"/>
      <c r="AX150" s="71"/>
      <c r="AY150" s="71"/>
      <c r="AZ150" s="71"/>
      <c r="BB150" s="71"/>
      <c r="BD150" s="24"/>
      <c r="BG150" s="24"/>
      <c r="BJ150" s="24"/>
    </row>
    <row r="151" spans="1:62" ht="15" customHeight="1" x14ac:dyDescent="0.2">
      <c r="A151" s="67"/>
      <c r="O151" s="67"/>
      <c r="Q151" s="24">
        <v>91</v>
      </c>
      <c r="R151" s="71">
        <v>-42.621680097805658</v>
      </c>
      <c r="S151" s="71">
        <v>-15.884009114367858</v>
      </c>
      <c r="T151" s="71">
        <v>60.582572937011719</v>
      </c>
      <c r="U151" s="71">
        <v>45.485265305426147</v>
      </c>
      <c r="V151" s="71">
        <v>5.6856581631782685E-2</v>
      </c>
      <c r="W151" s="71">
        <v>0.98542398051385127</v>
      </c>
      <c r="X151" s="71">
        <v>48.645734229432428</v>
      </c>
      <c r="Y151" s="71">
        <v>6.0807167786790538E-2</v>
      </c>
      <c r="Z151" s="71">
        <v>47.038580570288161</v>
      </c>
      <c r="AA151" s="71">
        <v>5.8798225712860204E-2</v>
      </c>
      <c r="AB151" s="71">
        <v>91</v>
      </c>
      <c r="AC151" s="237">
        <f t="shared" si="22"/>
        <v>77.027363078998306</v>
      </c>
      <c r="AD151" s="237">
        <f t="shared" si="23"/>
        <v>64.896423732333574</v>
      </c>
      <c r="AF151" s="151"/>
      <c r="AG151" s="75"/>
      <c r="AH151" s="75"/>
      <c r="AI151" s="75"/>
      <c r="AJ151" s="75"/>
      <c r="AK151" s="75"/>
      <c r="AL151" s="75"/>
      <c r="AM151" s="75"/>
      <c r="AN151" s="75"/>
      <c r="AO151" s="75"/>
      <c r="AP151" s="75"/>
      <c r="AQ151" s="71"/>
      <c r="AR151" s="75"/>
      <c r="AS151" s="75"/>
      <c r="AT151" s="75"/>
      <c r="AU151" s="71"/>
      <c r="AV151" s="71"/>
      <c r="AW151" s="71"/>
      <c r="AX151" s="71"/>
      <c r="AY151" s="71"/>
      <c r="AZ151" s="71"/>
      <c r="BB151" s="71"/>
      <c r="BD151" s="24"/>
      <c r="BG151" s="24"/>
      <c r="BJ151" s="24"/>
    </row>
    <row r="152" spans="1:62" ht="15" customHeight="1" x14ac:dyDescent="0.2">
      <c r="A152" s="67"/>
      <c r="O152" s="67"/>
      <c r="Q152" s="24">
        <v>92</v>
      </c>
      <c r="R152" s="71">
        <v>-43.562153328135793</v>
      </c>
      <c r="S152" s="71">
        <v>-16.193883661682005</v>
      </c>
      <c r="T152" s="71">
        <v>60.565166473388672</v>
      </c>
      <c r="U152" s="71">
        <v>46.474757348824355</v>
      </c>
      <c r="V152" s="71">
        <v>5.8093446686030441E-2</v>
      </c>
      <c r="W152" s="71">
        <v>0.99498878430516557</v>
      </c>
      <c r="X152" s="71">
        <v>49.635307573583972</v>
      </c>
      <c r="Y152" s="71">
        <v>6.2044134466979962E-2</v>
      </c>
      <c r="Z152" s="71">
        <v>48.02878216883375</v>
      </c>
      <c r="AA152" s="71">
        <v>6.0035977711042188E-2</v>
      </c>
      <c r="AB152" s="71">
        <v>92</v>
      </c>
      <c r="AC152" s="237">
        <f t="shared" si="22"/>
        <v>78.01756137164088</v>
      </c>
      <c r="AD152" s="237">
        <f t="shared" si="23"/>
        <v>65.886596416223469</v>
      </c>
      <c r="AF152" s="151"/>
      <c r="AG152" s="75"/>
      <c r="AH152" s="75"/>
      <c r="AI152" s="75"/>
      <c r="AJ152" s="75"/>
      <c r="AK152" s="75"/>
      <c r="AL152" s="75"/>
      <c r="AM152" s="75"/>
      <c r="AN152" s="75"/>
      <c r="AO152" s="75"/>
      <c r="AP152" s="75"/>
      <c r="AQ152" s="71"/>
      <c r="AR152" s="75"/>
      <c r="AS152" s="75"/>
      <c r="AT152" s="75"/>
      <c r="AU152" s="71"/>
      <c r="AV152" s="71"/>
      <c r="AW152" s="71"/>
      <c r="AX152" s="71"/>
      <c r="AY152" s="71"/>
      <c r="AZ152" s="71"/>
      <c r="BB152" s="71"/>
      <c r="BD152" s="24"/>
      <c r="BG152" s="24"/>
      <c r="BJ152" s="24"/>
    </row>
    <row r="153" spans="1:62" ht="15" customHeight="1" x14ac:dyDescent="0.2">
      <c r="A153" s="67"/>
      <c r="O153" s="67"/>
      <c r="Q153" s="24">
        <v>93</v>
      </c>
      <c r="R153" s="71">
        <v>-44.511669985375967</v>
      </c>
      <c r="S153" s="71">
        <v>-16.506840262958974</v>
      </c>
      <c r="T153" s="71">
        <v>60.546272277832031</v>
      </c>
      <c r="U153" s="71">
        <v>47.473830057768282</v>
      </c>
      <c r="V153" s="71">
        <v>5.9342287572210356E-2</v>
      </c>
      <c r="W153" s="71">
        <v>1.0045314415943434</v>
      </c>
      <c r="X153" s="71">
        <v>50.634457050431941</v>
      </c>
      <c r="Y153" s="71">
        <v>6.329307131303992E-2</v>
      </c>
      <c r="Z153" s="71">
        <v>49.028538013787937</v>
      </c>
      <c r="AA153" s="71">
        <v>6.1285672517234921E-2</v>
      </c>
      <c r="AB153" s="71">
        <v>93</v>
      </c>
      <c r="AC153" s="237">
        <f t="shared" si="22"/>
        <v>79.017313094090895</v>
      </c>
      <c r="AD153" s="237">
        <f t="shared" si="23"/>
        <v>66.886324326544724</v>
      </c>
      <c r="AF153" s="151"/>
      <c r="AG153" s="75"/>
      <c r="AH153" s="75"/>
      <c r="AI153" s="75"/>
      <c r="AJ153" s="75"/>
      <c r="AK153" s="75"/>
      <c r="AL153" s="75"/>
      <c r="AM153" s="75"/>
      <c r="AN153" s="75"/>
      <c r="AO153" s="75"/>
      <c r="AP153" s="75"/>
      <c r="AQ153" s="71"/>
      <c r="AR153" s="75"/>
      <c r="AS153" s="75"/>
      <c r="AT153" s="75"/>
      <c r="AU153" s="71"/>
      <c r="AV153" s="71"/>
      <c r="AW153" s="71"/>
      <c r="AX153" s="71"/>
      <c r="AY153" s="71"/>
      <c r="AZ153" s="71"/>
      <c r="BB153" s="71"/>
      <c r="BD153" s="24"/>
      <c r="BG153" s="24"/>
      <c r="BJ153" s="24"/>
    </row>
    <row r="154" spans="1:62" ht="15" customHeight="1" x14ac:dyDescent="0.2">
      <c r="A154" s="67"/>
      <c r="O154" s="67"/>
      <c r="Q154" s="24">
        <v>94</v>
      </c>
      <c r="R154" s="71">
        <v>-45.470205800501745</v>
      </c>
      <c r="S154" s="71">
        <v>-16.82288226507055</v>
      </c>
      <c r="T154" s="71">
        <v>60.525852203369141</v>
      </c>
      <c r="U154" s="71">
        <v>48.482460573329071</v>
      </c>
      <c r="V154" s="71">
        <v>6.0603075716661341E-2</v>
      </c>
      <c r="W154" s="71">
        <v>1.0140522521207573</v>
      </c>
      <c r="X154" s="71">
        <v>51.643160075440385</v>
      </c>
      <c r="Y154" s="71">
        <v>6.4553950094300483E-2</v>
      </c>
      <c r="Z154" s="71">
        <v>50.037826111015988</v>
      </c>
      <c r="AA154" s="71">
        <v>6.2547282638769991E-2</v>
      </c>
      <c r="AB154" s="71">
        <v>94</v>
      </c>
      <c r="AC154" s="237">
        <f t="shared" si="22"/>
        <v>80.026596211463925</v>
      </c>
      <c r="AD154" s="237">
        <f t="shared" si="23"/>
        <v>67.895585496447111</v>
      </c>
      <c r="AF154" s="151"/>
      <c r="AG154" s="75"/>
      <c r="AH154" s="75"/>
      <c r="AI154" s="75"/>
      <c r="AJ154" s="75"/>
      <c r="AK154" s="75"/>
      <c r="AL154" s="75"/>
      <c r="AM154" s="75"/>
      <c r="AN154" s="75"/>
      <c r="AO154" s="75"/>
      <c r="AP154" s="75"/>
      <c r="AQ154" s="71"/>
      <c r="AR154" s="75"/>
      <c r="AS154" s="75"/>
      <c r="AT154" s="75"/>
      <c r="AU154" s="71"/>
      <c r="AV154" s="71"/>
      <c r="AW154" s="71"/>
      <c r="AX154" s="71"/>
      <c r="AY154" s="71"/>
      <c r="AZ154" s="71"/>
      <c r="BB154" s="71"/>
      <c r="BD154" s="24"/>
      <c r="BG154" s="24"/>
      <c r="BJ154" s="24"/>
    </row>
    <row r="155" spans="1:62" ht="15" customHeight="1" x14ac:dyDescent="0.2">
      <c r="A155" s="67"/>
      <c r="O155" s="67"/>
      <c r="Q155" s="24">
        <v>95</v>
      </c>
      <c r="R155" s="71">
        <v>-46.437736770925909</v>
      </c>
      <c r="S155" s="71">
        <v>-17.142013046932817</v>
      </c>
      <c r="T155" s="71">
        <v>60.503868103027344</v>
      </c>
      <c r="U155" s="71">
        <v>49.50062633651234</v>
      </c>
      <c r="V155" s="71">
        <v>6.1875782920640422E-2</v>
      </c>
      <c r="W155" s="71">
        <v>1.0235514490419728</v>
      </c>
      <c r="X155" s="71">
        <v>52.661394345634641</v>
      </c>
      <c r="Y155" s="71">
        <v>6.5826742932043297E-2</v>
      </c>
      <c r="Z155" s="71">
        <v>51.056624728793594</v>
      </c>
      <c r="AA155" s="71">
        <v>6.3820780910991998E-2</v>
      </c>
      <c r="AB155" s="71">
        <v>95</v>
      </c>
      <c r="AC155" s="237">
        <f t="shared" si="22"/>
        <v>81.045388954492125</v>
      </c>
      <c r="AD155" s="237">
        <f t="shared" si="23"/>
        <v>68.914358218903487</v>
      </c>
      <c r="AF155" s="151"/>
      <c r="AG155" s="75"/>
      <c r="AH155" s="75"/>
      <c r="AI155" s="75"/>
      <c r="AJ155" s="75"/>
      <c r="AK155" s="75"/>
      <c r="AL155" s="75"/>
      <c r="AM155" s="75"/>
      <c r="AN155" s="75"/>
      <c r="AO155" s="75"/>
      <c r="AP155" s="75"/>
      <c r="AQ155" s="71"/>
      <c r="AR155" s="75"/>
      <c r="AS155" s="75"/>
      <c r="AT155" s="75"/>
      <c r="AU155" s="71"/>
      <c r="AV155" s="71"/>
      <c r="AW155" s="71"/>
      <c r="AX155" s="71"/>
      <c r="AY155" s="71"/>
      <c r="AZ155" s="71"/>
      <c r="BB155" s="71"/>
      <c r="BD155" s="24"/>
      <c r="BG155" s="24"/>
      <c r="BJ155" s="24"/>
    </row>
    <row r="156" spans="1:62" ht="15" customHeight="1" x14ac:dyDescent="0.2">
      <c r="A156" s="67"/>
      <c r="O156" s="67"/>
      <c r="Q156" s="24">
        <v>96</v>
      </c>
      <c r="R156" s="71">
        <v>-47.414239053292754</v>
      </c>
      <c r="S156" s="71">
        <v>-17.464236136831307</v>
      </c>
      <c r="T156" s="71">
        <v>60.48028564453125</v>
      </c>
      <c r="U156" s="71">
        <v>50.528305026448258</v>
      </c>
      <c r="V156" s="71">
        <v>6.3160381283060327E-2</v>
      </c>
      <c r="W156" s="71">
        <v>1.0330292023965302</v>
      </c>
      <c r="X156" s="71">
        <v>53.689137778876791</v>
      </c>
      <c r="Y156" s="71">
        <v>6.7111422223595993E-2</v>
      </c>
      <c r="Z156" s="71">
        <v>52.08491233347047</v>
      </c>
      <c r="AA156" s="71">
        <v>6.5106140416838085E-2</v>
      </c>
      <c r="AB156" s="71">
        <v>96</v>
      </c>
      <c r="AC156" s="237">
        <f t="shared" si="22"/>
        <v>82.073669753836128</v>
      </c>
      <c r="AD156" s="237">
        <f t="shared" si="23"/>
        <v>69.942620983124471</v>
      </c>
      <c r="AF156" s="151"/>
      <c r="AG156" s="75"/>
      <c r="AH156" s="75"/>
      <c r="AI156" s="75"/>
      <c r="AJ156" s="75"/>
      <c r="AK156" s="75"/>
      <c r="AL156" s="75"/>
      <c r="AM156" s="75"/>
      <c r="AN156" s="75"/>
      <c r="AO156" s="75"/>
      <c r="AP156" s="75"/>
      <c r="AQ156" s="71"/>
      <c r="AR156" s="75"/>
      <c r="AS156" s="75"/>
      <c r="AT156" s="75"/>
      <c r="AU156" s="71"/>
      <c r="AV156" s="71"/>
      <c r="AW156" s="71"/>
      <c r="AX156" s="71"/>
      <c r="AY156" s="71"/>
      <c r="AZ156" s="71"/>
      <c r="BB156" s="71"/>
      <c r="BD156" s="24"/>
      <c r="BG156" s="24"/>
      <c r="BJ156" s="24"/>
    </row>
    <row r="157" spans="1:62" ht="15" customHeight="1" x14ac:dyDescent="0.2">
      <c r="A157" s="67"/>
      <c r="O157" s="67"/>
      <c r="Q157" s="24">
        <v>97</v>
      </c>
      <c r="R157" s="71">
        <v>-48.39968886240063</v>
      </c>
      <c r="S157" s="71">
        <v>-17.789555321796559</v>
      </c>
      <c r="T157" s="71">
        <v>60.455070495605469</v>
      </c>
      <c r="U157" s="71">
        <v>51.56547450110827</v>
      </c>
      <c r="V157" s="71">
        <v>6.4456843126385333E-2</v>
      </c>
      <c r="W157" s="71">
        <v>1.0424856224581029</v>
      </c>
      <c r="X157" s="71">
        <v>54.726368455639779</v>
      </c>
      <c r="Y157" s="71">
        <v>6.8407960569549731E-2</v>
      </c>
      <c r="Z157" s="71">
        <v>53.12266752837678</v>
      </c>
      <c r="AA157" s="71">
        <v>6.6403334410470971E-2</v>
      </c>
      <c r="AB157" s="71">
        <v>97</v>
      </c>
      <c r="AC157" s="237">
        <f t="shared" si="22"/>
        <v>83.111417177826979</v>
      </c>
      <c r="AD157" s="237">
        <f t="shared" si="23"/>
        <v>70.980352414127111</v>
      </c>
      <c r="AF157" s="151"/>
      <c r="AG157" s="75"/>
      <c r="AH157" s="75"/>
      <c r="AI157" s="75"/>
      <c r="AJ157" s="75"/>
      <c r="AK157" s="75"/>
      <c r="AL157" s="75"/>
      <c r="AM157" s="75"/>
      <c r="AN157" s="75"/>
      <c r="AO157" s="75"/>
      <c r="AP157" s="75"/>
      <c r="AQ157" s="71"/>
      <c r="AR157" s="75"/>
      <c r="AS157" s="75"/>
      <c r="AT157" s="75"/>
      <c r="AU157" s="71"/>
      <c r="AV157" s="71"/>
      <c r="AW157" s="71"/>
      <c r="AX157" s="71"/>
      <c r="AY157" s="71"/>
      <c r="AZ157" s="71"/>
      <c r="BB157" s="71"/>
      <c r="BD157" s="24"/>
      <c r="BG157" s="24"/>
      <c r="BJ157" s="24"/>
    </row>
    <row r="158" spans="1:62" ht="15" customHeight="1" x14ac:dyDescent="0.2">
      <c r="A158" s="67"/>
      <c r="O158" s="67"/>
      <c r="Q158" s="24">
        <v>98</v>
      </c>
      <c r="R158" s="71">
        <v>-49.39406237600965</v>
      </c>
      <c r="S158" s="71">
        <v>-18.117974749387216</v>
      </c>
      <c r="T158" s="71">
        <v>60.428180694580078</v>
      </c>
      <c r="U158" s="71">
        <v>52.612112740552099</v>
      </c>
      <c r="V158" s="71">
        <v>6.5765140925690121E-2</v>
      </c>
      <c r="W158" s="71">
        <v>1.051920762981809</v>
      </c>
      <c r="X158" s="71">
        <v>55.773064563276392</v>
      </c>
      <c r="Y158" s="71">
        <v>6.9716330704095497E-2</v>
      </c>
      <c r="Z158" s="71">
        <v>54.169868995871028</v>
      </c>
      <c r="AA158" s="71">
        <v>6.7712336244838786E-2</v>
      </c>
      <c r="AB158" s="71">
        <v>98</v>
      </c>
      <c r="AC158" s="237">
        <f t="shared" si="22"/>
        <v>84.158609873514308</v>
      </c>
      <c r="AD158" s="237">
        <f t="shared" si="23"/>
        <v>72.027531215360796</v>
      </c>
      <c r="AF158" s="151"/>
      <c r="AG158" s="75"/>
      <c r="AH158" s="75"/>
      <c r="AI158" s="75"/>
      <c r="AJ158" s="75"/>
      <c r="AK158" s="75"/>
      <c r="AL158" s="75"/>
      <c r="AM158" s="75"/>
      <c r="AN158" s="75"/>
      <c r="AO158" s="75"/>
      <c r="AP158" s="75"/>
      <c r="AQ158" s="71"/>
      <c r="AR158" s="75"/>
      <c r="AS158" s="75"/>
      <c r="AT158" s="75"/>
      <c r="AU158" s="71"/>
      <c r="AV158" s="71"/>
      <c r="AW158" s="71"/>
      <c r="AX158" s="71"/>
      <c r="AY158" s="71"/>
      <c r="AZ158" s="71"/>
      <c r="BB158" s="71"/>
      <c r="BD158" s="24"/>
      <c r="BG158" s="24"/>
      <c r="BJ158" s="24"/>
    </row>
    <row r="159" spans="1:62" ht="15" customHeight="1" x14ac:dyDescent="0.2">
      <c r="O159" s="67"/>
      <c r="Q159" s="24">
        <v>99</v>
      </c>
      <c r="R159" s="71">
        <v>-50.397335645299968</v>
      </c>
      <c r="S159" s="71">
        <v>-18.449499022219261</v>
      </c>
      <c r="T159" s="71">
        <v>60.399581909179688</v>
      </c>
      <c r="U159" s="71">
        <v>53.668197792695558</v>
      </c>
      <c r="V159" s="71">
        <v>6.708524724086945E-2</v>
      </c>
      <c r="W159" s="71">
        <v>1.0613346243442363</v>
      </c>
      <c r="X159" s="71">
        <v>56.829204342768435</v>
      </c>
      <c r="Y159" s="71">
        <v>7.1036505428460545E-2</v>
      </c>
      <c r="Z159" s="71">
        <v>55.226495442429204</v>
      </c>
      <c r="AA159" s="71">
        <v>6.9033119303036503E-2</v>
      </c>
      <c r="AB159" s="71">
        <v>99</v>
      </c>
      <c r="AC159" s="237">
        <f t="shared" si="22"/>
        <v>85.215226510901218</v>
      </c>
      <c r="AD159" s="237">
        <f t="shared" si="23"/>
        <v>73.08413611429485</v>
      </c>
      <c r="AF159" s="151"/>
      <c r="AG159" s="75"/>
      <c r="AH159" s="75"/>
      <c r="AI159" s="75"/>
      <c r="AJ159" s="75"/>
      <c r="AK159" s="75"/>
      <c r="AL159" s="75"/>
      <c r="AM159" s="75"/>
      <c r="AN159" s="75"/>
      <c r="AO159" s="75"/>
      <c r="AP159" s="75"/>
      <c r="AQ159" s="71"/>
      <c r="AR159" s="75"/>
      <c r="AS159" s="75"/>
      <c r="AT159" s="75"/>
      <c r="AU159" s="71"/>
      <c r="AV159" s="71"/>
      <c r="AW159" s="71"/>
      <c r="AX159" s="71"/>
      <c r="AY159" s="71"/>
      <c r="AZ159" s="71"/>
      <c r="BB159" s="71"/>
      <c r="BD159" s="24"/>
      <c r="BG159" s="24"/>
      <c r="BJ159" s="24"/>
    </row>
    <row r="160" spans="1:62" ht="15" customHeight="1" x14ac:dyDescent="0.2">
      <c r="O160" s="67"/>
      <c r="Q160" s="24">
        <v>100</v>
      </c>
      <c r="R160" s="71">
        <v>-51.409484510755135</v>
      </c>
      <c r="S160" s="71">
        <v>-18.784133285561602</v>
      </c>
      <c r="T160" s="71">
        <v>60.369235992431641</v>
      </c>
      <c r="U160" s="71">
        <v>54.733707721579719</v>
      </c>
      <c r="V160" s="71">
        <v>6.8417134651974645E-2</v>
      </c>
      <c r="W160" s="71">
        <v>1.0707271565793655</v>
      </c>
      <c r="X160" s="71">
        <v>57.894766037932733</v>
      </c>
      <c r="Y160" s="71">
        <v>7.2368457547415915E-2</v>
      </c>
      <c r="Z160" s="71">
        <v>56.29252554667638</v>
      </c>
      <c r="AA160" s="71">
        <v>7.0365656933345469E-2</v>
      </c>
      <c r="AB160" s="71">
        <v>100</v>
      </c>
      <c r="AC160" s="237">
        <f t="shared" si="22"/>
        <v>86.28124573024877</v>
      </c>
      <c r="AD160" s="237">
        <f t="shared" si="23"/>
        <v>74.150145810873951</v>
      </c>
      <c r="AF160" s="151"/>
      <c r="AG160" s="75"/>
      <c r="AH160" s="75"/>
      <c r="AI160" s="75"/>
      <c r="AJ160" s="75"/>
      <c r="AK160" s="75"/>
      <c r="AL160" s="75"/>
      <c r="AM160" s="75"/>
      <c r="AN160" s="75"/>
      <c r="AO160" s="75"/>
      <c r="AP160" s="75"/>
      <c r="AQ160" s="71"/>
      <c r="AR160" s="75"/>
      <c r="AS160" s="75"/>
      <c r="AT160" s="75"/>
      <c r="AU160" s="71"/>
      <c r="AV160" s="71"/>
      <c r="AW160" s="71"/>
      <c r="AX160" s="71"/>
      <c r="AY160" s="71"/>
      <c r="AZ160" s="71"/>
      <c r="BB160" s="71"/>
      <c r="BD160" s="24"/>
      <c r="BG160" s="24"/>
      <c r="BJ160" s="24"/>
    </row>
    <row r="161" spans="15:62" ht="15" customHeight="1" x14ac:dyDescent="0.2">
      <c r="O161" s="67"/>
      <c r="Q161" s="24">
        <v>101</v>
      </c>
      <c r="R161" s="71">
        <v>-52.430484523253767</v>
      </c>
      <c r="S161" s="71">
        <v>-19.121883308299555</v>
      </c>
      <c r="T161" s="71">
        <v>60.337100982666016</v>
      </c>
      <c r="U161" s="71">
        <v>55.808620558112509</v>
      </c>
      <c r="V161" s="71">
        <v>6.9760775697640637E-2</v>
      </c>
      <c r="W161" s="71">
        <v>1.0800982623130182</v>
      </c>
      <c r="X161" s="71">
        <v>58.969727847053015</v>
      </c>
      <c r="Y161" s="71">
        <v>7.3712159808816263E-2</v>
      </c>
      <c r="Z161" s="71">
        <v>57.367937910263031</v>
      </c>
      <c r="AA161" s="71">
        <v>7.1709922387828792E-2</v>
      </c>
      <c r="AB161" s="71">
        <v>101</v>
      </c>
      <c r="AC161" s="237">
        <f t="shared" si="22"/>
        <v>87.35664609233676</v>
      </c>
      <c r="AD161" s="237">
        <f t="shared" si="23"/>
        <v>75.225538928748222</v>
      </c>
      <c r="AF161" s="151"/>
      <c r="AG161" s="75"/>
      <c r="AH161" s="75"/>
      <c r="AI161" s="75"/>
      <c r="AJ161" s="75"/>
      <c r="AK161" s="75"/>
      <c r="AL161" s="75"/>
      <c r="AM161" s="75"/>
      <c r="AN161" s="75"/>
      <c r="AO161" s="75"/>
      <c r="AP161" s="75"/>
      <c r="AQ161" s="71"/>
      <c r="AR161" s="75"/>
      <c r="AS161" s="72"/>
      <c r="AT161" s="72"/>
      <c r="AU161" s="74"/>
      <c r="AV161" s="72"/>
      <c r="AW161" s="72"/>
      <c r="AX161" s="74"/>
      <c r="AY161" s="71"/>
      <c r="AZ161" s="71"/>
      <c r="BB161" s="71"/>
      <c r="BD161" s="24"/>
      <c r="BG161" s="24"/>
      <c r="BJ161" s="24"/>
    </row>
    <row r="162" spans="15:62" ht="15" customHeight="1" x14ac:dyDescent="0.2">
      <c r="O162" s="67"/>
      <c r="Q162" s="24">
        <v>102</v>
      </c>
      <c r="R162" s="71">
        <v>-53.460310870161926</v>
      </c>
      <c r="S162" s="71">
        <v>-19.462755557549816</v>
      </c>
      <c r="T162" s="71">
        <v>60.303142547607422</v>
      </c>
      <c r="U162" s="71">
        <v>56.892914253246772</v>
      </c>
      <c r="V162" s="71">
        <v>7.1116142816558467E-2</v>
      </c>
      <c r="W162" s="71">
        <v>1.0894477995988008</v>
      </c>
      <c r="X162" s="71">
        <v>60.054067876900405</v>
      </c>
      <c r="Y162" s="71">
        <v>7.506758484612551E-2</v>
      </c>
      <c r="Z162" s="71">
        <v>58.452711011490628</v>
      </c>
      <c r="AA162" s="71">
        <v>7.306588876436329E-2</v>
      </c>
      <c r="AB162" s="71">
        <v>102</v>
      </c>
      <c r="AC162" s="237">
        <f t="shared" si="22"/>
        <v>88.441406031570978</v>
      </c>
      <c r="AD162" s="237">
        <f t="shared" si="23"/>
        <v>76.310293969187015</v>
      </c>
      <c r="AF162" s="151"/>
      <c r="AG162" s="75"/>
      <c r="AH162" s="75"/>
      <c r="AI162" s="71"/>
      <c r="AJ162" s="71"/>
      <c r="AL162" s="72"/>
      <c r="AM162" s="75"/>
      <c r="AN162" s="75"/>
      <c r="AO162" s="75"/>
      <c r="AP162" s="75"/>
      <c r="AQ162" s="71"/>
      <c r="AR162" s="74"/>
      <c r="AS162" s="72"/>
      <c r="AT162" s="72"/>
      <c r="AU162" s="74"/>
      <c r="AV162" s="72"/>
      <c r="AW162" s="72"/>
      <c r="AX162" s="74"/>
      <c r="AY162" s="71"/>
      <c r="AZ162" s="71"/>
      <c r="BB162" s="71"/>
      <c r="BD162" s="24"/>
      <c r="BG162" s="24"/>
      <c r="BJ162" s="24"/>
    </row>
    <row r="163" spans="15:62" ht="15" customHeight="1" x14ac:dyDescent="0.2">
      <c r="O163" s="67"/>
      <c r="Q163" s="24">
        <v>103</v>
      </c>
      <c r="R163" s="71">
        <v>-54.49893830622733</v>
      </c>
      <c r="S163" s="71">
        <v>-19.806757267192513</v>
      </c>
      <c r="T163" s="71">
        <v>60.267314910888672</v>
      </c>
      <c r="U163" s="71">
        <v>57.986566633552776</v>
      </c>
      <c r="V163" s="71">
        <v>7.2483208291940965E-2</v>
      </c>
      <c r="W163" s="71">
        <v>1.0987755846587068</v>
      </c>
      <c r="X163" s="71">
        <v>61.147764099100179</v>
      </c>
      <c r="Y163" s="71">
        <v>7.6434705123875221E-2</v>
      </c>
      <c r="Z163" s="71">
        <v>59.546823161592599</v>
      </c>
      <c r="AA163" s="71">
        <v>7.4433528951990749E-2</v>
      </c>
      <c r="AB163" s="71">
        <v>103</v>
      </c>
      <c r="AC163" s="237">
        <f t="shared" si="22"/>
        <v>89.535503811830139</v>
      </c>
      <c r="AD163" s="237">
        <f t="shared" si="23"/>
        <v>77.404389267587135</v>
      </c>
      <c r="AF163" s="151"/>
      <c r="AG163" s="75"/>
      <c r="AH163" s="75"/>
      <c r="AI163" s="71"/>
      <c r="AJ163" s="71"/>
      <c r="AL163" s="72"/>
      <c r="AM163" s="75"/>
      <c r="AN163" s="75"/>
      <c r="AO163" s="75"/>
      <c r="AP163" s="75"/>
      <c r="AQ163" s="71"/>
      <c r="AR163" s="74"/>
      <c r="AS163" s="72"/>
      <c r="AT163" s="72"/>
      <c r="AU163" s="74"/>
      <c r="AV163" s="72"/>
      <c r="AW163" s="72"/>
      <c r="AX163" s="74"/>
      <c r="AY163" s="71"/>
      <c r="AZ163" s="71"/>
      <c r="BB163" s="71"/>
      <c r="BD163" s="24"/>
      <c r="BG163" s="24"/>
      <c r="BJ163" s="24"/>
    </row>
    <row r="164" spans="15:62" ht="15" customHeight="1" x14ac:dyDescent="0.2">
      <c r="O164" s="67"/>
      <c r="Q164" s="24">
        <v>104</v>
      </c>
      <c r="R164" s="71">
        <v>-55.546341089085722</v>
      </c>
      <c r="S164" s="71">
        <v>-20.153896500568663</v>
      </c>
      <c r="T164" s="71">
        <v>60.229579925537109</v>
      </c>
      <c r="U164" s="71">
        <v>59.089555359138444</v>
      </c>
      <c r="V164" s="71">
        <v>7.3861944198923057E-2</v>
      </c>
      <c r="W164" s="71">
        <v>1.1080813945312724</v>
      </c>
      <c r="X164" s="71">
        <v>62.250794308798483</v>
      </c>
      <c r="Y164" s="71">
        <v>7.7813492885998106E-2</v>
      </c>
      <c r="Z164" s="71">
        <v>60.650252463579179</v>
      </c>
      <c r="AA164" s="71">
        <v>7.5812815579473974E-2</v>
      </c>
      <c r="AB164" s="71">
        <v>104</v>
      </c>
      <c r="AC164" s="237">
        <f t="shared" si="22"/>
        <v>90.638917484949644</v>
      </c>
      <c r="AD164" s="237">
        <f t="shared" si="23"/>
        <v>78.507802952488078</v>
      </c>
      <c r="AF164" s="151"/>
      <c r="AG164" s="75"/>
      <c r="AH164" s="75"/>
      <c r="AI164" s="71"/>
      <c r="AJ164" s="71"/>
      <c r="AL164" s="72"/>
      <c r="AM164" s="75"/>
      <c r="AN164" s="75"/>
      <c r="AO164" s="75"/>
      <c r="AP164" s="75"/>
      <c r="AQ164" s="71"/>
      <c r="AR164" s="74"/>
      <c r="AS164" s="72"/>
      <c r="AT164" s="72"/>
      <c r="AU164" s="74"/>
      <c r="AV164" s="72"/>
      <c r="AW164" s="72"/>
      <c r="AX164" s="74"/>
      <c r="AY164" s="71"/>
      <c r="AZ164" s="71"/>
      <c r="BB164" s="71"/>
      <c r="BD164" s="24"/>
      <c r="BG164" s="24"/>
      <c r="BJ164" s="24"/>
    </row>
    <row r="165" spans="15:62" ht="15" customHeight="1" x14ac:dyDescent="0.2">
      <c r="Q165" s="24">
        <v>105</v>
      </c>
      <c r="R165" s="71">
        <v>-56.602492919192464</v>
      </c>
      <c r="S165" s="71">
        <v>-20.504182207578186</v>
      </c>
      <c r="T165" s="71">
        <v>60.189888000488281</v>
      </c>
      <c r="U165" s="71">
        <v>60.201857883862679</v>
      </c>
      <c r="V165" s="71">
        <v>7.5252322354828344E-2</v>
      </c>
      <c r="W165" s="71">
        <v>1.1173649696205969</v>
      </c>
      <c r="X165" s="71">
        <v>63.363136085575107</v>
      </c>
      <c r="Y165" s="71">
        <v>7.9203920106968889E-2</v>
      </c>
      <c r="Z165" s="71">
        <v>61.762976773552715</v>
      </c>
      <c r="AA165" s="71">
        <v>7.7203720966940892E-2</v>
      </c>
      <c r="AB165" s="71">
        <v>105</v>
      </c>
      <c r="AC165" s="237">
        <f t="shared" si="22"/>
        <v>91.751624851738484</v>
      </c>
      <c r="AD165" s="237">
        <f t="shared" si="23"/>
        <v>79.620512907004823</v>
      </c>
      <c r="AF165" s="151"/>
      <c r="AG165" s="75"/>
      <c r="AH165" s="75"/>
      <c r="AI165" s="71"/>
      <c r="AJ165" s="71"/>
      <c r="AL165" s="72"/>
      <c r="AM165" s="75"/>
      <c r="AN165" s="75"/>
      <c r="AO165" s="75"/>
      <c r="AP165" s="75"/>
      <c r="AQ165" s="71"/>
      <c r="AR165" s="74"/>
      <c r="AS165" s="72"/>
      <c r="AT165" s="72"/>
      <c r="AU165" s="74"/>
      <c r="AV165" s="72"/>
      <c r="AW165" s="72"/>
      <c r="AX165" s="74"/>
      <c r="AY165" s="71"/>
      <c r="AZ165" s="71"/>
      <c r="BB165" s="71"/>
      <c r="BD165" s="24"/>
      <c r="BG165" s="24"/>
      <c r="BJ165" s="24"/>
    </row>
    <row r="166" spans="15:62" ht="15" customHeight="1" x14ac:dyDescent="0.2">
      <c r="Q166" s="24">
        <v>106</v>
      </c>
      <c r="R166" s="71">
        <v>-57.667366884505128</v>
      </c>
      <c r="S166" s="71">
        <v>-20.857624275237107</v>
      </c>
      <c r="T166" s="71">
        <v>60.148200988769531</v>
      </c>
      <c r="U166" s="71">
        <v>61.323451417863616</v>
      </c>
      <c r="V166" s="217">
        <v>7.6654314272329521E-2</v>
      </c>
      <c r="W166" s="217">
        <v>1.1266260167524078</v>
      </c>
      <c r="X166" s="217">
        <v>64.484766756626968</v>
      </c>
      <c r="Y166" s="217">
        <v>8.0605958445783707E-2</v>
      </c>
      <c r="Z166" s="217">
        <v>62.88497366451405</v>
      </c>
      <c r="AA166" s="217">
        <v>7.8606217080642568E-2</v>
      </c>
      <c r="AB166" s="217">
        <v>106</v>
      </c>
      <c r="AC166" s="237">
        <f t="shared" si="22"/>
        <v>92.873603425548851</v>
      </c>
      <c r="AD166" s="237">
        <f t="shared" si="23"/>
        <v>80.742496732697859</v>
      </c>
      <c r="AE166" s="75"/>
      <c r="AF166" s="151"/>
      <c r="AG166" s="75"/>
      <c r="AH166" s="75"/>
      <c r="AI166" s="71"/>
      <c r="AJ166" s="71"/>
      <c r="AL166" s="72"/>
      <c r="AM166" s="72"/>
      <c r="AN166" s="74"/>
      <c r="AO166" s="72"/>
      <c r="AP166" s="72"/>
      <c r="AQ166" s="74"/>
      <c r="AR166" s="74"/>
      <c r="AS166" s="72"/>
      <c r="AT166" s="72"/>
      <c r="AU166" s="74"/>
      <c r="AV166" s="72"/>
      <c r="AW166" s="72"/>
      <c r="AX166" s="74"/>
      <c r="AY166" s="71"/>
      <c r="AZ166" s="71"/>
      <c r="BB166" s="71"/>
      <c r="BD166" s="24"/>
      <c r="BG166" s="24"/>
      <c r="BJ166" s="24"/>
    </row>
    <row r="167" spans="15:62" ht="15" customHeight="1" x14ac:dyDescent="0.2">
      <c r="Q167" s="24">
        <v>107</v>
      </c>
      <c r="R167" s="71">
        <v>-58.740935425522643</v>
      </c>
      <c r="S167" s="71">
        <v>-21.214233536272566</v>
      </c>
      <c r="T167" s="71">
        <v>60.104469299316406</v>
      </c>
      <c r="U167" s="71">
        <v>62.454312895083014</v>
      </c>
      <c r="V167" s="217">
        <v>7.8067891118853761E-2</v>
      </c>
      <c r="W167" s="217">
        <v>1.1358642201765159</v>
      </c>
      <c r="X167" s="217">
        <v>65.615663364951317</v>
      </c>
      <c r="Y167" s="217">
        <v>8.2019579206189144E-2</v>
      </c>
      <c r="Z167" s="217">
        <v>64.016220396290791</v>
      </c>
      <c r="AA167" s="217">
        <v>8.0020275495363488E-2</v>
      </c>
      <c r="AB167" s="217">
        <v>107</v>
      </c>
      <c r="AC167" s="237">
        <f t="shared" si="22"/>
        <v>94.004830402270926</v>
      </c>
      <c r="AD167" s="237">
        <f t="shared" si="23"/>
        <v>81.873731719359952</v>
      </c>
      <c r="AE167" s="75"/>
      <c r="AF167" s="151"/>
      <c r="AG167" s="75"/>
      <c r="AH167" s="75"/>
      <c r="AI167" s="71"/>
      <c r="AJ167" s="71"/>
      <c r="AL167" s="72"/>
      <c r="AM167" s="72"/>
      <c r="AN167" s="74"/>
      <c r="AO167" s="72"/>
      <c r="AP167" s="72"/>
      <c r="AQ167" s="74"/>
      <c r="AR167" s="74"/>
      <c r="AS167" s="72"/>
      <c r="AT167" s="72"/>
      <c r="AU167" s="74"/>
      <c r="AV167" s="72"/>
      <c r="AW167" s="72"/>
      <c r="AX167" s="74"/>
      <c r="AY167" s="71"/>
      <c r="AZ167" s="71"/>
      <c r="BB167" s="71"/>
      <c r="BD167" s="24"/>
      <c r="BG167" s="24"/>
      <c r="BJ167" s="24"/>
    </row>
    <row r="168" spans="15:62" ht="15" customHeight="1" x14ac:dyDescent="0.2">
      <c r="Q168" s="24">
        <v>108</v>
      </c>
      <c r="R168" s="71">
        <v>-59.823170350529097</v>
      </c>
      <c r="S168" s="71">
        <v>-21.574021668444775</v>
      </c>
      <c r="T168" s="71">
        <v>60.058643341064453</v>
      </c>
      <c r="U168" s="71">
        <v>63.594418951185865</v>
      </c>
      <c r="V168" s="217">
        <v>7.9493023688982326E-2</v>
      </c>
      <c r="W168" s="217">
        <v>1.1450792535098744</v>
      </c>
      <c r="X168" s="217">
        <v>66.75580264800216</v>
      </c>
      <c r="Y168" s="217">
        <v>8.3444753310002701E-2</v>
      </c>
      <c r="Z168" s="217">
        <v>65.156693898663818</v>
      </c>
      <c r="AA168" s="217">
        <v>8.1445867373329775E-2</v>
      </c>
      <c r="AB168" s="217">
        <v>108</v>
      </c>
      <c r="AC168" s="237">
        <f t="shared" si="22"/>
        <v>95.145282644268931</v>
      </c>
      <c r="AD168" s="237">
        <f t="shared" si="23"/>
        <v>83.014194827524221</v>
      </c>
      <c r="AE168" s="75"/>
      <c r="AF168" s="75"/>
      <c r="AG168" s="71"/>
      <c r="AH168" s="71"/>
      <c r="AI168" s="71"/>
      <c r="AJ168" s="71"/>
      <c r="AL168" s="72"/>
      <c r="AM168" s="72"/>
      <c r="AN168" s="74"/>
      <c r="AO168" s="72"/>
      <c r="AP168" s="72"/>
      <c r="AQ168" s="74"/>
      <c r="AR168" s="74"/>
      <c r="AS168" s="72"/>
      <c r="AT168" s="72"/>
      <c r="AU168" s="74"/>
      <c r="AV168" s="72"/>
      <c r="AW168" s="72"/>
      <c r="AX168" s="74"/>
      <c r="AY168" s="71"/>
      <c r="AZ168" s="71"/>
      <c r="BB168" s="71"/>
      <c r="BD168" s="24"/>
      <c r="BG168" s="24"/>
      <c r="BJ168" s="24"/>
    </row>
    <row r="169" spans="15:62" ht="15" customHeight="1" x14ac:dyDescent="0.2">
      <c r="Q169" s="24">
        <v>109</v>
      </c>
      <c r="R169" s="71">
        <v>-60.914042872266009</v>
      </c>
      <c r="S169" s="71">
        <v>-21.937001049993487</v>
      </c>
      <c r="T169" s="71">
        <v>60.010677337646484</v>
      </c>
      <c r="U169" s="71">
        <v>64.743745907320474</v>
      </c>
      <c r="V169" s="217">
        <v>8.0929682384150589E-2</v>
      </c>
      <c r="W169" s="217">
        <v>1.1542707819071403</v>
      </c>
      <c r="X169" s="217">
        <v>67.905161022158396</v>
      </c>
      <c r="Y169" s="217">
        <v>8.4881451277698E-2</v>
      </c>
      <c r="Z169" s="217">
        <v>66.306370761041904</v>
      </c>
      <c r="AA169" s="217">
        <v>8.2882963451302374E-2</v>
      </c>
      <c r="AB169" s="217">
        <v>109</v>
      </c>
      <c r="AC169" s="237">
        <f t="shared" si="22"/>
        <v>96.294936671096011</v>
      </c>
      <c r="AD169" s="237">
        <f t="shared" si="23"/>
        <v>84.163862677365927</v>
      </c>
      <c r="AE169" s="75"/>
      <c r="AF169" s="75"/>
      <c r="AG169" s="71"/>
      <c r="AH169" s="71"/>
      <c r="AI169" s="71"/>
      <c r="AJ169" s="71"/>
      <c r="AL169" s="72"/>
      <c r="AM169" s="72"/>
      <c r="AN169" s="74"/>
      <c r="AO169" s="72"/>
      <c r="AP169" s="72"/>
      <c r="AQ169" s="74"/>
      <c r="AR169" s="74"/>
      <c r="AS169" s="75"/>
      <c r="AT169" s="75"/>
      <c r="AU169" s="71"/>
      <c r="AV169" s="71"/>
      <c r="AW169" s="71"/>
      <c r="AX169" s="71"/>
      <c r="AY169" s="71"/>
      <c r="AZ169" s="71"/>
      <c r="BB169" s="71"/>
      <c r="BD169" s="24"/>
      <c r="BG169" s="24"/>
      <c r="BJ169" s="24"/>
    </row>
    <row r="170" spans="15:62" ht="15" customHeight="1" x14ac:dyDescent="0.2">
      <c r="Q170" s="24">
        <v>110</v>
      </c>
      <c r="R170" s="71">
        <v>-62.013523644121015</v>
      </c>
      <c r="S170" s="71">
        <v>-22.303184620753289</v>
      </c>
      <c r="T170" s="71">
        <v>59.960517883300781</v>
      </c>
      <c r="U170" s="71">
        <v>65.902269755960319</v>
      </c>
      <c r="V170" s="217">
        <v>8.2377837194950398E-2</v>
      </c>
      <c r="W170" s="217">
        <v>1.1634384630095775</v>
      </c>
      <c r="X170" s="217">
        <v>69.063714569183119</v>
      </c>
      <c r="Y170" s="217">
        <v>8.6329643211478901E-2</v>
      </c>
      <c r="Z170" s="217">
        <v>67.465227223528572</v>
      </c>
      <c r="AA170" s="217">
        <v>8.433153402941071E-2</v>
      </c>
      <c r="AB170" s="217">
        <v>110</v>
      </c>
      <c r="AC170" s="237">
        <f t="shared" si="22"/>
        <v>97.453768651478555</v>
      </c>
      <c r="AD170" s="237">
        <f t="shared" si="23"/>
        <v>85.322711539066589</v>
      </c>
      <c r="AE170" s="75"/>
      <c r="AF170" s="75"/>
      <c r="AG170" s="71"/>
      <c r="AH170" s="71"/>
      <c r="AI170" s="75"/>
      <c r="AJ170" s="75"/>
      <c r="AK170" s="75"/>
      <c r="AL170" s="75"/>
      <c r="AM170" s="72"/>
      <c r="AN170" s="74"/>
      <c r="AO170" s="72"/>
      <c r="AP170" s="72"/>
      <c r="AQ170" s="74"/>
      <c r="AR170" s="75"/>
      <c r="AS170" s="75"/>
      <c r="AT170" s="75"/>
      <c r="AU170" s="71"/>
      <c r="AV170" s="71"/>
      <c r="AW170" s="71"/>
      <c r="AX170" s="71"/>
      <c r="AY170" s="71"/>
      <c r="AZ170" s="71"/>
      <c r="BB170" s="71"/>
      <c r="BD170" s="24"/>
      <c r="BG170" s="24"/>
      <c r="BJ170" s="24"/>
    </row>
    <row r="171" spans="15:62" ht="15" customHeight="1" x14ac:dyDescent="0.2">
      <c r="Q171" s="24">
        <v>111</v>
      </c>
      <c r="R171" s="71">
        <v>-63.121582794754374</v>
      </c>
      <c r="S171" s="71">
        <v>-22.672585751259305</v>
      </c>
      <c r="T171" s="71">
        <v>59.908115386962891</v>
      </c>
      <c r="U171" s="71">
        <v>67.069966148517153</v>
      </c>
      <c r="V171" s="217">
        <v>8.3837457685646447E-2</v>
      </c>
      <c r="W171" s="217">
        <v>1.1725819478607584</v>
      </c>
      <c r="X171" s="217">
        <v>70.231439024373429</v>
      </c>
      <c r="Y171" s="217">
        <v>8.778929878046679E-2</v>
      </c>
      <c r="Z171" s="217">
        <v>68.633239169077072</v>
      </c>
      <c r="AA171" s="217">
        <v>8.5791548961346345E-2</v>
      </c>
      <c r="AB171" s="217">
        <v>111</v>
      </c>
      <c r="AC171" s="237">
        <f t="shared" si="22"/>
        <v>98.621754396262403</v>
      </c>
      <c r="AD171" s="237">
        <f t="shared" si="23"/>
        <v>86.490717324344402</v>
      </c>
      <c r="AE171" s="75"/>
      <c r="AF171" s="75"/>
      <c r="AG171" s="71"/>
      <c r="AH171" s="71"/>
      <c r="AI171" s="75"/>
      <c r="AJ171" s="75"/>
      <c r="AK171" s="75"/>
      <c r="AL171" s="75"/>
      <c r="AM171" s="72"/>
      <c r="AN171" s="74"/>
      <c r="AO171" s="72"/>
      <c r="AP171" s="72"/>
      <c r="AQ171" s="74"/>
      <c r="AR171" s="75"/>
      <c r="AS171" s="75"/>
      <c r="AT171" s="75"/>
      <c r="AU171" s="71"/>
      <c r="AV171" s="71"/>
      <c r="AW171" s="71"/>
      <c r="AX171" s="71"/>
      <c r="AY171" s="71"/>
      <c r="AZ171" s="71"/>
      <c r="BB171" s="71"/>
      <c r="BD171" s="24"/>
      <c r="BG171" s="24"/>
      <c r="BJ171" s="24"/>
    </row>
    <row r="172" spans="15:62" ht="15" customHeight="1" x14ac:dyDescent="0.2">
      <c r="Q172" s="24">
        <v>112</v>
      </c>
      <c r="R172" s="71">
        <v>-64.238189961236756</v>
      </c>
      <c r="S172" s="71">
        <v>-23.045218119570762</v>
      </c>
      <c r="T172" s="71">
        <v>59.853420257568359</v>
      </c>
      <c r="U172" s="71">
        <v>68.246810384621867</v>
      </c>
      <c r="V172" s="217">
        <v>8.5308512980777337E-2</v>
      </c>
      <c r="W172" s="217">
        <v>1.181700881791931</v>
      </c>
      <c r="X172" s="217">
        <v>71.408309766308662</v>
      </c>
      <c r="Y172" s="217">
        <v>8.926038720788583E-2</v>
      </c>
      <c r="Z172" s="217">
        <v>69.810382116704801</v>
      </c>
      <c r="AA172" s="217">
        <v>8.7262977645881007E-2</v>
      </c>
      <c r="AB172" s="217">
        <v>112</v>
      </c>
      <c r="AC172" s="237">
        <f t="shared" si="22"/>
        <v>99.798869352305729</v>
      </c>
      <c r="AD172" s="237">
        <f t="shared" si="23"/>
        <v>87.667855579117571</v>
      </c>
      <c r="AE172" s="75"/>
      <c r="AF172" s="75"/>
      <c r="AG172" s="71"/>
      <c r="AH172" s="71"/>
      <c r="AI172" s="75"/>
      <c r="AJ172" s="75"/>
      <c r="AK172" s="75"/>
      <c r="AL172" s="75"/>
      <c r="AM172" s="72"/>
      <c r="AN172" s="74"/>
      <c r="AO172" s="72"/>
      <c r="AP172" s="72"/>
      <c r="AQ172" s="74"/>
      <c r="AR172" s="75"/>
      <c r="AS172" s="75"/>
      <c r="AT172" s="75"/>
      <c r="AU172" s="71"/>
      <c r="AV172" s="71"/>
      <c r="AW172" s="71"/>
      <c r="AX172" s="71"/>
      <c r="AY172" s="71"/>
      <c r="AZ172" s="71"/>
      <c r="BB172" s="71"/>
      <c r="BD172" s="24"/>
      <c r="BG172" s="24"/>
      <c r="BJ172" s="24"/>
    </row>
    <row r="173" spans="15:62" ht="15" customHeight="1" x14ac:dyDescent="0.2">
      <c r="Q173" s="24">
        <v>113</v>
      </c>
      <c r="R173" s="71">
        <v>-65.363314320763862</v>
      </c>
      <c r="S173" s="71">
        <v>-23.421095595568687</v>
      </c>
      <c r="T173" s="71">
        <v>59.796375274658203</v>
      </c>
      <c r="U173" s="71">
        <v>69.432777402979795</v>
      </c>
      <c r="V173" s="217">
        <v>8.6790971753724744E-2</v>
      </c>
      <c r="W173" s="217">
        <v>1.1907949052801343</v>
      </c>
      <c r="X173" s="217">
        <v>72.594301808113443</v>
      </c>
      <c r="Y173" s="217">
        <v>9.0742877260141797E-2</v>
      </c>
      <c r="Z173" s="217">
        <v>70.9966312157391</v>
      </c>
      <c r="AA173" s="217">
        <v>8.8745789019673879E-2</v>
      </c>
      <c r="AB173" s="217">
        <v>113</v>
      </c>
      <c r="AC173" s="237">
        <f t="shared" si="22"/>
        <v>100.98508859730495</v>
      </c>
      <c r="AD173" s="237">
        <f t="shared" si="23"/>
        <v>88.854101477269083</v>
      </c>
      <c r="AE173" s="75"/>
      <c r="AF173" s="75"/>
      <c r="AG173" s="71"/>
      <c r="AH173" s="71"/>
      <c r="AI173" s="75"/>
      <c r="AJ173" s="75"/>
      <c r="AK173" s="75"/>
      <c r="AL173" s="75"/>
      <c r="AM173" s="72"/>
      <c r="AN173" s="74"/>
      <c r="AO173" s="72"/>
      <c r="AP173" s="72"/>
      <c r="AQ173" s="74"/>
      <c r="AR173" s="75"/>
      <c r="AS173" s="75"/>
      <c r="AT173" s="75"/>
      <c r="AU173" s="71"/>
      <c r="AV173" s="71"/>
      <c r="AW173" s="71"/>
      <c r="AX173" s="71"/>
      <c r="AY173" s="71"/>
      <c r="AZ173" s="71"/>
      <c r="BB173" s="71"/>
      <c r="BD173" s="24"/>
      <c r="BG173" s="24"/>
      <c r="BJ173" s="24"/>
    </row>
    <row r="174" spans="15:62" ht="15" customHeight="1" x14ac:dyDescent="0.2">
      <c r="Q174" s="24">
        <v>114</v>
      </c>
      <c r="R174" s="71">
        <v>-66.496924621006769</v>
      </c>
      <c r="S174" s="71">
        <v>-23.800232132510015</v>
      </c>
      <c r="T174" s="71">
        <v>59.736930847167969</v>
      </c>
      <c r="U174" s="71">
        <v>70.627841773717094</v>
      </c>
      <c r="V174" s="71">
        <v>8.8284802217146366E-2</v>
      </c>
      <c r="W174" s="71">
        <v>1.1998636547821782</v>
      </c>
      <c r="X174" s="71">
        <v>73.789389790160755</v>
      </c>
      <c r="Y174" s="71">
        <v>9.2236737237700941E-2</v>
      </c>
      <c r="Z174" s="71">
        <v>72.191961241070501</v>
      </c>
      <c r="AA174" s="71">
        <v>9.0239951551338127E-2</v>
      </c>
      <c r="AB174" s="71">
        <v>114</v>
      </c>
      <c r="AC174" s="237">
        <f t="shared" si="22"/>
        <v>102.18038683553964</v>
      </c>
      <c r="AD174" s="237">
        <f t="shared" si="23"/>
        <v>90.049429815484459</v>
      </c>
      <c r="AF174" s="75"/>
      <c r="AG174" s="71"/>
      <c r="AH174" s="71"/>
      <c r="AI174" s="75"/>
      <c r="AJ174" s="75"/>
      <c r="AK174" s="75"/>
      <c r="AL174" s="75"/>
      <c r="AM174" s="75"/>
      <c r="AN174" s="75"/>
      <c r="AO174" s="75"/>
      <c r="AP174" s="75"/>
      <c r="AQ174" s="71"/>
      <c r="AR174" s="75"/>
      <c r="AS174" s="75"/>
      <c r="AT174" s="75"/>
      <c r="AU174" s="71"/>
      <c r="AV174" s="71"/>
      <c r="AW174" s="71"/>
      <c r="AX174" s="71"/>
      <c r="AY174" s="71"/>
      <c r="AZ174" s="71"/>
      <c r="BB174" s="71"/>
      <c r="BD174" s="24"/>
      <c r="BG174" s="24"/>
      <c r="BJ174" s="24"/>
    </row>
    <row r="175" spans="15:62" ht="15" customHeight="1" x14ac:dyDescent="0.2">
      <c r="Q175" s="24">
        <v>115</v>
      </c>
      <c r="R175" s="71">
        <v>-67.638989209150026</v>
      </c>
      <c r="S175" s="71">
        <v>-24.182641665643107</v>
      </c>
      <c r="T175" s="71">
        <v>59.675037384033203</v>
      </c>
      <c r="U175" s="71">
        <v>71.831977692142175</v>
      </c>
      <c r="V175" s="71">
        <v>8.9789972115177724E-2</v>
      </c>
      <c r="W175" s="71">
        <v>1.2089067635474975</v>
      </c>
      <c r="X175" s="71">
        <v>74.993547974146409</v>
      </c>
      <c r="Y175" s="71">
        <v>9.3741934967683016E-2</v>
      </c>
      <c r="Z175" s="71">
        <v>73.396346589389083</v>
      </c>
      <c r="AA175" s="71">
        <v>9.1745433236736354E-2</v>
      </c>
      <c r="AB175" s="71">
        <v>115</v>
      </c>
      <c r="AC175" s="237">
        <f t="shared" si="22"/>
        <v>103.38473839452412</v>
      </c>
      <c r="AD175" s="237">
        <f t="shared" si="23"/>
        <v>91.253815009135423</v>
      </c>
      <c r="AF175" s="75"/>
      <c r="AG175" s="71"/>
      <c r="AH175" s="71"/>
      <c r="AI175" s="75"/>
      <c r="AJ175" s="75"/>
      <c r="AK175" s="75"/>
      <c r="AL175" s="75"/>
      <c r="AM175" s="75"/>
      <c r="AN175" s="75"/>
      <c r="AO175" s="75"/>
      <c r="AP175" s="75"/>
      <c r="AQ175" s="71"/>
      <c r="AR175" s="75"/>
      <c r="AS175" s="75"/>
      <c r="AT175" s="75"/>
      <c r="AU175" s="71"/>
      <c r="AV175" s="71"/>
      <c r="AW175" s="71"/>
      <c r="AX175" s="71"/>
      <c r="AY175" s="71"/>
      <c r="AZ175" s="71"/>
      <c r="BB175" s="71"/>
      <c r="BD175" s="24"/>
      <c r="BG175" s="24"/>
      <c r="BJ175" s="24"/>
    </row>
    <row r="176" spans="15:62" ht="15" customHeight="1" x14ac:dyDescent="0.2">
      <c r="Q176" s="24">
        <v>116</v>
      </c>
      <c r="R176" s="71">
        <v>-68.789476059663897</v>
      </c>
      <c r="S176" s="71">
        <v>-24.568338017709696</v>
      </c>
      <c r="T176" s="71">
        <v>59.610637664794922</v>
      </c>
      <c r="U176" s="71">
        <v>73.045158973853376</v>
      </c>
      <c r="V176" s="71">
        <v>9.1306448717316718E-2</v>
      </c>
      <c r="W176" s="71">
        <v>1.2179238624126669</v>
      </c>
      <c r="X176" s="71">
        <v>76.206750238472409</v>
      </c>
      <c r="Y176" s="71">
        <v>9.5258437798090512E-2</v>
      </c>
      <c r="Z176" s="71">
        <v>74.609761276382258</v>
      </c>
      <c r="AA176" s="71">
        <v>9.3262201595477823E-2</v>
      </c>
      <c r="AB176" s="71">
        <v>116</v>
      </c>
      <c r="AC176" s="237">
        <f t="shared" si="22"/>
        <v>104.59811722255284</v>
      </c>
      <c r="AD176" s="237">
        <f t="shared" si="23"/>
        <v>92.467231089183727</v>
      </c>
      <c r="AF176" s="151"/>
      <c r="AG176" s="75"/>
      <c r="AH176" s="75"/>
      <c r="AI176" s="75"/>
      <c r="AJ176" s="75"/>
      <c r="AK176" s="75"/>
      <c r="AL176" s="75"/>
      <c r="AM176" s="75"/>
      <c r="AN176" s="75"/>
      <c r="AO176" s="75"/>
      <c r="AP176" s="75"/>
      <c r="AQ176" s="71"/>
      <c r="AR176" s="75"/>
      <c r="AS176" s="75"/>
      <c r="AT176" s="75"/>
      <c r="AU176" s="71"/>
      <c r="AV176" s="71"/>
      <c r="AW176" s="71"/>
      <c r="AX176" s="71"/>
      <c r="AY176" s="71"/>
      <c r="AZ176" s="71"/>
      <c r="BB176" s="71"/>
      <c r="BD176" s="24"/>
      <c r="BG176" s="24"/>
      <c r="BJ176" s="24"/>
    </row>
    <row r="177" spans="17:62" ht="15" customHeight="1" x14ac:dyDescent="0.2">
      <c r="Q177" s="24">
        <v>117</v>
      </c>
      <c r="R177" s="71">
        <v>-69.948352800852007</v>
      </c>
      <c r="S177" s="71">
        <v>-24.957334811175034</v>
      </c>
      <c r="T177" s="71">
        <v>59.543685913085938</v>
      </c>
      <c r="U177" s="71">
        <v>74.267359051130597</v>
      </c>
      <c r="V177" s="71">
        <v>9.2834198813913249E-2</v>
      </c>
      <c r="W177" s="71">
        <v>1.2269145805800394</v>
      </c>
      <c r="X177" s="71">
        <v>77.428970074882258</v>
      </c>
      <c r="Y177" s="71">
        <v>9.6786212593602816E-2</v>
      </c>
      <c r="Z177" s="71">
        <v>75.83217893487307</v>
      </c>
      <c r="AA177" s="71">
        <v>9.4790223668591342E-2</v>
      </c>
      <c r="AB177" s="71">
        <v>117</v>
      </c>
      <c r="AC177" s="237">
        <f t="shared" si="22"/>
        <v>105.82049688712732</v>
      </c>
      <c r="AD177" s="237">
        <f t="shared" si="23"/>
        <v>93.6896517000811</v>
      </c>
      <c r="AF177" s="151"/>
      <c r="AG177" s="75"/>
      <c r="AH177" s="75"/>
      <c r="AI177" s="75"/>
      <c r="AJ177" s="75"/>
      <c r="AK177" s="75"/>
      <c r="AL177" s="75"/>
      <c r="AM177" s="75"/>
      <c r="AN177" s="75"/>
      <c r="AO177" s="75"/>
      <c r="AP177" s="75"/>
      <c r="AQ177" s="71"/>
      <c r="AR177" s="75"/>
      <c r="AS177" s="75"/>
      <c r="AT177" s="75"/>
      <c r="AU177" s="71"/>
      <c r="AV177" s="71"/>
      <c r="AW177" s="71"/>
      <c r="AX177" s="71"/>
      <c r="AY177" s="71"/>
      <c r="AZ177" s="71"/>
      <c r="BB177" s="71"/>
      <c r="BD177" s="24"/>
      <c r="BG177" s="24"/>
      <c r="BJ177" s="24"/>
    </row>
    <row r="178" spans="17:62" ht="15" customHeight="1" x14ac:dyDescent="0.2">
      <c r="Q178" s="24">
        <v>118</v>
      </c>
      <c r="R178" s="71">
        <v>-71.115586740209821</v>
      </c>
      <c r="S178" s="71">
        <v>-25.349645387042685</v>
      </c>
      <c r="T178" s="71">
        <v>59.47412109375</v>
      </c>
      <c r="U178" s="71">
        <v>75.498550970552557</v>
      </c>
      <c r="V178" s="71">
        <v>9.4373188713190698E-2</v>
      </c>
      <c r="W178" s="71">
        <v>1.235878546382583</v>
      </c>
      <c r="X178" s="71">
        <v>78.66018058629453</v>
      </c>
      <c r="Y178" s="71">
        <v>9.8325225732868157E-2</v>
      </c>
      <c r="Z178" s="71">
        <v>77.063572813877997</v>
      </c>
      <c r="AA178" s="71">
        <v>9.6329466017347501E-2</v>
      </c>
      <c r="AB178" s="71">
        <v>118</v>
      </c>
      <c r="AC178" s="237">
        <f t="shared" si="22"/>
        <v>107.05185057425085</v>
      </c>
      <c r="AD178" s="237">
        <f t="shared" si="23"/>
        <v>94.921050098640976</v>
      </c>
      <c r="AF178" s="151"/>
      <c r="AG178" s="75"/>
      <c r="AH178" s="75"/>
      <c r="AI178" s="75"/>
      <c r="AJ178" s="75"/>
      <c r="AK178" s="75"/>
      <c r="AL178" s="75"/>
      <c r="AM178" s="75"/>
      <c r="AN178" s="75"/>
      <c r="AO178" s="75"/>
      <c r="AP178" s="75"/>
      <c r="AQ178" s="71"/>
      <c r="AR178" s="75"/>
      <c r="AS178" s="75"/>
      <c r="AT178" s="75"/>
      <c r="AU178" s="71"/>
      <c r="AV178" s="71"/>
      <c r="AW178" s="71"/>
      <c r="AX178" s="71"/>
      <c r="AY178" s="71"/>
      <c r="AZ178" s="71"/>
      <c r="BB178" s="71"/>
      <c r="BD178" s="24"/>
      <c r="BG178" s="24"/>
      <c r="BJ178" s="24"/>
    </row>
    <row r="179" spans="17:62" ht="15" customHeight="1" x14ac:dyDescent="0.2">
      <c r="Q179" s="24">
        <v>119</v>
      </c>
      <c r="R179" s="71">
        <v>-72.291144888625766</v>
      </c>
      <c r="S179" s="71">
        <v>-25.745282730121737</v>
      </c>
      <c r="T179" s="71">
        <v>59.401901245117187</v>
      </c>
      <c r="U179" s="71">
        <v>76.738707391786235</v>
      </c>
      <c r="V179" s="71">
        <v>9.592338423973279E-2</v>
      </c>
      <c r="W179" s="71">
        <v>1.2448153880365374</v>
      </c>
      <c r="X179" s="71">
        <v>79.900354485785513</v>
      </c>
      <c r="Y179" s="71">
        <v>9.9875443107231898E-2</v>
      </c>
      <c r="Z179" s="71">
        <v>78.303915778564019</v>
      </c>
      <c r="AA179" s="71">
        <v>9.7879894723205019E-2</v>
      </c>
      <c r="AB179" s="71">
        <v>119</v>
      </c>
      <c r="AC179" s="237">
        <f t="shared" si="22"/>
        <v>108.29215108857852</v>
      </c>
      <c r="AD179" s="237">
        <f t="shared" si="23"/>
        <v>96.161399153858838</v>
      </c>
      <c r="AF179" s="151"/>
      <c r="AG179" s="75"/>
      <c r="AH179" s="75"/>
      <c r="AI179" s="75"/>
      <c r="AJ179" s="75"/>
      <c r="AK179" s="75"/>
      <c r="AL179" s="75"/>
      <c r="AM179" s="75"/>
      <c r="AN179" s="75"/>
      <c r="AO179" s="75"/>
      <c r="AP179" s="75"/>
      <c r="AQ179" s="71"/>
      <c r="AR179" s="75"/>
      <c r="AS179" s="75"/>
      <c r="AT179" s="75"/>
      <c r="AU179" s="71"/>
      <c r="AV179" s="71"/>
      <c r="AW179" s="71"/>
      <c r="AX179" s="71"/>
      <c r="AY179" s="71"/>
      <c r="AZ179" s="71"/>
      <c r="BB179" s="71"/>
      <c r="BD179" s="24"/>
      <c r="BG179" s="24"/>
      <c r="BJ179" s="24"/>
    </row>
    <row r="180" spans="17:62" ht="15" customHeight="1" x14ac:dyDescent="0.2">
      <c r="Q180" s="24">
        <v>120</v>
      </c>
      <c r="R180" s="71">
        <v>-73.474993983451469</v>
      </c>
      <c r="S180" s="71">
        <v>-26.144259400623636</v>
      </c>
      <c r="T180" s="71">
        <v>59.326969146728516</v>
      </c>
      <c r="U180" s="71">
        <v>77.98780058749783</v>
      </c>
      <c r="V180" s="71">
        <v>9.7484750734372294E-2</v>
      </c>
      <c r="W180" s="71">
        <v>1.2537247343830256</v>
      </c>
      <c r="X180" s="71">
        <v>81.149464096673384</v>
      </c>
      <c r="Y180" s="71">
        <v>0.10143683012084173</v>
      </c>
      <c r="Z180" s="71">
        <v>79.553180311084276</v>
      </c>
      <c r="AA180" s="71">
        <v>9.9441475388855338E-2</v>
      </c>
      <c r="AB180" s="71">
        <v>120</v>
      </c>
      <c r="AC180" s="237">
        <f t="shared" si="22"/>
        <v>109.54137085440622</v>
      </c>
      <c r="AD180" s="237">
        <f t="shared" si="23"/>
        <v>97.410671347656958</v>
      </c>
      <c r="AF180" s="151"/>
      <c r="AG180" s="75"/>
      <c r="AH180" s="75"/>
      <c r="AI180" s="75"/>
      <c r="AJ180" s="75"/>
      <c r="AK180" s="75"/>
      <c r="AL180" s="75"/>
      <c r="AM180" s="75"/>
      <c r="AN180" s="75"/>
      <c r="AO180" s="75"/>
      <c r="AP180" s="75"/>
      <c r="AQ180" s="71"/>
      <c r="AR180" s="75"/>
      <c r="AS180" s="75"/>
      <c r="AT180" s="75"/>
      <c r="AU180" s="71"/>
      <c r="AV180" s="71"/>
      <c r="AW180" s="71"/>
      <c r="AX180" s="71"/>
      <c r="AY180" s="71"/>
      <c r="AZ180" s="71"/>
      <c r="BB180" s="71"/>
      <c r="BD180" s="24"/>
      <c r="BG180" s="24"/>
      <c r="BJ180" s="24"/>
    </row>
    <row r="181" spans="17:62" ht="15" customHeight="1" x14ac:dyDescent="0.2">
      <c r="Q181" s="24">
        <v>121</v>
      </c>
      <c r="R181" s="71">
        <v>-74.667100510464934</v>
      </c>
      <c r="S181" s="71">
        <v>-26.546587471972629</v>
      </c>
      <c r="T181" s="71">
        <v>59.249275207519531</v>
      </c>
      <c r="U181" s="71">
        <v>79.2458024443375</v>
      </c>
      <c r="V181" s="71">
        <v>9.9057253055421873E-2</v>
      </c>
      <c r="W181" s="71">
        <v>1.2626062156192379</v>
      </c>
      <c r="X181" s="71">
        <v>82.407481353659279</v>
      </c>
      <c r="Y181" s="71">
        <v>0.10300935169207409</v>
      </c>
      <c r="Z181" s="71">
        <v>80.811338512271163</v>
      </c>
      <c r="AA181" s="71">
        <v>0.10101417314033895</v>
      </c>
      <c r="AB181" s="71">
        <v>121</v>
      </c>
      <c r="AC181" s="237">
        <f t="shared" si="22"/>
        <v>110.79948191748417</v>
      </c>
      <c r="AD181" s="237">
        <f t="shared" si="23"/>
        <v>98.668838776529626</v>
      </c>
      <c r="AF181" s="151"/>
      <c r="AG181" s="75"/>
      <c r="AH181" s="75"/>
      <c r="AI181" s="75"/>
      <c r="AJ181" s="75"/>
      <c r="AK181" s="75"/>
      <c r="AL181" s="75"/>
      <c r="AM181" s="75"/>
      <c r="AN181" s="75"/>
      <c r="AO181" s="75"/>
      <c r="AP181" s="75"/>
      <c r="AQ181" s="71"/>
      <c r="AR181" s="75"/>
      <c r="AS181" s="75"/>
      <c r="AT181" s="75"/>
      <c r="AU181" s="71"/>
      <c r="AV181" s="71"/>
      <c r="AW181" s="71"/>
      <c r="AX181" s="71"/>
      <c r="AY181" s="71"/>
      <c r="AZ181" s="71"/>
      <c r="BB181" s="71"/>
      <c r="BD181" s="24"/>
      <c r="BG181" s="24"/>
      <c r="BJ181" s="24"/>
    </row>
    <row r="182" spans="17:62" ht="15" customHeight="1" x14ac:dyDescent="0.2">
      <c r="Q182" s="24">
        <v>122</v>
      </c>
      <c r="R182" s="71">
        <v>-75.867430724745319</v>
      </c>
      <c r="S182" s="71">
        <v>-26.952278474718383</v>
      </c>
      <c r="T182" s="71">
        <v>59.168773651123047</v>
      </c>
      <c r="U182" s="71">
        <v>80.512684464951221</v>
      </c>
      <c r="V182" s="71">
        <v>0.10064085558118903</v>
      </c>
      <c r="W182" s="71">
        <v>1.2714594640192884</v>
      </c>
      <c r="X182" s="71">
        <v>83.674377804981063</v>
      </c>
      <c r="Y182" s="71">
        <v>0.10459297225622632</v>
      </c>
      <c r="Z182" s="71">
        <v>82.078362104164469</v>
      </c>
      <c r="AA182" s="71">
        <v>0.10259795263020559</v>
      </c>
      <c r="AB182" s="71">
        <v>122</v>
      </c>
      <c r="AC182" s="237">
        <f t="shared" si="22"/>
        <v>112.066455947636</v>
      </c>
      <c r="AD182" s="237">
        <f t="shared" si="23"/>
        <v>99.935873154063188</v>
      </c>
      <c r="AF182" s="151"/>
      <c r="AG182" s="75"/>
      <c r="AH182" s="75"/>
      <c r="AI182" s="75"/>
      <c r="AJ182" s="75"/>
      <c r="AK182" s="75"/>
      <c r="AL182" s="75"/>
      <c r="AM182" s="75"/>
      <c r="AN182" s="75"/>
      <c r="AO182" s="75"/>
      <c r="AP182" s="75"/>
      <c r="AQ182" s="71"/>
      <c r="AR182" s="75"/>
      <c r="AS182" s="75"/>
      <c r="AT182" s="75"/>
      <c r="AU182" s="71"/>
      <c r="AV182" s="71"/>
      <c r="AW182" s="71"/>
      <c r="AX182" s="71"/>
      <c r="AY182" s="71"/>
      <c r="AZ182" s="71"/>
      <c r="BB182" s="71"/>
      <c r="BD182" s="24"/>
      <c r="BG182" s="24"/>
      <c r="BJ182" s="24"/>
    </row>
    <row r="183" spans="17:62" ht="15" customHeight="1" x14ac:dyDescent="0.2">
      <c r="Q183" s="24">
        <v>123</v>
      </c>
      <c r="R183" s="71">
        <v>-77.075950670476161</v>
      </c>
      <c r="S183" s="71">
        <v>-27.361343346442055</v>
      </c>
      <c r="T183" s="71">
        <v>59.085414886474609</v>
      </c>
      <c r="U183" s="71">
        <v>81.788417770975144</v>
      </c>
      <c r="V183" s="71">
        <v>0.10223552221371893</v>
      </c>
      <c r="W183" s="71">
        <v>1.2802841146443031</v>
      </c>
      <c r="X183" s="71">
        <v>84.950124615537234</v>
      </c>
      <c r="Y183" s="71">
        <v>0.10618765576942155</v>
      </c>
      <c r="Z183" s="71">
        <v>83.354222433351183</v>
      </c>
      <c r="AA183" s="71">
        <v>0.10419277804168897</v>
      </c>
      <c r="AB183" s="71">
        <v>123</v>
      </c>
      <c r="AC183" s="237">
        <f t="shared" si="22"/>
        <v>113.34226424216465</v>
      </c>
      <c r="AD183" s="237">
        <f t="shared" si="23"/>
        <v>101.21174581430469</v>
      </c>
      <c r="AF183" s="151"/>
      <c r="AG183" s="75"/>
      <c r="AH183" s="75"/>
      <c r="AI183" s="75"/>
      <c r="AJ183" s="75"/>
      <c r="AK183" s="75"/>
      <c r="AL183" s="75"/>
      <c r="AM183" s="75"/>
      <c r="AN183" s="75"/>
      <c r="AO183" s="75"/>
      <c r="AP183" s="75"/>
      <c r="AQ183" s="71"/>
      <c r="AR183" s="75"/>
      <c r="AS183" s="75"/>
      <c r="AT183" s="75"/>
      <c r="AU183" s="71"/>
      <c r="AV183" s="71"/>
      <c r="AW183" s="71"/>
      <c r="AX183" s="71"/>
      <c r="AY183" s="71"/>
      <c r="AZ183" s="71"/>
      <c r="BB183" s="71"/>
      <c r="BD183" s="24"/>
      <c r="BG183" s="24"/>
      <c r="BJ183" s="24"/>
    </row>
    <row r="184" spans="17:62" ht="15" customHeight="1" x14ac:dyDescent="0.2">
      <c r="Q184" s="24">
        <v>124</v>
      </c>
      <c r="R184" s="71">
        <v>-78.292626199689678</v>
      </c>
      <c r="S184" s="71">
        <v>-27.773792387547715</v>
      </c>
      <c r="T184" s="71">
        <v>58.9991455078125</v>
      </c>
      <c r="U184" s="71">
        <v>83.072973106967453</v>
      </c>
      <c r="V184" s="71">
        <v>0.10384121638370931</v>
      </c>
      <c r="W184" s="71">
        <v>1.2890798060407989</v>
      </c>
      <c r="X184" s="71">
        <v>86.234692570937895</v>
      </c>
      <c r="Y184" s="71">
        <v>0.10779336571367237</v>
      </c>
      <c r="Z184" s="71">
        <v>84.638890475091898</v>
      </c>
      <c r="AA184" s="71">
        <v>0.10579861309386487</v>
      </c>
      <c r="AB184" s="71">
        <v>124</v>
      </c>
      <c r="AC184" s="237">
        <f t="shared" si="22"/>
        <v>114.6268777300226</v>
      </c>
      <c r="AD184" s="237">
        <f t="shared" si="23"/>
        <v>102.49642771595092</v>
      </c>
      <c r="AF184" s="151"/>
      <c r="AG184" s="75"/>
      <c r="AH184" s="75"/>
      <c r="AI184" s="75"/>
      <c r="AJ184" s="75"/>
      <c r="AK184" s="75"/>
      <c r="AL184" s="75"/>
      <c r="AM184" s="75"/>
      <c r="AN184" s="75"/>
      <c r="AO184" s="75"/>
      <c r="AP184" s="75"/>
      <c r="AQ184" s="71"/>
      <c r="AR184" s="75"/>
      <c r="AS184" s="75"/>
      <c r="AT184" s="75"/>
      <c r="AU184" s="71"/>
      <c r="AV184" s="71"/>
      <c r="AW184" s="71"/>
      <c r="AX184" s="71"/>
      <c r="AY184" s="71"/>
      <c r="AZ184" s="71"/>
      <c r="BB184" s="71"/>
      <c r="BD184" s="24"/>
      <c r="BG184" s="24"/>
      <c r="BJ184" s="24"/>
    </row>
    <row r="185" spans="17:62" ht="15" customHeight="1" x14ac:dyDescent="0.2">
      <c r="Q185" s="24">
        <v>125</v>
      </c>
      <c r="R185" s="71">
        <v>-79.51742298996254</v>
      </c>
      <c r="S185" s="71">
        <v>-28.189635222829956</v>
      </c>
      <c r="T185" s="71">
        <v>58.909927368164063</v>
      </c>
      <c r="U185" s="71">
        <v>84.366320845233247</v>
      </c>
      <c r="V185" s="71">
        <v>0.10545790105654156</v>
      </c>
      <c r="W185" s="71">
        <v>1.2978461809258977</v>
      </c>
      <c r="X185" s="71">
        <v>87.528052082439686</v>
      </c>
      <c r="Y185" s="71">
        <v>0.10941006510304961</v>
      </c>
      <c r="Z185" s="71">
        <v>85.932336838206766</v>
      </c>
      <c r="AA185" s="71">
        <v>0.10741542104775846</v>
      </c>
      <c r="AB185" s="71">
        <v>125</v>
      </c>
      <c r="AC185" s="237">
        <f t="shared" si="22"/>
        <v>115.92026697672277</v>
      </c>
      <c r="AD185" s="237">
        <f t="shared" si="23"/>
        <v>103.78988944732771</v>
      </c>
      <c r="AF185" s="151"/>
      <c r="AG185" s="75"/>
      <c r="AH185" s="75"/>
      <c r="AI185" s="75"/>
      <c r="AJ185" s="75"/>
      <c r="AK185" s="75"/>
      <c r="AL185" s="75"/>
      <c r="AM185" s="75"/>
      <c r="AN185" s="75"/>
      <c r="AO185" s="75"/>
      <c r="AP185" s="75"/>
      <c r="AQ185" s="71"/>
      <c r="AR185" s="75"/>
      <c r="AS185" s="75"/>
      <c r="AT185" s="75"/>
      <c r="AU185" s="71"/>
      <c r="AV185" s="71"/>
      <c r="AW185" s="71"/>
      <c r="AX185" s="71"/>
      <c r="AY185" s="71"/>
      <c r="AZ185" s="71"/>
      <c r="BB185" s="71"/>
      <c r="BD185" s="24"/>
      <c r="BG185" s="24"/>
      <c r="BJ185" s="24"/>
    </row>
    <row r="186" spans="17:62" ht="15" customHeight="1" x14ac:dyDescent="0.2">
      <c r="Q186" s="24">
        <v>126</v>
      </c>
      <c r="R186" s="71">
        <v>-80.750306561047495</v>
      </c>
      <c r="S186" s="71">
        <v>-28.60888076881551</v>
      </c>
      <c r="T186" s="71">
        <v>58.817707061767578</v>
      </c>
      <c r="U186" s="71">
        <v>85.668430991511983</v>
      </c>
      <c r="V186" s="71">
        <v>0.10708553873938997</v>
      </c>
      <c r="W186" s="71">
        <v>1.3065828869397749</v>
      </c>
      <c r="X186" s="71">
        <v>88.830173192735401</v>
      </c>
      <c r="Y186" s="71">
        <v>0.11103771649091926</v>
      </c>
      <c r="Z186" s="71">
        <v>87.234531770704265</v>
      </c>
      <c r="AA186" s="71">
        <v>0.10904316471338033</v>
      </c>
      <c r="AB186" s="71">
        <v>126</v>
      </c>
      <c r="AC186" s="237">
        <f t="shared" si="22"/>
        <v>117.2224021899747</v>
      </c>
      <c r="AD186" s="237">
        <f t="shared" si="23"/>
        <v>105.09210123214034</v>
      </c>
      <c r="AF186" s="151"/>
      <c r="AG186" s="75"/>
      <c r="AH186" s="75"/>
      <c r="AI186" s="75"/>
      <c r="AJ186" s="75"/>
      <c r="AK186" s="75"/>
      <c r="AL186" s="75"/>
      <c r="AM186" s="75"/>
      <c r="AN186" s="75"/>
      <c r="AO186" s="75"/>
      <c r="AP186" s="75"/>
      <c r="AQ186" s="71"/>
      <c r="AR186" s="75"/>
      <c r="AS186" s="75"/>
      <c r="AT186" s="75"/>
      <c r="AU186" s="71"/>
      <c r="AV186" s="71"/>
      <c r="AW186" s="71"/>
      <c r="AX186" s="71"/>
      <c r="AY186" s="71"/>
      <c r="AZ186" s="71"/>
      <c r="BB186" s="71"/>
      <c r="BD186" s="24"/>
      <c r="BG186" s="24"/>
      <c r="BJ186" s="24"/>
    </row>
    <row r="187" spans="17:62" ht="15" customHeight="1" x14ac:dyDescent="0.2">
      <c r="Q187" s="24">
        <v>127</v>
      </c>
      <c r="R187" s="71">
        <v>-81.991242288511216</v>
      </c>
      <c r="S187" s="71">
        <v>-29.031537215757371</v>
      </c>
      <c r="T187" s="71">
        <v>58.722442626953125</v>
      </c>
      <c r="U187" s="71">
        <v>86.979273192659264</v>
      </c>
      <c r="V187" s="71">
        <v>0.10872409149082408</v>
      </c>
      <c r="W187" s="71">
        <v>1.3152895802536406</v>
      </c>
      <c r="X187" s="71">
        <v>90.141025583725394</v>
      </c>
      <c r="Y187" s="71">
        <v>0.11267628197965675</v>
      </c>
      <c r="Z187" s="71">
        <v>88.545445167133167</v>
      </c>
      <c r="AA187" s="71">
        <v>0.11068180645891645</v>
      </c>
      <c r="AB187" s="71">
        <v>127</v>
      </c>
      <c r="AC187" s="237">
        <f t="shared" si="22"/>
        <v>118.53325322697984</v>
      </c>
      <c r="AD187" s="237">
        <f t="shared" si="23"/>
        <v>106.40303293699931</v>
      </c>
      <c r="AF187" s="151"/>
      <c r="AG187" s="75"/>
      <c r="AH187" s="75"/>
      <c r="AI187" s="75"/>
      <c r="AJ187" s="75"/>
      <c r="AK187" s="75"/>
      <c r="AL187" s="75"/>
      <c r="AM187" s="75"/>
      <c r="AN187" s="75"/>
      <c r="AO187" s="75"/>
      <c r="AP187" s="75"/>
      <c r="AQ187" s="71"/>
      <c r="AR187" s="75"/>
      <c r="AS187" s="75"/>
      <c r="AT187" s="75"/>
      <c r="AU187" s="71"/>
      <c r="AV187" s="71"/>
      <c r="AW187" s="71"/>
      <c r="AX187" s="71"/>
      <c r="AY187" s="71"/>
      <c r="AZ187" s="71"/>
      <c r="BB187" s="71"/>
      <c r="BD187" s="24"/>
      <c r="BG187" s="24"/>
      <c r="BJ187" s="24"/>
    </row>
    <row r="188" spans="17:62" ht="15" customHeight="1" x14ac:dyDescent="0.2">
      <c r="Q188" s="24">
        <v>128</v>
      </c>
      <c r="R188" s="71">
        <v>-83.240195407071468</v>
      </c>
      <c r="S188" s="71">
        <v>-29.457612057846582</v>
      </c>
      <c r="T188" s="71">
        <v>58.624092102050781</v>
      </c>
      <c r="U188" s="71">
        <v>88.29881675061128</v>
      </c>
      <c r="V188" s="71">
        <v>0.11037352093826409</v>
      </c>
      <c r="W188" s="71">
        <v>1.3239659319287183</v>
      </c>
      <c r="X188" s="71">
        <v>91.460578590538958</v>
      </c>
      <c r="Y188" s="71">
        <v>0.11432572323817369</v>
      </c>
      <c r="Z188" s="71">
        <v>89.865046581363458</v>
      </c>
      <c r="AA188" s="71">
        <v>0.11233130822670433</v>
      </c>
      <c r="AB188" s="71">
        <v>128</v>
      </c>
      <c r="AC188" s="237">
        <f t="shared" si="22"/>
        <v>119.85278960691301</v>
      </c>
      <c r="AD188" s="237">
        <f t="shared" si="23"/>
        <v>107.72265408451942</v>
      </c>
      <c r="AF188" s="151"/>
      <c r="AG188" s="75"/>
      <c r="AH188" s="75"/>
      <c r="AI188" s="75"/>
      <c r="AJ188" s="75"/>
      <c r="AK188" s="75"/>
      <c r="AL188" s="75"/>
      <c r="AM188" s="75"/>
      <c r="AN188" s="75"/>
      <c r="AO188" s="75"/>
      <c r="AP188" s="75"/>
      <c r="AQ188" s="71"/>
      <c r="AR188" s="75"/>
      <c r="AS188" s="75"/>
      <c r="AT188" s="75"/>
      <c r="AU188" s="71"/>
      <c r="AV188" s="71"/>
      <c r="AW188" s="71"/>
      <c r="AX188" s="71"/>
      <c r="AY188" s="71"/>
      <c r="AZ188" s="71"/>
      <c r="BB188" s="71"/>
      <c r="BD188" s="24"/>
      <c r="BG188" s="24"/>
      <c r="BJ188" s="24"/>
    </row>
    <row r="189" spans="17:62" ht="15" customHeight="1" x14ac:dyDescent="0.2">
      <c r="Q189" s="24">
        <v>129</v>
      </c>
      <c r="R189" s="71">
        <v>-84.49713100701139</v>
      </c>
      <c r="S189" s="71">
        <v>-29.887112154940663</v>
      </c>
      <c r="T189" s="71">
        <v>58.522609710693359</v>
      </c>
      <c r="U189" s="71">
        <v>89.627030640192743</v>
      </c>
      <c r="V189" s="71">
        <v>0.11203378830024092</v>
      </c>
      <c r="W189" s="71">
        <v>1.3326116287425473</v>
      </c>
      <c r="X189" s="71">
        <v>92.788801219382066</v>
      </c>
      <c r="Y189" s="71">
        <v>0.11598600152422758</v>
      </c>
      <c r="Z189" s="71">
        <v>91.193305242743619</v>
      </c>
      <c r="AA189" s="71">
        <v>0.11399163155342952</v>
      </c>
      <c r="AB189" s="71">
        <v>129</v>
      </c>
      <c r="AC189" s="237">
        <f t="shared" ref="AC189:AC252" si="24">IF(Q189="","",SQRT(($R189-$AR$61)^2+($S189-$AS$61)^2))</f>
        <v>121.1809805266375</v>
      </c>
      <c r="AD189" s="237">
        <f t="shared" ref="AD189:AD252" si="25">IF(Q189="","",SQRT(($R189-$AT$61)^2+($S189-$AU$61)^2))</f>
        <v>109.05093386987376</v>
      </c>
      <c r="AF189" s="151"/>
      <c r="AG189" s="75"/>
      <c r="AH189" s="75"/>
      <c r="AI189" s="75"/>
      <c r="AJ189" s="75"/>
      <c r="AK189" s="75"/>
      <c r="AL189" s="75"/>
      <c r="AM189" s="75"/>
      <c r="AN189" s="75"/>
      <c r="AO189" s="75"/>
      <c r="AP189" s="75"/>
      <c r="AQ189" s="71"/>
      <c r="AR189" s="75"/>
      <c r="AS189" s="75"/>
      <c r="AT189" s="75"/>
      <c r="AU189" s="71"/>
      <c r="AV189" s="71"/>
      <c r="AW189" s="71"/>
      <c r="AX189" s="71"/>
      <c r="AY189" s="71"/>
      <c r="AZ189" s="71"/>
      <c r="BB189" s="71"/>
      <c r="BD189" s="24"/>
      <c r="BG189" s="24"/>
      <c r="BJ189" s="24"/>
    </row>
    <row r="190" spans="17:62" ht="15" customHeight="1" x14ac:dyDescent="0.2">
      <c r="Q190" s="24">
        <v>130</v>
      </c>
      <c r="R190" s="71">
        <v>-85.762014030496118</v>
      </c>
      <c r="S190" s="71">
        <v>-30.32004379355644</v>
      </c>
      <c r="T190" s="71">
        <v>58.417957305908203</v>
      </c>
      <c r="U190" s="71">
        <v>90.963883526431488</v>
      </c>
      <c r="V190" s="71">
        <v>0.11370485440803936</v>
      </c>
      <c r="W190" s="71">
        <v>1.3412263725575011</v>
      </c>
      <c r="X190" s="71">
        <v>94.125662164896795</v>
      </c>
      <c r="Y190" s="71">
        <v>0.11765707770612099</v>
      </c>
      <c r="Z190" s="71">
        <v>92.530190071916877</v>
      </c>
      <c r="AA190" s="71">
        <v>0.11566273758989609</v>
      </c>
      <c r="AB190" s="71">
        <v>130</v>
      </c>
      <c r="AC190" s="237">
        <f t="shared" si="24"/>
        <v>122.51779487611229</v>
      </c>
      <c r="AD190" s="237">
        <f t="shared" si="25"/>
        <v>110.38784117698216</v>
      </c>
      <c r="AF190" s="151"/>
      <c r="AG190" s="75"/>
      <c r="AH190" s="75"/>
      <c r="AI190" s="75"/>
      <c r="AJ190" s="75"/>
      <c r="AK190" s="75"/>
      <c r="AL190" s="75"/>
      <c r="AM190" s="75"/>
      <c r="AN190" s="75"/>
      <c r="AO190" s="75"/>
      <c r="AP190" s="75"/>
      <c r="AQ190" s="71"/>
      <c r="AR190" s="75"/>
      <c r="AS190" s="75"/>
      <c r="AT190" s="75"/>
      <c r="AU190" s="71"/>
      <c r="AV190" s="71"/>
      <c r="AW190" s="71"/>
      <c r="AX190" s="71"/>
      <c r="AY190" s="71"/>
      <c r="AZ190" s="71"/>
      <c r="BB190" s="71"/>
      <c r="BD190" s="24"/>
      <c r="BG190" s="24"/>
      <c r="BJ190" s="24"/>
    </row>
    <row r="191" spans="17:62" ht="15" customHeight="1" x14ac:dyDescent="0.2">
      <c r="Q191" s="24">
        <v>131</v>
      </c>
      <c r="R191" s="71">
        <v>-87.034809268473239</v>
      </c>
      <c r="S191" s="71">
        <v>-30.756412743861056</v>
      </c>
      <c r="T191" s="71">
        <v>58.310089111328125</v>
      </c>
      <c r="U191" s="71">
        <v>92.309343780953483</v>
      </c>
      <c r="V191" s="71">
        <v>0.11538667972619185</v>
      </c>
      <c r="W191" s="71">
        <v>1.349809879688378</v>
      </c>
      <c r="X191" s="71">
        <v>95.471129826606827</v>
      </c>
      <c r="Y191" s="71">
        <v>0.11933891228325853</v>
      </c>
      <c r="Z191" s="71">
        <v>93.875669695914425</v>
      </c>
      <c r="AA191" s="71">
        <v>0.11734458711989303</v>
      </c>
      <c r="AB191" s="71">
        <v>131</v>
      </c>
      <c r="AC191" s="237">
        <f t="shared" si="24"/>
        <v>123.86320125312301</v>
      </c>
      <c r="AD191" s="237">
        <f t="shared" si="25"/>
        <v>111.73334459394367</v>
      </c>
      <c r="AF191" s="151"/>
      <c r="AG191" s="75"/>
      <c r="AH191" s="75"/>
      <c r="AI191" s="75"/>
      <c r="AJ191" s="75"/>
      <c r="AK191" s="75"/>
      <c r="AL191" s="75"/>
      <c r="AM191" s="75"/>
      <c r="AN191" s="75"/>
      <c r="AO191" s="75"/>
      <c r="AP191" s="75"/>
      <c r="AQ191" s="71"/>
      <c r="AR191" s="75"/>
      <c r="AS191" s="75"/>
      <c r="AT191" s="75"/>
      <c r="AU191" s="71"/>
      <c r="AV191" s="71"/>
      <c r="AW191" s="71"/>
      <c r="AX191" s="71"/>
      <c r="AY191" s="71"/>
      <c r="AZ191" s="71"/>
      <c r="BB191" s="71"/>
      <c r="BD191" s="24"/>
      <c r="BG191" s="24"/>
      <c r="BJ191" s="24"/>
    </row>
    <row r="192" spans="17:62" ht="15" customHeight="1" x14ac:dyDescent="0.2">
      <c r="Q192" s="24">
        <v>132</v>
      </c>
      <c r="R192" s="71">
        <v>-88.315481358107178</v>
      </c>
      <c r="S192" s="71">
        <v>-31.196224312826679</v>
      </c>
      <c r="T192" s="71">
        <v>58.198963165283203</v>
      </c>
      <c r="U192" s="71">
        <v>93.663379497487568</v>
      </c>
      <c r="V192" s="71">
        <v>0.11707922437185946</v>
      </c>
      <c r="W192" s="71">
        <v>1.3583618802727142</v>
      </c>
      <c r="X192" s="71">
        <v>96.825172324477023</v>
      </c>
      <c r="Y192" s="71">
        <v>0.12103146540559628</v>
      </c>
      <c r="Z192" s="71">
        <v>95.229712462535289</v>
      </c>
      <c r="AA192" s="71">
        <v>0.11903714057816911</v>
      </c>
      <c r="AB192" s="71">
        <v>132</v>
      </c>
      <c r="AC192" s="237">
        <f t="shared" si="24"/>
        <v>125.21716797734169</v>
      </c>
      <c r="AD192" s="237">
        <f t="shared" si="25"/>
        <v>113.08741242772403</v>
      </c>
      <c r="AF192" s="151"/>
      <c r="AG192" s="75"/>
      <c r="AH192" s="75"/>
      <c r="AI192" s="75"/>
      <c r="AJ192" s="75"/>
      <c r="AK192" s="75"/>
      <c r="AL192" s="75"/>
      <c r="AM192" s="75"/>
      <c r="AN192" s="75"/>
      <c r="AO192" s="75"/>
      <c r="AP192" s="75"/>
      <c r="AQ192" s="71"/>
      <c r="AR192" s="75"/>
      <c r="AS192" s="75"/>
      <c r="AT192" s="75"/>
      <c r="AU192" s="71"/>
      <c r="AV192" s="71"/>
      <c r="AW192" s="71"/>
      <c r="AX192" s="71"/>
      <c r="AY192" s="71"/>
      <c r="AZ192" s="71"/>
      <c r="BB192" s="71"/>
      <c r="BD192" s="24"/>
      <c r="BG192" s="24"/>
      <c r="BJ192" s="24"/>
    </row>
    <row r="193" spans="17:62" ht="15" customHeight="1" x14ac:dyDescent="0.2">
      <c r="Q193" s="24">
        <v>133</v>
      </c>
      <c r="R193" s="71">
        <v>-89.603994780696894</v>
      </c>
      <c r="S193" s="71">
        <v>-31.639483393717384</v>
      </c>
      <c r="T193" s="71">
        <v>58.084548950195313</v>
      </c>
      <c r="U193" s="71">
        <v>95.02595850650745</v>
      </c>
      <c r="V193" s="71">
        <v>0.11878244813313431</v>
      </c>
      <c r="W193" s="71">
        <v>1.3668821176432595</v>
      </c>
      <c r="X193" s="71">
        <v>98.187757513613136</v>
      </c>
      <c r="Y193" s="71">
        <v>0.12273469689201642</v>
      </c>
      <c r="Z193" s="71">
        <v>96.592286454021931</v>
      </c>
      <c r="AA193" s="71">
        <v>0.12074035806752742</v>
      </c>
      <c r="AB193" s="71">
        <v>133</v>
      </c>
      <c r="AC193" s="237">
        <f t="shared" si="24"/>
        <v>126.57966310371965</v>
      </c>
      <c r="AD193" s="237">
        <f t="shared" si="25"/>
        <v>114.45001271810976</v>
      </c>
      <c r="AF193" s="151"/>
      <c r="AG193" s="75"/>
      <c r="AH193" s="75"/>
      <c r="AI193" s="75"/>
      <c r="AJ193" s="75"/>
      <c r="AK193" s="75"/>
      <c r="AL193" s="75"/>
      <c r="AM193" s="75"/>
      <c r="AN193" s="75"/>
      <c r="AO193" s="75"/>
      <c r="AP193" s="75"/>
      <c r="AQ193" s="71"/>
      <c r="AR193" s="75"/>
      <c r="AS193" s="75"/>
      <c r="AT193" s="75"/>
      <c r="AU193" s="71"/>
      <c r="AV193" s="71"/>
      <c r="AW193" s="71"/>
      <c r="AX193" s="71"/>
      <c r="AY193" s="71"/>
      <c r="AZ193" s="71"/>
      <c r="BB193" s="71"/>
      <c r="BD193" s="24"/>
      <c r="BG193" s="24"/>
      <c r="BJ193" s="24"/>
    </row>
    <row r="194" spans="17:62" ht="15" customHeight="1" x14ac:dyDescent="0.2">
      <c r="Q194" s="24">
        <v>134</v>
      </c>
      <c r="R194" s="71">
        <v>-90.900313860027893</v>
      </c>
      <c r="S194" s="71">
        <v>-32.086194512074549</v>
      </c>
      <c r="T194" s="71">
        <v>57.966796875</v>
      </c>
      <c r="U194" s="71">
        <v>96.397048389036584</v>
      </c>
      <c r="V194" s="71">
        <v>0.12049631048629574</v>
      </c>
      <c r="W194" s="71">
        <v>1.3753703477021637</v>
      </c>
      <c r="X194" s="71">
        <v>99.558852998126582</v>
      </c>
      <c r="Y194" s="71">
        <v>0.12444856624765822</v>
      </c>
      <c r="Z194" s="71">
        <v>97.963359500040752</v>
      </c>
      <c r="AA194" s="71">
        <v>0.12245419937505093</v>
      </c>
      <c r="AB194" s="71">
        <v>134</v>
      </c>
      <c r="AC194" s="237">
        <f t="shared" si="24"/>
        <v>127.95065443521912</v>
      </c>
      <c r="AD194" s="237">
        <f t="shared" si="25"/>
        <v>115.82111325093983</v>
      </c>
      <c r="AF194" s="151"/>
      <c r="AG194" s="75"/>
      <c r="AH194" s="75"/>
      <c r="AI194" s="75"/>
      <c r="AJ194" s="75"/>
      <c r="AK194" s="75"/>
      <c r="AL194" s="75"/>
      <c r="AM194" s="75"/>
      <c r="AN194" s="75"/>
      <c r="AO194" s="75"/>
      <c r="AP194" s="75"/>
      <c r="AQ194" s="71"/>
      <c r="AR194" s="75"/>
      <c r="AS194" s="75"/>
      <c r="AT194" s="75"/>
      <c r="AU194" s="71"/>
      <c r="AV194" s="71"/>
      <c r="AW194" s="71"/>
      <c r="AX194" s="71"/>
      <c r="AY194" s="71"/>
      <c r="AZ194" s="71"/>
      <c r="BB194" s="71"/>
      <c r="BD194" s="24"/>
      <c r="BG194" s="24"/>
      <c r="BJ194" s="24"/>
    </row>
    <row r="195" spans="17:62" ht="15" customHeight="1" x14ac:dyDescent="0.2">
      <c r="Q195" s="24">
        <v>135</v>
      </c>
      <c r="R195" s="71">
        <v>-92.204402761109577</v>
      </c>
      <c r="S195" s="71">
        <v>-32.536361868364473</v>
      </c>
      <c r="T195" s="71">
        <v>57.845672607421875</v>
      </c>
      <c r="U195" s="71">
        <v>97.776616489639665</v>
      </c>
      <c r="V195" s="71">
        <v>0.12222077061204958</v>
      </c>
      <c r="W195" s="71">
        <v>1.3838263382964808</v>
      </c>
      <c r="X195" s="71">
        <v>100.93842614418682</v>
      </c>
      <c r="Y195" s="71">
        <v>0.12617303268023353</v>
      </c>
      <c r="Z195" s="71">
        <v>99.342899189976237</v>
      </c>
      <c r="AA195" s="71">
        <v>0.1241786239874703</v>
      </c>
      <c r="AB195" s="71">
        <v>135</v>
      </c>
      <c r="AC195" s="237">
        <f t="shared" si="24"/>
        <v>129.33010953488829</v>
      </c>
      <c r="AD195" s="237">
        <f t="shared" si="25"/>
        <v>117.20068157062499</v>
      </c>
      <c r="AF195" s="151"/>
      <c r="AG195" s="75"/>
      <c r="AH195" s="75"/>
      <c r="AI195" s="75"/>
      <c r="AJ195" s="75"/>
      <c r="AK195" s="75"/>
      <c r="AL195" s="75"/>
      <c r="AM195" s="75"/>
      <c r="AN195" s="75"/>
      <c r="AO195" s="75"/>
      <c r="AP195" s="75"/>
      <c r="AQ195" s="71"/>
      <c r="AR195" s="75"/>
      <c r="AS195" s="75"/>
      <c r="AT195" s="75"/>
      <c r="AU195" s="71"/>
      <c r="AV195" s="71"/>
      <c r="AW195" s="71"/>
      <c r="AX195" s="71"/>
      <c r="AY195" s="71"/>
      <c r="AZ195" s="71"/>
      <c r="BB195" s="71"/>
      <c r="BD195" s="24"/>
      <c r="BG195" s="24"/>
      <c r="BJ195" s="24"/>
    </row>
    <row r="196" spans="17:62" ht="15" customHeight="1" x14ac:dyDescent="0.2">
      <c r="Q196" s="24">
        <v>136</v>
      </c>
      <c r="R196" s="71">
        <v>-93.516225489250473</v>
      </c>
      <c r="S196" s="71">
        <v>-32.989989377449277</v>
      </c>
      <c r="T196" s="71">
        <v>57.721134185791016</v>
      </c>
      <c r="U196" s="71">
        <v>99.164629928622006</v>
      </c>
      <c r="V196" s="71">
        <v>0.12395578741077751</v>
      </c>
      <c r="W196" s="71">
        <v>1.3922498685946352</v>
      </c>
      <c r="X196" s="71">
        <v>102.3264440922822</v>
      </c>
      <c r="Y196" s="71">
        <v>0.12790805511535275</v>
      </c>
      <c r="Z196" s="71">
        <v>100.73087288454647</v>
      </c>
      <c r="AA196" s="71">
        <v>0.12591359110568309</v>
      </c>
      <c r="AB196" s="71">
        <v>136</v>
      </c>
      <c r="AC196" s="237">
        <f t="shared" si="24"/>
        <v>130.71799573728461</v>
      </c>
      <c r="AD196" s="237">
        <f t="shared" si="25"/>
        <v>118.58868499196501</v>
      </c>
      <c r="AF196" s="151"/>
      <c r="AG196" s="75"/>
      <c r="AH196" s="75"/>
      <c r="AI196" s="75"/>
      <c r="AJ196" s="75"/>
      <c r="AK196" s="75"/>
      <c r="AL196" s="75"/>
      <c r="AM196" s="75"/>
      <c r="AN196" s="75"/>
      <c r="AO196" s="75"/>
      <c r="AP196" s="75"/>
      <c r="AQ196" s="71"/>
      <c r="AR196" s="75"/>
      <c r="AS196" s="75"/>
      <c r="AT196" s="75"/>
      <c r="AU196" s="71"/>
      <c r="AV196" s="71"/>
      <c r="AW196" s="71"/>
      <c r="AX196" s="71"/>
      <c r="AY196" s="71"/>
      <c r="AZ196" s="71"/>
      <c r="BB196" s="71"/>
      <c r="BD196" s="24"/>
      <c r="BG196" s="24"/>
      <c r="BJ196" s="24"/>
    </row>
    <row r="197" spans="17:62" ht="15" customHeight="1" x14ac:dyDescent="0.2">
      <c r="Q197" s="24">
        <v>137</v>
      </c>
      <c r="R197" s="71">
        <v>-94.835745889423805</v>
      </c>
      <c r="S197" s="71">
        <v>-33.447080705039049</v>
      </c>
      <c r="T197" s="71">
        <v>57.593147277832031</v>
      </c>
      <c r="U197" s="71">
        <v>100.56105561345684</v>
      </c>
      <c r="V197" s="71">
        <v>0.12570131951682106</v>
      </c>
      <c r="W197" s="71">
        <v>1.4006407284634921</v>
      </c>
      <c r="X197" s="71">
        <v>103.72287376870823</v>
      </c>
      <c r="Y197" s="71">
        <v>0.12965359221088529</v>
      </c>
      <c r="Z197" s="71">
        <v>102.12724772674713</v>
      </c>
      <c r="AA197" s="71">
        <v>0.12765905965843391</v>
      </c>
      <c r="AB197" s="71">
        <v>137</v>
      </c>
      <c r="AC197" s="237">
        <f t="shared" si="24"/>
        <v>132.11428015925046</v>
      </c>
      <c r="AD197" s="237">
        <f t="shared" si="25"/>
        <v>119.98509061127218</v>
      </c>
      <c r="AF197" s="151"/>
      <c r="AG197" s="75"/>
      <c r="AH197" s="75"/>
      <c r="AI197" s="75"/>
      <c r="AJ197" s="75"/>
      <c r="AK197" s="75"/>
      <c r="AL197" s="75"/>
      <c r="AM197" s="75"/>
      <c r="AN197" s="75"/>
      <c r="AO197" s="75"/>
      <c r="AP197" s="75"/>
      <c r="AQ197" s="71"/>
      <c r="AR197" s="75"/>
      <c r="AS197" s="75"/>
      <c r="AT197" s="75"/>
      <c r="AU197" s="71"/>
      <c r="AV197" s="71"/>
      <c r="AW197" s="71"/>
      <c r="AX197" s="71"/>
      <c r="AY197" s="71"/>
      <c r="AZ197" s="71"/>
      <c r="BB197" s="71"/>
      <c r="BD197" s="24"/>
      <c r="BG197" s="24"/>
      <c r="BJ197" s="24"/>
    </row>
    <row r="198" spans="17:62" ht="15" customHeight="1" x14ac:dyDescent="0.2">
      <c r="Q198" s="24">
        <v>138</v>
      </c>
      <c r="R198" s="71">
        <v>-96.162927645877659</v>
      </c>
      <c r="S198" s="71">
        <v>-33.90763930127958</v>
      </c>
      <c r="T198" s="71">
        <v>57.461673736572266</v>
      </c>
      <c r="U198" s="71">
        <v>101.96586024945792</v>
      </c>
      <c r="V198" s="71">
        <v>0.12745732531182241</v>
      </c>
      <c r="W198" s="71">
        <v>1.4089987178456591</v>
      </c>
      <c r="X198" s="71">
        <v>105.12768189630079</v>
      </c>
      <c r="Y198" s="71">
        <v>0.13140960237037599</v>
      </c>
      <c r="Z198" s="71">
        <v>103.53199065213096</v>
      </c>
      <c r="AA198" s="71">
        <v>0.12941498831516371</v>
      </c>
      <c r="AB198" s="71">
        <v>138</v>
      </c>
      <c r="AC198" s="237">
        <f t="shared" si="24"/>
        <v>133.51892971004548</v>
      </c>
      <c r="AD198" s="237">
        <f t="shared" si="25"/>
        <v>121.38986531680989</v>
      </c>
      <c r="AF198" s="151"/>
      <c r="AG198" s="75"/>
      <c r="AH198" s="75"/>
      <c r="AI198" s="75"/>
      <c r="AJ198" s="75"/>
      <c r="AK198" s="75"/>
      <c r="AL198" s="75"/>
      <c r="AM198" s="75"/>
      <c r="AN198" s="75"/>
      <c r="AO198" s="75"/>
      <c r="AP198" s="75"/>
      <c r="AQ198" s="71"/>
      <c r="AR198" s="75"/>
      <c r="AS198" s="75"/>
      <c r="AT198" s="75"/>
      <c r="AU198" s="71"/>
      <c r="AV198" s="71"/>
      <c r="AW198" s="71"/>
      <c r="AX198" s="71"/>
      <c r="AY198" s="71"/>
      <c r="AZ198" s="71"/>
      <c r="BB198" s="71"/>
      <c r="BD198" s="24"/>
      <c r="BG198" s="24"/>
      <c r="BJ198" s="24"/>
    </row>
    <row r="199" spans="17:62" ht="15" customHeight="1" x14ac:dyDescent="0.2">
      <c r="Q199" s="24">
        <v>139</v>
      </c>
      <c r="R199" s="71">
        <v>-97.497734281943835</v>
      </c>
      <c r="S199" s="71">
        <v>-34.371668431627114</v>
      </c>
      <c r="T199" s="71">
        <v>57.326671600341797</v>
      </c>
      <c r="U199" s="71">
        <v>103.37901034971382</v>
      </c>
      <c r="V199" s="71">
        <v>0.12922376293714227</v>
      </c>
      <c r="W199" s="71">
        <v>1.4173236461366003</v>
      </c>
      <c r="X199" s="71">
        <v>106.54083500442989</v>
      </c>
      <c r="Y199" s="71">
        <v>0.13317604375553738</v>
      </c>
      <c r="Z199" s="71">
        <v>104.94506839842813</v>
      </c>
      <c r="AA199" s="71">
        <v>0.13118133549803518</v>
      </c>
      <c r="AB199" s="71">
        <v>139</v>
      </c>
      <c r="AC199" s="237">
        <f t="shared" si="24"/>
        <v>134.93191110083882</v>
      </c>
      <c r="AD199" s="237">
        <f t="shared" si="25"/>
        <v>122.80297579855329</v>
      </c>
      <c r="AF199" s="151"/>
      <c r="AG199" s="75"/>
      <c r="AH199" s="75"/>
      <c r="AI199" s="75"/>
      <c r="AJ199" s="75"/>
      <c r="AK199" s="75"/>
      <c r="AL199" s="75"/>
      <c r="AM199" s="75"/>
      <c r="AN199" s="75"/>
      <c r="AO199" s="75"/>
      <c r="AP199" s="75"/>
      <c r="AQ199" s="71"/>
      <c r="AR199" s="75"/>
      <c r="AS199" s="75"/>
      <c r="AT199" s="75"/>
      <c r="AU199" s="71"/>
      <c r="AV199" s="71"/>
      <c r="AW199" s="71"/>
      <c r="AX199" s="71"/>
      <c r="AY199" s="71"/>
      <c r="AZ199" s="71"/>
      <c r="BB199" s="71"/>
      <c r="BD199" s="24"/>
      <c r="BG199" s="24"/>
      <c r="BJ199" s="24"/>
    </row>
    <row r="200" spans="17:62" ht="15" customHeight="1" x14ac:dyDescent="0.2">
      <c r="Q200" s="24">
        <v>140</v>
      </c>
      <c r="R200" s="71">
        <v>-98.840129160000416</v>
      </c>
      <c r="S200" s="71">
        <v>-34.839171205157385</v>
      </c>
      <c r="T200" s="71">
        <v>57.188106536865234</v>
      </c>
      <c r="U200" s="71">
        <v>104.80047224429779</v>
      </c>
      <c r="V200" s="71">
        <v>0.13100059030537226</v>
      </c>
      <c r="W200" s="71">
        <v>1.4256153315610898</v>
      </c>
      <c r="X200" s="71">
        <v>107.96229943826756</v>
      </c>
      <c r="Y200" s="71">
        <v>0.13495287429783445</v>
      </c>
      <c r="Z200" s="71">
        <v>106.36644751451239</v>
      </c>
      <c r="AA200" s="71">
        <v>0.13295805939314048</v>
      </c>
      <c r="AB200" s="71">
        <v>140</v>
      </c>
      <c r="AC200" s="237">
        <f t="shared" si="24"/>
        <v>136.35319085356389</v>
      </c>
      <c r="AD200" s="237">
        <f t="shared" si="25"/>
        <v>124.22438855727854</v>
      </c>
      <c r="AF200" s="151"/>
      <c r="AG200" s="75"/>
      <c r="AH200" s="75"/>
      <c r="AI200" s="75"/>
      <c r="AJ200" s="75"/>
      <c r="AK200" s="75"/>
      <c r="AL200" s="75"/>
      <c r="AM200" s="75"/>
      <c r="AN200" s="75"/>
      <c r="AO200" s="75"/>
      <c r="AP200" s="75"/>
      <c r="AQ200" s="71"/>
      <c r="AR200" s="75"/>
      <c r="AS200" s="75"/>
      <c r="AT200" s="75"/>
      <c r="AU200" s="71"/>
      <c r="AV200" s="71"/>
      <c r="AW200" s="71"/>
      <c r="AX200" s="71"/>
      <c r="AY200" s="71"/>
      <c r="AZ200" s="71"/>
      <c r="BB200" s="71"/>
      <c r="BD200" s="24"/>
      <c r="BG200" s="24"/>
      <c r="BJ200" s="24"/>
    </row>
    <row r="201" spans="17:62" ht="15" customHeight="1" x14ac:dyDescent="0.2">
      <c r="Q201" s="24">
        <v>141</v>
      </c>
      <c r="R201" s="71">
        <v>-100.1900754815437</v>
      </c>
      <c r="S201" s="71">
        <v>-35.310150600452651</v>
      </c>
      <c r="T201" s="71">
        <v>57.045940399169922</v>
      </c>
      <c r="U201" s="71">
        <v>106.23021208876536</v>
      </c>
      <c r="V201" s="71">
        <v>0.13278776511095669</v>
      </c>
      <c r="W201" s="71">
        <v>1.4338736005484534</v>
      </c>
      <c r="X201" s="71">
        <v>109.39204136734189</v>
      </c>
      <c r="Y201" s="71">
        <v>0.13674005170917736</v>
      </c>
      <c r="Z201" s="71">
        <v>107.79609436871699</v>
      </c>
      <c r="AA201" s="71">
        <v>0.13474511796089625</v>
      </c>
      <c r="AB201" s="71">
        <v>141</v>
      </c>
      <c r="AC201" s="237">
        <f t="shared" si="24"/>
        <v>137.78273530913802</v>
      </c>
      <c r="AD201" s="237">
        <f t="shared" si="25"/>
        <v>125.65406991298603</v>
      </c>
      <c r="AF201" s="151"/>
      <c r="AG201" s="75"/>
      <c r="AH201" s="75"/>
      <c r="AI201" s="75"/>
      <c r="AJ201" s="75"/>
      <c r="AK201" s="75"/>
      <c r="AL201" s="75"/>
      <c r="AM201" s="75"/>
      <c r="AN201" s="75"/>
      <c r="AO201" s="75"/>
      <c r="AP201" s="75"/>
      <c r="AQ201" s="71"/>
      <c r="AR201" s="75"/>
      <c r="AS201" s="75"/>
      <c r="AT201" s="75"/>
      <c r="AU201" s="71"/>
      <c r="AV201" s="71"/>
      <c r="AW201" s="71"/>
      <c r="AX201" s="71"/>
      <c r="AY201" s="71"/>
      <c r="AZ201" s="71"/>
      <c r="BB201" s="71"/>
      <c r="BD201" s="24"/>
      <c r="BG201" s="24"/>
      <c r="BJ201" s="24"/>
    </row>
    <row r="202" spans="17:62" ht="15" customHeight="1" x14ac:dyDescent="0.2">
      <c r="Q202" s="24">
        <v>142</v>
      </c>
      <c r="R202" s="71">
        <v>-101.54753628732523</v>
      </c>
      <c r="S202" s="71">
        <v>-35.784609489206595</v>
      </c>
      <c r="T202" s="71">
        <v>56.900135040283203</v>
      </c>
      <c r="U202" s="71">
        <v>107.66819587195026</v>
      </c>
      <c r="V202" s="71">
        <v>0.13458524483993783</v>
      </c>
      <c r="W202" s="71">
        <v>1.4420982871059802</v>
      </c>
      <c r="X202" s="71">
        <v>110.83002679338759</v>
      </c>
      <c r="Y202" s="71">
        <v>0.13853753349173448</v>
      </c>
      <c r="Z202" s="71">
        <v>109.23397515650309</v>
      </c>
      <c r="AA202" s="71">
        <v>0.13654246894562885</v>
      </c>
      <c r="AB202" s="71">
        <v>142</v>
      </c>
      <c r="AC202" s="237">
        <f t="shared" si="24"/>
        <v>139.22051063504759</v>
      </c>
      <c r="AD202" s="237">
        <f t="shared" si="25"/>
        <v>127.09198601266161</v>
      </c>
      <c r="AF202" s="151"/>
      <c r="AG202" s="75"/>
      <c r="AH202" s="75"/>
      <c r="AI202" s="75"/>
      <c r="AJ202" s="75"/>
      <c r="AK202" s="75"/>
      <c r="AL202" s="75"/>
      <c r="AM202" s="75"/>
      <c r="AN202" s="75"/>
      <c r="AO202" s="75"/>
      <c r="AP202" s="75"/>
      <c r="AQ202" s="71"/>
      <c r="AR202" s="75"/>
      <c r="AS202" s="75"/>
      <c r="AT202" s="75"/>
      <c r="AU202" s="71"/>
      <c r="AV202" s="71"/>
      <c r="AW202" s="71"/>
      <c r="AX202" s="71"/>
      <c r="AY202" s="71"/>
      <c r="AZ202" s="71"/>
      <c r="BB202" s="71"/>
      <c r="BD202" s="24"/>
      <c r="BG202" s="24"/>
      <c r="BJ202" s="24"/>
    </row>
    <row r="203" spans="17:62" ht="15" customHeight="1" x14ac:dyDescent="0.2">
      <c r="Q203" s="24">
        <v>143</v>
      </c>
      <c r="R203" s="71">
        <v>-102.91247445751064</v>
      </c>
      <c r="S203" s="71">
        <v>-36.262550657682738</v>
      </c>
      <c r="T203" s="71">
        <v>56.750652313232422</v>
      </c>
      <c r="U203" s="71">
        <v>109.11438942306732</v>
      </c>
      <c r="V203" s="71">
        <v>0.13639298677883416</v>
      </c>
      <c r="W203" s="71">
        <v>1.45028923218977</v>
      </c>
      <c r="X203" s="71">
        <v>112.27622155750173</v>
      </c>
      <c r="Y203" s="71">
        <v>0.14034527694687715</v>
      </c>
      <c r="Z203" s="71">
        <v>110.68005590748255</v>
      </c>
      <c r="AA203" s="71">
        <v>0.13835006988435319</v>
      </c>
      <c r="AB203" s="71">
        <v>143</v>
      </c>
      <c r="AC203" s="237">
        <f t="shared" si="24"/>
        <v>140.66648283229955</v>
      </c>
      <c r="AD203" s="237">
        <f t="shared" si="25"/>
        <v>128.53810283737914</v>
      </c>
      <c r="AF203" s="151"/>
      <c r="AG203" s="75"/>
      <c r="AH203" s="75"/>
      <c r="AI203" s="75"/>
      <c r="AJ203" s="75"/>
      <c r="AK203" s="75"/>
      <c r="AL203" s="75"/>
      <c r="AM203" s="75"/>
      <c r="AN203" s="75"/>
      <c r="AO203" s="75"/>
      <c r="AP203" s="75"/>
      <c r="AQ203" s="71"/>
      <c r="AR203" s="75"/>
      <c r="AS203" s="75"/>
      <c r="AT203" s="75"/>
      <c r="AU203" s="71"/>
      <c r="AV203" s="71"/>
      <c r="AW203" s="71"/>
      <c r="AX203" s="71"/>
      <c r="AY203" s="71"/>
      <c r="AZ203" s="71"/>
      <c r="BB203" s="71"/>
      <c r="BD203" s="24"/>
      <c r="BG203" s="24"/>
      <c r="BJ203" s="24"/>
    </row>
    <row r="204" spans="17:62" ht="15" customHeight="1" x14ac:dyDescent="0.2">
      <c r="Q204" s="24">
        <v>144</v>
      </c>
      <c r="R204" s="71">
        <v>-104.28485271181651</v>
      </c>
      <c r="S204" s="71">
        <v>-36.743976826158239</v>
      </c>
      <c r="T204" s="71">
        <v>56.597457885742187</v>
      </c>
      <c r="U204" s="71">
        <v>110.56875841812875</v>
      </c>
      <c r="V204" s="71">
        <v>0.13821094802266093</v>
      </c>
      <c r="W204" s="71">
        <v>1.4584462830722007</v>
      </c>
      <c r="X204" s="71">
        <v>113.73059134661058</v>
      </c>
      <c r="Y204" s="71">
        <v>0.14216323918326323</v>
      </c>
      <c r="Z204" s="71">
        <v>112.13430249179538</v>
      </c>
      <c r="AA204" s="71">
        <v>0.14016787811474424</v>
      </c>
      <c r="AB204" s="71">
        <v>144</v>
      </c>
      <c r="AC204" s="237">
        <f t="shared" si="24"/>
        <v>142.12061774173793</v>
      </c>
      <c r="AD204" s="237">
        <f t="shared" si="25"/>
        <v>129.99238620874598</v>
      </c>
      <c r="AF204" s="151"/>
      <c r="AG204" s="75"/>
      <c r="AH204" s="75"/>
      <c r="AI204" s="75"/>
      <c r="AJ204" s="75"/>
      <c r="AK204" s="75"/>
      <c r="AL204" s="75"/>
      <c r="AM204" s="75"/>
      <c r="AN204" s="75"/>
      <c r="AO204" s="75"/>
      <c r="AP204" s="75"/>
      <c r="AQ204" s="71"/>
      <c r="AR204" s="75"/>
      <c r="AS204" s="75"/>
      <c r="AT204" s="75"/>
      <c r="AU204" s="71"/>
      <c r="AV204" s="71"/>
      <c r="AW204" s="71"/>
      <c r="AX204" s="71"/>
      <c r="AY204" s="71"/>
      <c r="AZ204" s="71"/>
      <c r="BB204" s="71"/>
      <c r="BD204" s="24"/>
      <c r="BG204" s="24"/>
      <c r="BJ204" s="24"/>
    </row>
    <row r="205" spans="17:62" ht="15" customHeight="1" x14ac:dyDescent="0.2">
      <c r="Q205" s="24">
        <v>145</v>
      </c>
      <c r="R205" s="71">
        <v>-105.66463360958237</v>
      </c>
      <c r="S205" s="71">
        <v>-37.228890666480503</v>
      </c>
      <c r="T205" s="71">
        <v>56.440513610839844</v>
      </c>
      <c r="U205" s="71">
        <v>112.03126838567901</v>
      </c>
      <c r="V205" s="71">
        <v>0.14003908548209876</v>
      </c>
      <c r="W205" s="71">
        <v>1.4665692927050851</v>
      </c>
      <c r="X205" s="71">
        <v>115.19310169925323</v>
      </c>
      <c r="Y205" s="71">
        <v>0.14399137712406654</v>
      </c>
      <c r="Z205" s="71">
        <v>113.5966806258414</v>
      </c>
      <c r="AA205" s="71">
        <v>0.14199585078230176</v>
      </c>
      <c r="AB205" s="71">
        <v>145</v>
      </c>
      <c r="AC205" s="237">
        <f t="shared" si="24"/>
        <v>143.58288104972351</v>
      </c>
      <c r="AD205" s="237">
        <f t="shared" si="25"/>
        <v>131.45480179469172</v>
      </c>
      <c r="AF205" s="151"/>
      <c r="AG205" s="75"/>
      <c r="AH205" s="75"/>
      <c r="AI205" s="75"/>
      <c r="AJ205" s="75"/>
      <c r="AK205" s="75"/>
      <c r="AL205" s="75"/>
      <c r="AM205" s="75"/>
      <c r="AN205" s="75"/>
      <c r="AO205" s="75"/>
      <c r="AP205" s="75"/>
      <c r="AQ205" s="71"/>
      <c r="AR205" s="75"/>
      <c r="AS205" s="75"/>
      <c r="AT205" s="75"/>
      <c r="AU205" s="71"/>
      <c r="AV205" s="71"/>
      <c r="AW205" s="71"/>
      <c r="AX205" s="71"/>
      <c r="AY205" s="71"/>
      <c r="AZ205" s="71"/>
      <c r="BB205" s="71"/>
      <c r="BD205" s="24"/>
      <c r="BG205" s="24"/>
      <c r="BJ205" s="24"/>
    </row>
    <row r="206" spans="17:62" ht="15" customHeight="1" x14ac:dyDescent="0.2">
      <c r="Q206" s="24">
        <v>146</v>
      </c>
      <c r="R206" s="71">
        <v>-107.05177954973409</v>
      </c>
      <c r="S206" s="71">
        <v>-37.717294817860122</v>
      </c>
      <c r="T206" s="71">
        <v>56.279777526855469</v>
      </c>
      <c r="U206" s="71">
        <v>113.50188471185069</v>
      </c>
      <c r="V206" s="71">
        <v>0.14187735588981337</v>
      </c>
      <c r="W206" s="71">
        <v>1.4746581190774757</v>
      </c>
      <c r="X206" s="71">
        <v>116.66371801068389</v>
      </c>
      <c r="Y206" s="71">
        <v>0.14582964751335487</v>
      </c>
      <c r="Z206" s="71">
        <v>115.06715587736346</v>
      </c>
      <c r="AA206" s="71">
        <v>0.14383394484670434</v>
      </c>
      <c r="AB206" s="71">
        <v>146</v>
      </c>
      <c r="AC206" s="237">
        <f t="shared" si="24"/>
        <v>145.05323829317356</v>
      </c>
      <c r="AD206" s="237">
        <f t="shared" si="25"/>
        <v>132.92531511459899</v>
      </c>
      <c r="AF206" s="151"/>
      <c r="AG206" s="75"/>
      <c r="AH206" s="75"/>
      <c r="AI206" s="75"/>
      <c r="AJ206" s="75"/>
      <c r="AK206" s="75"/>
      <c r="AL206" s="75"/>
      <c r="AM206" s="75"/>
      <c r="AN206" s="75"/>
      <c r="AO206" s="75"/>
      <c r="AP206" s="75"/>
      <c r="AQ206" s="71"/>
      <c r="AR206" s="75"/>
      <c r="AS206" s="75"/>
      <c r="AT206" s="75"/>
      <c r="AU206" s="71"/>
      <c r="AV206" s="71"/>
      <c r="AW206" s="71"/>
      <c r="AX206" s="71"/>
      <c r="AY206" s="71"/>
      <c r="AZ206" s="71"/>
      <c r="BB206" s="71"/>
      <c r="BD206" s="24"/>
      <c r="BG206" s="24"/>
      <c r="BJ206" s="24"/>
    </row>
    <row r="207" spans="17:62" ht="15" customHeight="1" x14ac:dyDescent="0.2">
      <c r="Q207" s="24">
        <v>147</v>
      </c>
      <c r="R207" s="71">
        <v>-108.4462527705961</v>
      </c>
      <c r="S207" s="71">
        <v>-38.209191901019025</v>
      </c>
      <c r="T207" s="71">
        <v>56.115215301513672</v>
      </c>
      <c r="U207" s="71">
        <v>114.98057264474257</v>
      </c>
      <c r="V207" s="71">
        <v>0.14372571580592822</v>
      </c>
      <c r="W207" s="71">
        <v>1.4827126245669657</v>
      </c>
      <c r="X207" s="71">
        <v>118.14240553729442</v>
      </c>
      <c r="Y207" s="71">
        <v>0.14767800692161803</v>
      </c>
      <c r="Z207" s="71">
        <v>116.54569366987897</v>
      </c>
      <c r="AA207" s="71">
        <v>0.14568211708734871</v>
      </c>
      <c r="AB207" s="71">
        <v>147</v>
      </c>
      <c r="AC207" s="237">
        <f t="shared" si="24"/>
        <v>146.53165486395642</v>
      </c>
      <c r="AD207" s="237">
        <f t="shared" si="25"/>
        <v>134.40389154377405</v>
      </c>
      <c r="AF207" s="151"/>
      <c r="AG207" s="75"/>
      <c r="AH207" s="75"/>
      <c r="AI207" s="75"/>
      <c r="AJ207" s="75"/>
      <c r="AK207" s="75"/>
      <c r="AL207" s="75"/>
      <c r="AM207" s="75"/>
      <c r="AN207" s="75"/>
      <c r="AO207" s="75"/>
      <c r="AP207" s="75"/>
      <c r="AQ207" s="71"/>
      <c r="AR207" s="75"/>
      <c r="AS207" s="75"/>
      <c r="AT207" s="75"/>
      <c r="AU207" s="71"/>
      <c r="AV207" s="71"/>
      <c r="AW207" s="71"/>
      <c r="AX207" s="71"/>
      <c r="AY207" s="71"/>
      <c r="AZ207" s="71"/>
      <c r="BB207" s="71"/>
      <c r="BD207" s="24"/>
      <c r="BG207" s="24"/>
      <c r="BJ207" s="24"/>
    </row>
    <row r="208" spans="17:62" ht="15" customHeight="1" x14ac:dyDescent="0.2">
      <c r="Q208" s="24">
        <v>148</v>
      </c>
      <c r="R208" s="71">
        <v>-109.8480153495082</v>
      </c>
      <c r="S208" s="71">
        <v>-38.704584530808816</v>
      </c>
      <c r="T208" s="71">
        <v>55.946792602539063</v>
      </c>
      <c r="U208" s="71">
        <v>116.46729729811848</v>
      </c>
      <c r="V208" s="71">
        <v>0.14558412162264811</v>
      </c>
      <c r="W208" s="71">
        <v>1.4907326752832037</v>
      </c>
      <c r="X208" s="71">
        <v>119.62912940035541</v>
      </c>
      <c r="Y208" s="71">
        <v>0.14953641175044427</v>
      </c>
      <c r="Z208" s="71">
        <v>118.03225928645411</v>
      </c>
      <c r="AA208" s="71">
        <v>0.14754032410806764</v>
      </c>
      <c r="AB208" s="71">
        <v>148</v>
      </c>
      <c r="AC208" s="237">
        <f t="shared" si="24"/>
        <v>148.01809601263525</v>
      </c>
      <c r="AD208" s="237">
        <f t="shared" si="25"/>
        <v>135.89049631725217</v>
      </c>
      <c r="AF208" s="151"/>
      <c r="AG208" s="75"/>
      <c r="AH208" s="75"/>
      <c r="AI208" s="75"/>
      <c r="AJ208" s="75"/>
      <c r="AK208" s="75"/>
      <c r="AL208" s="75"/>
      <c r="AM208" s="75"/>
      <c r="AN208" s="75"/>
      <c r="AO208" s="75"/>
      <c r="AP208" s="75"/>
      <c r="AQ208" s="71"/>
      <c r="AR208" s="75"/>
      <c r="AS208" s="75"/>
      <c r="AT208" s="75"/>
      <c r="AU208" s="71"/>
      <c r="AV208" s="71"/>
      <c r="AW208" s="71"/>
      <c r="AX208" s="71"/>
      <c r="AY208" s="71"/>
      <c r="AZ208" s="71"/>
      <c r="BB208" s="71"/>
      <c r="BD208" s="24"/>
      <c r="BG208" s="24"/>
      <c r="BJ208" s="24"/>
    </row>
    <row r="209" spans="17:62" ht="15" customHeight="1" x14ac:dyDescent="0.2">
      <c r="Q209" s="24">
        <v>149</v>
      </c>
      <c r="R209" s="71">
        <v>-111.25702920220392</v>
      </c>
      <c r="S209" s="71">
        <v>-39.203475327409521</v>
      </c>
      <c r="T209" s="71">
        <v>55.774467468261719</v>
      </c>
      <c r="U209" s="71">
        <v>117.9620236544239</v>
      </c>
      <c r="V209" s="71">
        <v>0.14745252956802987</v>
      </c>
      <c r="W209" s="71">
        <v>1.4987181404022407</v>
      </c>
      <c r="X209" s="71">
        <v>121.12385458907302</v>
      </c>
      <c r="Y209" s="71">
        <v>0.15140481823634128</v>
      </c>
      <c r="Z209" s="71">
        <v>119.52681787281405</v>
      </c>
      <c r="AA209" s="71">
        <v>0.14940852234101756</v>
      </c>
      <c r="AB209" s="71">
        <v>149</v>
      </c>
      <c r="AC209" s="237">
        <f t="shared" si="24"/>
        <v>149.51252685155316</v>
      </c>
      <c r="AD209" s="237">
        <f t="shared" si="25"/>
        <v>137.38509453293241</v>
      </c>
      <c r="AF209" s="151"/>
      <c r="AG209" s="75"/>
      <c r="AH209" s="75"/>
      <c r="AI209" s="75"/>
      <c r="AJ209" s="75"/>
      <c r="AK209" s="75"/>
      <c r="AL209" s="75"/>
      <c r="AM209" s="75"/>
      <c r="AN209" s="75"/>
      <c r="AO209" s="75"/>
      <c r="AP209" s="75"/>
      <c r="AQ209" s="71"/>
      <c r="AR209" s="75"/>
      <c r="AS209" s="75"/>
      <c r="AT209" s="75"/>
      <c r="AU209" s="71"/>
      <c r="AV209" s="71"/>
      <c r="AW209" s="71"/>
      <c r="AX209" s="71"/>
      <c r="AY209" s="71"/>
      <c r="AZ209" s="71"/>
      <c r="BB209" s="71"/>
      <c r="BD209" s="24"/>
      <c r="BG209" s="24"/>
      <c r="BJ209" s="24"/>
    </row>
    <row r="210" spans="17:62" ht="15" customHeight="1" x14ac:dyDescent="0.2">
      <c r="Q210" s="24">
        <v>150</v>
      </c>
      <c r="R210" s="71">
        <v>-112.67325608190583</v>
      </c>
      <c r="S210" s="71">
        <v>-39.705866926214583</v>
      </c>
      <c r="T210" s="71">
        <v>55.598201751708984</v>
      </c>
      <c r="U210" s="71">
        <v>119.46471656711445</v>
      </c>
      <c r="V210" s="71">
        <v>0.14933089570889307</v>
      </c>
      <c r="W210" s="71">
        <v>1.5066688914901845</v>
      </c>
      <c r="X210" s="71">
        <v>122.62654596295557</v>
      </c>
      <c r="Y210" s="71">
        <v>0.15328318245369446</v>
      </c>
      <c r="Z210" s="71">
        <v>121.02933443978027</v>
      </c>
      <c r="AA210" s="71">
        <v>0.15128666804972535</v>
      </c>
      <c r="AB210" s="71">
        <v>150</v>
      </c>
      <c r="AC210" s="237">
        <f t="shared" si="24"/>
        <v>151.01491235724984</v>
      </c>
      <c r="AD210" s="237">
        <f t="shared" si="25"/>
        <v>138.88765115403328</v>
      </c>
      <c r="AF210" s="151"/>
      <c r="AG210" s="75"/>
      <c r="AH210" s="75"/>
      <c r="AI210" s="75"/>
      <c r="AJ210" s="75"/>
      <c r="AK210" s="75"/>
      <c r="AL210" s="75"/>
      <c r="AM210" s="75"/>
      <c r="AN210" s="75"/>
      <c r="AO210" s="75"/>
      <c r="AP210" s="75"/>
      <c r="AQ210" s="71"/>
      <c r="AR210" s="75"/>
      <c r="AS210" s="75"/>
      <c r="AT210" s="75"/>
      <c r="AU210" s="71"/>
      <c r="AV210" s="71"/>
      <c r="AW210" s="71"/>
      <c r="AX210" s="71"/>
      <c r="AY210" s="71"/>
      <c r="AZ210" s="71"/>
      <c r="BB210" s="71"/>
      <c r="BD210" s="24"/>
      <c r="BG210" s="24"/>
      <c r="BJ210" s="24"/>
    </row>
    <row r="211" spans="17:62" ht="15" customHeight="1" x14ac:dyDescent="0.2">
      <c r="AC211" s="237" t="str">
        <f t="shared" si="24"/>
        <v/>
      </c>
      <c r="AD211" s="237" t="str">
        <f t="shared" si="25"/>
        <v/>
      </c>
      <c r="AF211" s="151"/>
      <c r="AG211" s="75"/>
      <c r="AH211" s="75"/>
      <c r="AI211" s="75"/>
      <c r="AJ211" s="75"/>
      <c r="AK211" s="75"/>
      <c r="AL211" s="75"/>
      <c r="AM211" s="75"/>
      <c r="AN211" s="75"/>
      <c r="AO211" s="75"/>
      <c r="AP211" s="75"/>
      <c r="AQ211" s="71"/>
      <c r="AR211" s="75"/>
      <c r="AS211" s="75"/>
      <c r="AT211" s="75"/>
      <c r="AU211" s="71"/>
      <c r="AV211" s="71"/>
      <c r="AW211" s="71"/>
      <c r="AX211" s="71"/>
      <c r="AY211" s="71"/>
      <c r="AZ211" s="71"/>
      <c r="BB211" s="71"/>
      <c r="BD211" s="24"/>
      <c r="BG211" s="24"/>
      <c r="BJ211" s="24"/>
    </row>
    <row r="212" spans="17:62" ht="15" customHeight="1" x14ac:dyDescent="0.2">
      <c r="AC212" s="237" t="str">
        <f t="shared" si="24"/>
        <v/>
      </c>
      <c r="AD212" s="237" t="str">
        <f t="shared" si="25"/>
        <v/>
      </c>
      <c r="AF212" s="151"/>
      <c r="AG212" s="75"/>
      <c r="AH212" s="75"/>
      <c r="AI212" s="75"/>
      <c r="AJ212" s="75"/>
      <c r="AK212" s="75"/>
      <c r="AL212" s="75"/>
      <c r="AM212" s="75"/>
      <c r="AN212" s="75"/>
      <c r="AO212" s="75"/>
      <c r="AP212" s="75"/>
      <c r="AQ212" s="71"/>
      <c r="AR212" s="75"/>
      <c r="AS212" s="75"/>
      <c r="AT212" s="75"/>
      <c r="AU212" s="71"/>
      <c r="AV212" s="71"/>
      <c r="AW212" s="71"/>
      <c r="AX212" s="71"/>
      <c r="AY212" s="71"/>
      <c r="AZ212" s="71"/>
      <c r="BB212" s="71"/>
      <c r="BD212" s="24"/>
      <c r="BG212" s="24"/>
      <c r="BJ212" s="24"/>
    </row>
    <row r="213" spans="17:62" ht="15" customHeight="1" x14ac:dyDescent="0.2">
      <c r="AC213" s="237" t="str">
        <f t="shared" si="24"/>
        <v/>
      </c>
      <c r="AD213" s="237" t="str">
        <f t="shared" si="25"/>
        <v/>
      </c>
      <c r="AF213" s="151"/>
      <c r="AG213" s="75"/>
      <c r="AH213" s="75"/>
      <c r="AI213" s="75"/>
      <c r="AJ213" s="75"/>
      <c r="AK213" s="75"/>
      <c r="AL213" s="75"/>
      <c r="AM213" s="75"/>
      <c r="AN213" s="75"/>
      <c r="AO213" s="75"/>
      <c r="AP213" s="75"/>
      <c r="AQ213" s="71"/>
      <c r="AR213" s="75"/>
      <c r="AS213" s="75"/>
      <c r="AT213" s="75"/>
      <c r="AU213" s="71"/>
      <c r="AV213" s="71"/>
      <c r="AW213" s="71"/>
      <c r="AX213" s="71"/>
      <c r="AY213" s="71"/>
      <c r="AZ213" s="71"/>
      <c r="BB213" s="71"/>
      <c r="BD213" s="24"/>
      <c r="BG213" s="24"/>
      <c r="BJ213" s="24"/>
    </row>
    <row r="214" spans="17:62" ht="15" customHeight="1" x14ac:dyDescent="0.2">
      <c r="AC214" s="237" t="str">
        <f t="shared" si="24"/>
        <v/>
      </c>
      <c r="AD214" s="237" t="str">
        <f t="shared" si="25"/>
        <v/>
      </c>
      <c r="AF214" s="151"/>
      <c r="AG214" s="75"/>
      <c r="AH214" s="75"/>
      <c r="AI214" s="75"/>
      <c r="AJ214" s="75"/>
      <c r="AK214" s="75"/>
      <c r="AL214" s="75"/>
      <c r="AM214" s="75"/>
      <c r="AN214" s="75"/>
      <c r="AO214" s="75"/>
      <c r="AP214" s="75"/>
      <c r="AQ214" s="71"/>
      <c r="AR214" s="75"/>
      <c r="AS214" s="75"/>
      <c r="AT214" s="75"/>
      <c r="AU214" s="71"/>
      <c r="AV214" s="71"/>
      <c r="AW214" s="71"/>
      <c r="AX214" s="71"/>
      <c r="AY214" s="71"/>
      <c r="AZ214" s="71"/>
      <c r="BB214" s="71"/>
      <c r="BD214" s="24"/>
      <c r="BG214" s="24"/>
      <c r="BJ214" s="24"/>
    </row>
    <row r="215" spans="17:62" ht="15" customHeight="1" x14ac:dyDescent="0.2">
      <c r="AC215" s="237" t="str">
        <f t="shared" si="24"/>
        <v/>
      </c>
      <c r="AD215" s="237" t="str">
        <f t="shared" si="25"/>
        <v/>
      </c>
      <c r="AF215" s="151"/>
      <c r="AG215" s="75"/>
      <c r="AH215" s="75"/>
      <c r="AI215" s="75"/>
      <c r="AJ215" s="75"/>
      <c r="AK215" s="75"/>
      <c r="AL215" s="75"/>
      <c r="AM215" s="75"/>
      <c r="AN215" s="75"/>
      <c r="AO215" s="75"/>
      <c r="AP215" s="75"/>
      <c r="AQ215" s="71"/>
      <c r="AR215" s="75"/>
      <c r="AS215" s="75"/>
      <c r="AT215" s="75"/>
      <c r="AU215" s="71"/>
      <c r="AV215" s="71"/>
      <c r="AW215" s="71"/>
      <c r="AX215" s="71"/>
      <c r="AY215" s="71"/>
      <c r="AZ215" s="71"/>
      <c r="BB215" s="71"/>
      <c r="BD215" s="24"/>
      <c r="BG215" s="24"/>
      <c r="BJ215" s="24"/>
    </row>
    <row r="216" spans="17:62" ht="15" customHeight="1" x14ac:dyDescent="0.2">
      <c r="AC216" s="237" t="str">
        <f t="shared" si="24"/>
        <v/>
      </c>
      <c r="AD216" s="237" t="str">
        <f t="shared" si="25"/>
        <v/>
      </c>
      <c r="AF216" s="151"/>
      <c r="AG216" s="75"/>
      <c r="AH216" s="75"/>
      <c r="AI216" s="75"/>
      <c r="AJ216" s="75"/>
      <c r="AK216" s="75"/>
      <c r="AL216" s="75"/>
      <c r="AM216" s="75"/>
      <c r="AN216" s="75"/>
      <c r="AO216" s="75"/>
      <c r="AP216" s="75"/>
      <c r="AQ216" s="71"/>
      <c r="AR216" s="75"/>
      <c r="AS216" s="75"/>
      <c r="AT216" s="75"/>
      <c r="AU216" s="71"/>
      <c r="AV216" s="71"/>
      <c r="AW216" s="71"/>
      <c r="AX216" s="71"/>
      <c r="AY216" s="71"/>
      <c r="AZ216" s="71"/>
      <c r="BB216" s="71"/>
      <c r="BD216" s="24"/>
      <c r="BG216" s="24"/>
      <c r="BJ216" s="24"/>
    </row>
    <row r="217" spans="17:62" ht="15" customHeight="1" x14ac:dyDescent="0.2">
      <c r="AC217" s="237" t="str">
        <f t="shared" si="24"/>
        <v/>
      </c>
      <c r="AD217" s="237" t="str">
        <f t="shared" si="25"/>
        <v/>
      </c>
      <c r="AF217" s="151"/>
      <c r="AG217" s="75"/>
      <c r="AH217" s="75"/>
      <c r="AI217" s="75"/>
      <c r="AJ217" s="75"/>
      <c r="AK217" s="75"/>
      <c r="AL217" s="75"/>
      <c r="AM217" s="75"/>
      <c r="AN217" s="75"/>
      <c r="AO217" s="75"/>
      <c r="AP217" s="75"/>
      <c r="AQ217" s="71"/>
      <c r="AR217" s="75"/>
      <c r="AS217" s="75"/>
      <c r="AT217" s="75"/>
      <c r="AU217" s="71"/>
      <c r="AV217" s="71"/>
      <c r="AW217" s="71"/>
      <c r="AX217" s="71"/>
      <c r="AY217" s="71"/>
      <c r="AZ217" s="71"/>
      <c r="BB217" s="71"/>
      <c r="BD217" s="24"/>
      <c r="BG217" s="24"/>
      <c r="BJ217" s="24"/>
    </row>
    <row r="218" spans="17:62" ht="15" customHeight="1" x14ac:dyDescent="0.2">
      <c r="AC218" s="237" t="str">
        <f t="shared" si="24"/>
        <v/>
      </c>
      <c r="AD218" s="237" t="str">
        <f t="shared" si="25"/>
        <v/>
      </c>
      <c r="AF218" s="151"/>
      <c r="AG218" s="75"/>
      <c r="AH218" s="75"/>
      <c r="AI218" s="75"/>
      <c r="AJ218" s="75"/>
      <c r="AK218" s="75"/>
      <c r="AL218" s="75"/>
      <c r="AM218" s="75"/>
      <c r="AN218" s="75"/>
      <c r="AO218" s="75"/>
      <c r="AP218" s="75"/>
      <c r="AQ218" s="71"/>
      <c r="AR218" s="75"/>
      <c r="AS218" s="75"/>
      <c r="AT218" s="75"/>
      <c r="AU218" s="71"/>
      <c r="AV218" s="71"/>
      <c r="AW218" s="71"/>
      <c r="AX218" s="71"/>
      <c r="AY218" s="71"/>
      <c r="AZ218" s="71"/>
      <c r="BB218" s="71"/>
      <c r="BD218" s="24"/>
      <c r="BG218" s="24"/>
      <c r="BJ218" s="24"/>
    </row>
    <row r="219" spans="17:62" ht="15" customHeight="1" x14ac:dyDescent="0.2">
      <c r="AC219" s="237" t="str">
        <f t="shared" si="24"/>
        <v/>
      </c>
      <c r="AD219" s="237" t="str">
        <f t="shared" si="25"/>
        <v/>
      </c>
      <c r="AF219" s="151"/>
      <c r="AG219" s="75"/>
      <c r="AH219" s="75"/>
      <c r="AI219" s="75"/>
      <c r="AJ219" s="75"/>
      <c r="AK219" s="75"/>
      <c r="AL219" s="75"/>
      <c r="AM219" s="75"/>
      <c r="AN219" s="75"/>
      <c r="AO219" s="75"/>
      <c r="AP219" s="75"/>
      <c r="AQ219" s="71"/>
      <c r="AR219" s="75"/>
      <c r="AS219" s="75"/>
      <c r="AT219" s="75"/>
      <c r="AU219" s="71"/>
      <c r="AV219" s="71"/>
      <c r="AW219" s="71"/>
      <c r="AX219" s="71"/>
      <c r="AY219" s="71"/>
      <c r="AZ219" s="71"/>
      <c r="BB219" s="71"/>
      <c r="BD219" s="24"/>
      <c r="BG219" s="24"/>
      <c r="BJ219" s="24"/>
    </row>
    <row r="220" spans="17:62" ht="15" customHeight="1" x14ac:dyDescent="0.2">
      <c r="AC220" s="237" t="str">
        <f t="shared" si="24"/>
        <v/>
      </c>
      <c r="AD220" s="237" t="str">
        <f t="shared" si="25"/>
        <v/>
      </c>
      <c r="AF220" s="151"/>
      <c r="AG220" s="75"/>
      <c r="AH220" s="75"/>
      <c r="AI220" s="75"/>
      <c r="AJ220" s="75"/>
      <c r="AK220" s="75"/>
      <c r="AL220" s="75"/>
      <c r="AM220" s="75"/>
      <c r="AN220" s="75"/>
      <c r="AO220" s="75"/>
      <c r="AP220" s="75"/>
      <c r="AQ220" s="71"/>
      <c r="AR220" s="75"/>
      <c r="AS220" s="75"/>
      <c r="AT220" s="75"/>
      <c r="AU220" s="71"/>
      <c r="AV220" s="71"/>
      <c r="AW220" s="71"/>
      <c r="AX220" s="71"/>
      <c r="AY220" s="71"/>
      <c r="AZ220" s="71"/>
      <c r="BB220" s="71"/>
      <c r="BD220" s="24"/>
      <c r="BG220" s="24"/>
      <c r="BJ220" s="24"/>
    </row>
    <row r="221" spans="17:62" ht="15" customHeight="1" x14ac:dyDescent="0.2">
      <c r="AC221" s="237" t="str">
        <f t="shared" si="24"/>
        <v/>
      </c>
      <c r="AD221" s="237" t="str">
        <f t="shared" si="25"/>
        <v/>
      </c>
      <c r="AF221" s="151"/>
      <c r="AG221" s="75"/>
      <c r="AH221" s="75"/>
      <c r="AI221" s="75"/>
      <c r="AJ221" s="75"/>
      <c r="AK221" s="75"/>
      <c r="AL221" s="75"/>
      <c r="AM221" s="75"/>
      <c r="AN221" s="75"/>
      <c r="AO221" s="75"/>
      <c r="AP221" s="75"/>
      <c r="AQ221" s="71"/>
      <c r="AR221" s="75"/>
      <c r="AS221" s="75"/>
      <c r="AT221" s="75"/>
      <c r="AU221" s="71"/>
      <c r="AV221" s="71"/>
      <c r="AW221" s="71"/>
      <c r="AX221" s="71"/>
      <c r="AY221" s="71"/>
      <c r="AZ221" s="71"/>
      <c r="BB221" s="71"/>
      <c r="BD221" s="24"/>
      <c r="BG221" s="24"/>
      <c r="BJ221" s="24"/>
    </row>
    <row r="222" spans="17:62" ht="15" customHeight="1" x14ac:dyDescent="0.2">
      <c r="AC222" s="237" t="str">
        <f t="shared" si="24"/>
        <v/>
      </c>
      <c r="AD222" s="237" t="str">
        <f t="shared" si="25"/>
        <v/>
      </c>
      <c r="AF222" s="151"/>
      <c r="AG222" s="75"/>
      <c r="AH222" s="75"/>
      <c r="AI222" s="75"/>
      <c r="AJ222" s="75"/>
      <c r="AK222" s="75"/>
      <c r="AL222" s="75"/>
      <c r="AM222" s="75"/>
      <c r="AN222" s="75"/>
      <c r="AO222" s="75"/>
      <c r="AP222" s="75"/>
      <c r="AQ222" s="71"/>
      <c r="AR222" s="75"/>
      <c r="AS222" s="75"/>
      <c r="AT222" s="75"/>
      <c r="AU222" s="71"/>
      <c r="AV222" s="71"/>
      <c r="AW222" s="71"/>
      <c r="AX222" s="71"/>
      <c r="AY222" s="71"/>
      <c r="AZ222" s="71"/>
      <c r="BB222" s="71"/>
      <c r="BD222" s="24"/>
      <c r="BG222" s="24"/>
      <c r="BJ222" s="24"/>
    </row>
    <row r="223" spans="17:62" ht="15" customHeight="1" x14ac:dyDescent="0.2">
      <c r="AC223" s="237" t="str">
        <f t="shared" si="24"/>
        <v/>
      </c>
      <c r="AD223" s="237" t="str">
        <f t="shared" si="25"/>
        <v/>
      </c>
      <c r="AF223" s="151"/>
      <c r="AG223" s="75"/>
      <c r="AH223" s="75"/>
      <c r="AI223" s="75"/>
      <c r="AJ223" s="75"/>
      <c r="AK223" s="75"/>
      <c r="AL223" s="75"/>
      <c r="AM223" s="75"/>
      <c r="AN223" s="75"/>
      <c r="AO223" s="75"/>
      <c r="AP223" s="75"/>
      <c r="AQ223" s="71"/>
      <c r="AR223" s="75"/>
      <c r="AS223" s="75"/>
      <c r="AT223" s="75"/>
      <c r="AU223" s="71"/>
      <c r="AV223" s="71"/>
      <c r="AW223" s="71"/>
      <c r="AX223" s="71"/>
      <c r="AY223" s="71"/>
      <c r="AZ223" s="71"/>
      <c r="BB223" s="71"/>
      <c r="BD223" s="24"/>
      <c r="BG223" s="24"/>
      <c r="BJ223" s="24"/>
    </row>
    <row r="224" spans="17:62" ht="15" customHeight="1" x14ac:dyDescent="0.2">
      <c r="AC224" s="237" t="str">
        <f t="shared" si="24"/>
        <v/>
      </c>
      <c r="AD224" s="237" t="str">
        <f t="shared" si="25"/>
        <v/>
      </c>
      <c r="AF224" s="151"/>
      <c r="AG224" s="75"/>
      <c r="AH224" s="75"/>
      <c r="AI224" s="75"/>
      <c r="AJ224" s="75"/>
      <c r="AK224" s="75"/>
      <c r="AL224" s="75"/>
      <c r="AM224" s="75"/>
      <c r="AN224" s="75"/>
      <c r="AO224" s="75"/>
      <c r="AP224" s="75"/>
      <c r="AQ224" s="71"/>
      <c r="AR224" s="75"/>
      <c r="AS224" s="75"/>
      <c r="AT224" s="75"/>
      <c r="AU224" s="71"/>
      <c r="AV224" s="71"/>
      <c r="AW224" s="71"/>
      <c r="AX224" s="71"/>
      <c r="AY224" s="71"/>
      <c r="AZ224" s="71"/>
      <c r="BB224" s="71"/>
      <c r="BD224" s="24"/>
      <c r="BG224" s="24"/>
      <c r="BJ224" s="24"/>
    </row>
    <row r="225" spans="29:62" ht="15" customHeight="1" x14ac:dyDescent="0.2">
      <c r="AC225" s="237" t="str">
        <f t="shared" si="24"/>
        <v/>
      </c>
      <c r="AD225" s="237" t="str">
        <f t="shared" si="25"/>
        <v/>
      </c>
      <c r="AF225" s="151"/>
      <c r="AG225" s="75"/>
      <c r="AH225" s="75"/>
      <c r="AI225" s="75"/>
      <c r="AJ225" s="75"/>
      <c r="AK225" s="75"/>
      <c r="AL225" s="75"/>
      <c r="AM225" s="75"/>
      <c r="AN225" s="75"/>
      <c r="AO225" s="75"/>
      <c r="AP225" s="75"/>
      <c r="AQ225" s="71"/>
      <c r="AR225" s="75"/>
      <c r="AS225" s="75"/>
      <c r="AT225" s="75"/>
      <c r="AU225" s="71"/>
      <c r="AV225" s="71"/>
      <c r="AW225" s="71"/>
      <c r="AX225" s="71"/>
      <c r="AY225" s="71"/>
      <c r="AZ225" s="71"/>
      <c r="BB225" s="71"/>
      <c r="BD225" s="24"/>
      <c r="BG225" s="24"/>
      <c r="BJ225" s="24"/>
    </row>
    <row r="226" spans="29:62" ht="15" customHeight="1" x14ac:dyDescent="0.2">
      <c r="AC226" s="237" t="str">
        <f t="shared" si="24"/>
        <v/>
      </c>
      <c r="AD226" s="237" t="str">
        <f t="shared" si="25"/>
        <v/>
      </c>
      <c r="AF226" s="151"/>
      <c r="AG226" s="75"/>
      <c r="AH226" s="75"/>
      <c r="AI226" s="75"/>
      <c r="AJ226" s="75"/>
      <c r="AK226" s="75"/>
      <c r="AL226" s="75"/>
      <c r="AM226" s="75"/>
      <c r="AN226" s="75"/>
      <c r="AO226" s="75"/>
      <c r="AP226" s="75"/>
      <c r="AQ226" s="71"/>
      <c r="AR226" s="75"/>
      <c r="AS226" s="75"/>
      <c r="AT226" s="75"/>
      <c r="AU226" s="71"/>
      <c r="AV226" s="71"/>
      <c r="AW226" s="71"/>
      <c r="AX226" s="71"/>
      <c r="AY226" s="71"/>
      <c r="AZ226" s="71"/>
      <c r="BB226" s="71"/>
      <c r="BD226" s="24"/>
      <c r="BG226" s="24"/>
      <c r="BJ226" s="24"/>
    </row>
    <row r="227" spans="29:62" ht="15" customHeight="1" x14ac:dyDescent="0.2">
      <c r="AC227" s="237" t="str">
        <f t="shared" si="24"/>
        <v/>
      </c>
      <c r="AD227" s="237" t="str">
        <f t="shared" si="25"/>
        <v/>
      </c>
      <c r="AF227" s="151"/>
      <c r="AG227" s="75"/>
      <c r="AH227" s="75"/>
      <c r="AI227" s="75"/>
      <c r="AJ227" s="75"/>
      <c r="AK227" s="75"/>
      <c r="AL227" s="75"/>
      <c r="AM227" s="75"/>
      <c r="AN227" s="75"/>
      <c r="AO227" s="75"/>
      <c r="AP227" s="75"/>
      <c r="AQ227" s="71"/>
      <c r="AR227" s="75"/>
      <c r="AS227" s="75"/>
      <c r="AT227" s="75"/>
      <c r="AU227" s="71"/>
      <c r="AV227" s="71"/>
      <c r="AW227" s="71"/>
      <c r="AX227" s="71"/>
      <c r="AY227" s="71"/>
      <c r="AZ227" s="71"/>
      <c r="BB227" s="71"/>
      <c r="BD227" s="24"/>
      <c r="BG227" s="24"/>
      <c r="BJ227" s="24"/>
    </row>
    <row r="228" spans="29:62" ht="15" customHeight="1" x14ac:dyDescent="0.2">
      <c r="AC228" s="237" t="str">
        <f t="shared" si="24"/>
        <v/>
      </c>
      <c r="AD228" s="237" t="str">
        <f t="shared" si="25"/>
        <v/>
      </c>
      <c r="AF228" s="151"/>
      <c r="AG228" s="75"/>
      <c r="AH228" s="75"/>
      <c r="AI228" s="75"/>
      <c r="AJ228" s="75"/>
      <c r="AK228" s="75"/>
      <c r="AL228" s="75"/>
      <c r="AM228" s="75"/>
      <c r="AN228" s="75"/>
      <c r="AO228" s="75"/>
      <c r="AP228" s="75"/>
      <c r="AQ228" s="71"/>
      <c r="AR228" s="75"/>
      <c r="AS228" s="75"/>
      <c r="AT228" s="75"/>
      <c r="AU228" s="71"/>
      <c r="AV228" s="71"/>
      <c r="AW228" s="71"/>
      <c r="AX228" s="71"/>
      <c r="AY228" s="71"/>
      <c r="AZ228" s="71"/>
      <c r="BB228" s="71"/>
      <c r="BD228" s="24"/>
      <c r="BG228" s="24"/>
      <c r="BJ228" s="24"/>
    </row>
    <row r="229" spans="29:62" ht="15" customHeight="1" x14ac:dyDescent="0.2">
      <c r="AC229" s="237" t="str">
        <f t="shared" si="24"/>
        <v/>
      </c>
      <c r="AD229" s="237" t="str">
        <f t="shared" si="25"/>
        <v/>
      </c>
      <c r="AF229" s="151"/>
      <c r="AG229" s="75"/>
      <c r="AH229" s="75"/>
      <c r="AI229" s="75"/>
      <c r="AJ229" s="75"/>
      <c r="AK229" s="75"/>
      <c r="AL229" s="75"/>
      <c r="AM229" s="75"/>
      <c r="AN229" s="75"/>
      <c r="AO229" s="75"/>
      <c r="AP229" s="75"/>
      <c r="AQ229" s="71"/>
      <c r="AR229" s="75"/>
      <c r="AS229" s="75"/>
      <c r="AT229" s="75"/>
      <c r="AU229" s="71"/>
      <c r="AV229" s="71"/>
      <c r="AW229" s="71"/>
      <c r="AX229" s="71"/>
      <c r="AY229" s="71"/>
      <c r="AZ229" s="71"/>
      <c r="BB229" s="71"/>
      <c r="BD229" s="24"/>
      <c r="BG229" s="24"/>
      <c r="BJ229" s="24"/>
    </row>
    <row r="230" spans="29:62" ht="15" customHeight="1" x14ac:dyDescent="0.2">
      <c r="AC230" s="237" t="str">
        <f t="shared" si="24"/>
        <v/>
      </c>
      <c r="AD230" s="237" t="str">
        <f t="shared" si="25"/>
        <v/>
      </c>
      <c r="AF230" s="151"/>
      <c r="AG230" s="75"/>
      <c r="AH230" s="75"/>
      <c r="AI230" s="75"/>
      <c r="AJ230" s="75"/>
      <c r="AK230" s="75"/>
      <c r="AL230" s="75"/>
      <c r="AM230" s="75"/>
      <c r="AN230" s="75"/>
      <c r="AO230" s="75"/>
      <c r="AP230" s="75"/>
      <c r="AQ230" s="71"/>
      <c r="AR230" s="75"/>
      <c r="AS230" s="75"/>
      <c r="AT230" s="75"/>
      <c r="AU230" s="71"/>
      <c r="AV230" s="71"/>
      <c r="AW230" s="71"/>
      <c r="AX230" s="71"/>
      <c r="AY230" s="71"/>
      <c r="AZ230" s="71"/>
      <c r="BB230" s="71"/>
      <c r="BD230" s="24"/>
      <c r="BG230" s="24"/>
      <c r="BJ230" s="24"/>
    </row>
    <row r="231" spans="29:62" ht="15" customHeight="1" x14ac:dyDescent="0.2">
      <c r="AC231" s="237" t="str">
        <f t="shared" si="24"/>
        <v/>
      </c>
      <c r="AD231" s="237" t="str">
        <f t="shared" si="25"/>
        <v/>
      </c>
      <c r="AF231" s="151"/>
      <c r="AG231" s="75"/>
      <c r="AH231" s="75"/>
      <c r="AI231" s="75"/>
      <c r="AJ231" s="75"/>
      <c r="AK231" s="75"/>
      <c r="AL231" s="75"/>
      <c r="AM231" s="75"/>
      <c r="AN231" s="75"/>
      <c r="AO231" s="75"/>
      <c r="AP231" s="75"/>
      <c r="AQ231" s="71"/>
      <c r="AR231" s="75"/>
      <c r="AS231" s="75"/>
      <c r="AT231" s="75"/>
      <c r="AU231" s="71"/>
      <c r="AV231" s="71"/>
      <c r="AW231" s="71"/>
      <c r="AX231" s="71"/>
      <c r="AY231" s="71"/>
      <c r="AZ231" s="71"/>
      <c r="BB231" s="71"/>
      <c r="BD231" s="24"/>
      <c r="BG231" s="24"/>
      <c r="BJ231" s="24"/>
    </row>
    <row r="232" spans="29:62" ht="15" customHeight="1" x14ac:dyDescent="0.2">
      <c r="AC232" s="237" t="str">
        <f t="shared" si="24"/>
        <v/>
      </c>
      <c r="AD232" s="237" t="str">
        <f t="shared" si="25"/>
        <v/>
      </c>
      <c r="AF232" s="151"/>
      <c r="AG232" s="75"/>
      <c r="AH232" s="75"/>
      <c r="AI232" s="75"/>
      <c r="AJ232" s="75"/>
      <c r="AK232" s="75"/>
      <c r="AL232" s="75"/>
      <c r="AM232" s="75"/>
      <c r="AN232" s="75"/>
      <c r="AO232" s="75"/>
      <c r="AP232" s="75"/>
      <c r="AQ232" s="71"/>
      <c r="AR232" s="75"/>
      <c r="AS232" s="75"/>
      <c r="AT232" s="75"/>
      <c r="AU232" s="71"/>
      <c r="AV232" s="71"/>
      <c r="AW232" s="71"/>
      <c r="AX232" s="71"/>
      <c r="AY232" s="71"/>
      <c r="AZ232" s="71"/>
      <c r="BB232" s="71"/>
      <c r="BD232" s="24"/>
      <c r="BG232" s="24"/>
      <c r="BJ232" s="24"/>
    </row>
    <row r="233" spans="29:62" ht="15" customHeight="1" x14ac:dyDescent="0.2">
      <c r="AC233" s="237" t="str">
        <f t="shared" si="24"/>
        <v/>
      </c>
      <c r="AD233" s="237" t="str">
        <f t="shared" si="25"/>
        <v/>
      </c>
      <c r="AF233" s="151"/>
      <c r="AG233" s="75"/>
      <c r="AH233" s="75"/>
      <c r="AI233" s="75"/>
      <c r="AJ233" s="75"/>
      <c r="AK233" s="75"/>
      <c r="AL233" s="75"/>
      <c r="AM233" s="75"/>
      <c r="AN233" s="75"/>
      <c r="AO233" s="75"/>
      <c r="AP233" s="75"/>
      <c r="AQ233" s="71"/>
      <c r="AR233" s="75"/>
      <c r="AS233" s="75"/>
      <c r="AT233" s="75"/>
      <c r="AU233" s="71"/>
      <c r="AV233" s="71"/>
      <c r="AW233" s="71"/>
      <c r="AX233" s="71"/>
      <c r="AY233" s="71"/>
      <c r="AZ233" s="71"/>
      <c r="BB233" s="71"/>
      <c r="BD233" s="24"/>
      <c r="BG233" s="24"/>
      <c r="BJ233" s="24"/>
    </row>
    <row r="234" spans="29:62" ht="15" customHeight="1" x14ac:dyDescent="0.2">
      <c r="AC234" s="237" t="str">
        <f t="shared" si="24"/>
        <v/>
      </c>
      <c r="AD234" s="237" t="str">
        <f t="shared" si="25"/>
        <v/>
      </c>
      <c r="AF234" s="151"/>
      <c r="AG234" s="75"/>
      <c r="AH234" s="75"/>
      <c r="AI234" s="75"/>
      <c r="AJ234" s="75"/>
      <c r="AK234" s="75"/>
      <c r="AL234" s="75"/>
      <c r="AM234" s="75"/>
      <c r="AN234" s="75"/>
      <c r="AO234" s="75"/>
      <c r="AP234" s="75"/>
      <c r="AQ234" s="71"/>
      <c r="AR234" s="75"/>
      <c r="AS234" s="75"/>
      <c r="AT234" s="75"/>
      <c r="AU234" s="71"/>
      <c r="AV234" s="71"/>
      <c r="AW234" s="71"/>
      <c r="AX234" s="71"/>
      <c r="AY234" s="71"/>
      <c r="AZ234" s="71"/>
      <c r="BB234" s="71"/>
      <c r="BD234" s="24"/>
      <c r="BG234" s="24"/>
      <c r="BJ234" s="24"/>
    </row>
    <row r="235" spans="29:62" ht="15" customHeight="1" x14ac:dyDescent="0.2">
      <c r="AC235" s="237" t="str">
        <f t="shared" si="24"/>
        <v/>
      </c>
      <c r="AD235" s="237" t="str">
        <f t="shared" si="25"/>
        <v/>
      </c>
      <c r="AF235" s="151"/>
      <c r="AG235" s="75"/>
      <c r="AH235" s="75"/>
      <c r="AI235" s="75"/>
      <c r="AJ235" s="75"/>
      <c r="AK235" s="75"/>
      <c r="AL235" s="75"/>
      <c r="AM235" s="75"/>
      <c r="AN235" s="75"/>
      <c r="AO235" s="75"/>
      <c r="AP235" s="75"/>
      <c r="AQ235" s="71"/>
      <c r="AR235" s="75"/>
      <c r="AS235" s="75"/>
      <c r="AT235" s="75"/>
      <c r="AU235" s="71"/>
      <c r="AV235" s="71"/>
      <c r="AW235" s="71"/>
      <c r="AX235" s="71"/>
      <c r="AY235" s="71"/>
      <c r="AZ235" s="71"/>
      <c r="BB235" s="71"/>
      <c r="BD235" s="24"/>
      <c r="BG235" s="24"/>
      <c r="BJ235" s="24"/>
    </row>
    <row r="236" spans="29:62" ht="15" customHeight="1" x14ac:dyDescent="0.2">
      <c r="AC236" s="237" t="str">
        <f t="shared" si="24"/>
        <v/>
      </c>
      <c r="AD236" s="237" t="str">
        <f t="shared" si="25"/>
        <v/>
      </c>
      <c r="AF236" s="151"/>
      <c r="AG236" s="75"/>
      <c r="AH236" s="75"/>
      <c r="AI236" s="75"/>
      <c r="AJ236" s="75"/>
      <c r="AK236" s="75"/>
      <c r="AL236" s="75"/>
      <c r="AM236" s="75"/>
      <c r="AN236" s="75"/>
      <c r="AO236" s="75"/>
      <c r="AP236" s="75"/>
      <c r="AQ236" s="71"/>
      <c r="AR236" s="75"/>
      <c r="AS236" s="75"/>
      <c r="AT236" s="75"/>
      <c r="AU236" s="71"/>
      <c r="AV236" s="71"/>
      <c r="AW236" s="71"/>
      <c r="AX236" s="71"/>
      <c r="AY236" s="71"/>
      <c r="AZ236" s="71"/>
      <c r="BB236" s="71"/>
      <c r="BD236" s="24"/>
      <c r="BG236" s="24"/>
      <c r="BJ236" s="24"/>
    </row>
    <row r="237" spans="29:62" ht="15" customHeight="1" x14ac:dyDescent="0.2">
      <c r="AC237" s="237" t="str">
        <f t="shared" si="24"/>
        <v/>
      </c>
      <c r="AD237" s="237" t="str">
        <f t="shared" si="25"/>
        <v/>
      </c>
      <c r="AF237" s="151"/>
      <c r="AG237" s="75"/>
      <c r="AH237" s="75"/>
      <c r="AI237" s="75"/>
      <c r="AJ237" s="75"/>
      <c r="AK237" s="75"/>
      <c r="AL237" s="75"/>
      <c r="AM237" s="75"/>
      <c r="AN237" s="75"/>
      <c r="AO237" s="75"/>
      <c r="AP237" s="75"/>
      <c r="AQ237" s="71"/>
      <c r="AR237" s="75"/>
      <c r="AS237" s="75"/>
      <c r="AT237" s="75"/>
      <c r="AU237" s="71"/>
      <c r="AV237" s="71"/>
      <c r="AW237" s="71"/>
      <c r="AX237" s="71"/>
      <c r="AY237" s="71"/>
      <c r="AZ237" s="71"/>
      <c r="BB237" s="71"/>
      <c r="BD237" s="24"/>
      <c r="BG237" s="24"/>
      <c r="BJ237" s="24"/>
    </row>
    <row r="238" spans="29:62" ht="15" customHeight="1" x14ac:dyDescent="0.2">
      <c r="AC238" s="237" t="str">
        <f t="shared" si="24"/>
        <v/>
      </c>
      <c r="AD238" s="237" t="str">
        <f t="shared" si="25"/>
        <v/>
      </c>
      <c r="AF238" s="151"/>
      <c r="AG238" s="75"/>
      <c r="AH238" s="75"/>
      <c r="AI238" s="75"/>
      <c r="AJ238" s="75"/>
      <c r="AK238" s="75"/>
      <c r="AL238" s="75"/>
      <c r="AM238" s="75"/>
      <c r="AN238" s="75"/>
      <c r="AO238" s="75"/>
      <c r="AP238" s="75"/>
      <c r="AQ238" s="71"/>
      <c r="AR238" s="75"/>
      <c r="AS238" s="75"/>
      <c r="AT238" s="75"/>
      <c r="AU238" s="71"/>
      <c r="AV238" s="71"/>
      <c r="AW238" s="71"/>
      <c r="AX238" s="71"/>
      <c r="AY238" s="71"/>
      <c r="AZ238" s="71"/>
      <c r="BB238" s="71"/>
      <c r="BD238" s="24"/>
      <c r="BG238" s="24"/>
      <c r="BJ238" s="24"/>
    </row>
    <row r="239" spans="29:62" ht="15" customHeight="1" x14ac:dyDescent="0.2">
      <c r="AC239" s="237" t="str">
        <f t="shared" si="24"/>
        <v/>
      </c>
      <c r="AD239" s="237" t="str">
        <f t="shared" si="25"/>
        <v/>
      </c>
      <c r="AF239" s="151"/>
      <c r="AG239" s="75"/>
      <c r="AH239" s="75"/>
      <c r="AI239" s="75"/>
      <c r="AJ239" s="75"/>
      <c r="AK239" s="75"/>
      <c r="AL239" s="75"/>
      <c r="AM239" s="75"/>
      <c r="AN239" s="75"/>
      <c r="AO239" s="75"/>
      <c r="AP239" s="75"/>
      <c r="AQ239" s="71"/>
      <c r="AR239" s="75"/>
      <c r="AS239" s="75"/>
      <c r="AT239" s="75"/>
      <c r="AU239" s="71"/>
      <c r="AV239" s="71"/>
      <c r="AW239" s="71"/>
      <c r="AX239" s="71"/>
      <c r="AY239" s="71"/>
      <c r="AZ239" s="71"/>
      <c r="BB239" s="71"/>
      <c r="BD239" s="24"/>
      <c r="BG239" s="24"/>
      <c r="BJ239" s="24"/>
    </row>
    <row r="240" spans="29:62" ht="15" customHeight="1" x14ac:dyDescent="0.2">
      <c r="AC240" s="237" t="str">
        <f t="shared" si="24"/>
        <v/>
      </c>
      <c r="AD240" s="237" t="str">
        <f t="shared" si="25"/>
        <v/>
      </c>
      <c r="AF240" s="151"/>
      <c r="AG240" s="75"/>
      <c r="AH240" s="75"/>
      <c r="AI240" s="75"/>
      <c r="AJ240" s="75"/>
      <c r="AK240" s="75"/>
      <c r="AL240" s="75"/>
      <c r="AM240" s="75"/>
      <c r="AN240" s="75"/>
      <c r="AO240" s="75"/>
      <c r="AP240" s="75"/>
      <c r="AQ240" s="71"/>
      <c r="AR240" s="75"/>
      <c r="AS240" s="75"/>
      <c r="AT240" s="75"/>
      <c r="AU240" s="71"/>
      <c r="AV240" s="71"/>
      <c r="AW240" s="71"/>
      <c r="AX240" s="71"/>
      <c r="AY240" s="71"/>
      <c r="AZ240" s="71"/>
      <c r="BB240" s="71"/>
      <c r="BD240" s="24"/>
      <c r="BG240" s="24"/>
      <c r="BJ240" s="24"/>
    </row>
    <row r="241" spans="29:62" ht="15" customHeight="1" x14ac:dyDescent="0.2">
      <c r="AC241" s="237" t="str">
        <f t="shared" si="24"/>
        <v/>
      </c>
      <c r="AD241" s="237" t="str">
        <f t="shared" si="25"/>
        <v/>
      </c>
      <c r="AF241" s="151"/>
      <c r="AG241" s="75"/>
      <c r="AH241" s="75"/>
      <c r="AI241" s="75"/>
      <c r="AJ241" s="75"/>
      <c r="AK241" s="75"/>
      <c r="AL241" s="75"/>
      <c r="AM241" s="75"/>
      <c r="AN241" s="75"/>
      <c r="AO241" s="75"/>
      <c r="AP241" s="75"/>
      <c r="AQ241" s="71"/>
      <c r="AR241" s="75"/>
      <c r="AS241" s="75"/>
      <c r="AT241" s="75"/>
      <c r="AU241" s="71"/>
      <c r="AV241" s="71"/>
      <c r="AW241" s="71"/>
      <c r="AX241" s="71"/>
      <c r="AY241" s="71"/>
      <c r="AZ241" s="71"/>
      <c r="BB241" s="71"/>
      <c r="BD241" s="24"/>
      <c r="BG241" s="24"/>
      <c r="BJ241" s="24"/>
    </row>
    <row r="242" spans="29:62" ht="15" customHeight="1" x14ac:dyDescent="0.2">
      <c r="AC242" s="237" t="str">
        <f t="shared" si="24"/>
        <v/>
      </c>
      <c r="AD242" s="237" t="str">
        <f t="shared" si="25"/>
        <v/>
      </c>
      <c r="AF242" s="151"/>
      <c r="AG242" s="75"/>
      <c r="AH242" s="75"/>
      <c r="AI242" s="75"/>
      <c r="AJ242" s="75"/>
      <c r="AK242" s="75"/>
      <c r="AL242" s="75"/>
      <c r="AM242" s="75"/>
      <c r="AN242" s="75"/>
      <c r="AO242" s="75"/>
      <c r="AP242" s="75"/>
      <c r="AQ242" s="71"/>
      <c r="AR242" s="75"/>
      <c r="AS242" s="75"/>
      <c r="AT242" s="75"/>
      <c r="AU242" s="71"/>
      <c r="AV242" s="71"/>
      <c r="AW242" s="71"/>
      <c r="AX242" s="71"/>
      <c r="AY242" s="71"/>
      <c r="AZ242" s="71"/>
      <c r="BB242" s="71"/>
      <c r="BD242" s="24"/>
      <c r="BG242" s="24"/>
      <c r="BJ242" s="24"/>
    </row>
    <row r="243" spans="29:62" ht="15" customHeight="1" x14ac:dyDescent="0.2">
      <c r="AC243" s="237" t="str">
        <f t="shared" si="24"/>
        <v/>
      </c>
      <c r="AD243" s="237" t="str">
        <f t="shared" si="25"/>
        <v/>
      </c>
      <c r="AF243" s="151"/>
      <c r="AG243" s="75"/>
      <c r="AH243" s="75"/>
      <c r="AI243" s="75"/>
      <c r="AJ243" s="75"/>
      <c r="AK243" s="75"/>
      <c r="AL243" s="75"/>
      <c r="AM243" s="75"/>
      <c r="AN243" s="75"/>
      <c r="AO243" s="75"/>
      <c r="AP243" s="75"/>
      <c r="AQ243" s="71"/>
      <c r="AR243" s="75"/>
      <c r="AS243" s="75"/>
      <c r="AT243" s="75"/>
      <c r="AU243" s="71"/>
      <c r="AV243" s="71"/>
      <c r="AW243" s="71"/>
      <c r="AX243" s="71"/>
      <c r="AY243" s="71"/>
      <c r="AZ243" s="71"/>
      <c r="BB243" s="71"/>
      <c r="BD243" s="24"/>
      <c r="BG243" s="24"/>
      <c r="BJ243" s="24"/>
    </row>
    <row r="244" spans="29:62" ht="15" customHeight="1" x14ac:dyDescent="0.2">
      <c r="AC244" s="237" t="str">
        <f t="shared" si="24"/>
        <v/>
      </c>
      <c r="AD244" s="237" t="str">
        <f t="shared" si="25"/>
        <v/>
      </c>
      <c r="AF244" s="151"/>
      <c r="AG244" s="75"/>
      <c r="AH244" s="75"/>
      <c r="AI244" s="75"/>
      <c r="AJ244" s="75"/>
      <c r="AK244" s="75"/>
      <c r="AL244" s="75"/>
      <c r="AM244" s="75"/>
      <c r="AN244" s="75"/>
      <c r="AO244" s="75"/>
      <c r="AP244" s="75"/>
      <c r="AQ244" s="71"/>
      <c r="AR244" s="75"/>
      <c r="AS244" s="75"/>
      <c r="AT244" s="75"/>
      <c r="AU244" s="71"/>
      <c r="AV244" s="71"/>
      <c r="AW244" s="71"/>
      <c r="AX244" s="71"/>
      <c r="AY244" s="71"/>
      <c r="AZ244" s="71"/>
      <c r="BB244" s="71"/>
      <c r="BD244" s="24"/>
      <c r="BG244" s="24"/>
      <c r="BJ244" s="24"/>
    </row>
    <row r="245" spans="29:62" ht="15" customHeight="1" x14ac:dyDescent="0.2">
      <c r="AC245" s="237" t="str">
        <f t="shared" si="24"/>
        <v/>
      </c>
      <c r="AD245" s="237" t="str">
        <f t="shared" si="25"/>
        <v/>
      </c>
      <c r="AF245" s="151"/>
      <c r="AG245" s="75"/>
      <c r="AH245" s="75"/>
      <c r="AI245" s="75"/>
      <c r="AJ245" s="75"/>
      <c r="AK245" s="75"/>
      <c r="AL245" s="75"/>
      <c r="AM245" s="75"/>
      <c r="AN245" s="75"/>
      <c r="AO245" s="75"/>
      <c r="AP245" s="75"/>
      <c r="AQ245" s="71"/>
      <c r="AR245" s="75"/>
      <c r="AS245" s="75"/>
      <c r="AT245" s="75"/>
      <c r="AU245" s="71"/>
      <c r="AV245" s="71"/>
      <c r="AW245" s="71"/>
      <c r="AX245" s="71"/>
      <c r="AY245" s="71"/>
      <c r="AZ245" s="71"/>
      <c r="BB245" s="71"/>
      <c r="BD245" s="24"/>
      <c r="BG245" s="24"/>
      <c r="BJ245" s="24"/>
    </row>
    <row r="246" spans="29:62" ht="15" customHeight="1" x14ac:dyDescent="0.2">
      <c r="AC246" s="237" t="str">
        <f t="shared" si="24"/>
        <v/>
      </c>
      <c r="AD246" s="237" t="str">
        <f t="shared" si="25"/>
        <v/>
      </c>
      <c r="AF246" s="151"/>
      <c r="AG246" s="75"/>
      <c r="AH246" s="75"/>
      <c r="AI246" s="75"/>
      <c r="AJ246" s="75"/>
      <c r="AK246" s="75"/>
      <c r="AL246" s="75"/>
      <c r="AM246" s="75"/>
      <c r="AN246" s="75"/>
      <c r="AO246" s="75"/>
      <c r="AP246" s="75"/>
      <c r="AQ246" s="71"/>
      <c r="AR246" s="75"/>
      <c r="AS246" s="75"/>
      <c r="AT246" s="75"/>
      <c r="AU246" s="71"/>
      <c r="AV246" s="71"/>
      <c r="AW246" s="71"/>
      <c r="AX246" s="71"/>
      <c r="AY246" s="71"/>
      <c r="AZ246" s="71"/>
      <c r="BB246" s="71"/>
      <c r="BD246" s="24"/>
      <c r="BG246" s="24"/>
      <c r="BJ246" s="24"/>
    </row>
    <row r="247" spans="29:62" ht="15" customHeight="1" x14ac:dyDescent="0.2">
      <c r="AC247" s="237" t="str">
        <f t="shared" si="24"/>
        <v/>
      </c>
      <c r="AD247" s="237" t="str">
        <f t="shared" si="25"/>
        <v/>
      </c>
      <c r="AF247" s="151"/>
      <c r="AG247" s="75"/>
      <c r="AH247" s="75"/>
      <c r="AI247" s="75"/>
      <c r="AJ247" s="75"/>
      <c r="AK247" s="75"/>
      <c r="AL247" s="75"/>
      <c r="AM247" s="75"/>
      <c r="AN247" s="75"/>
      <c r="AO247" s="75"/>
      <c r="AP247" s="75"/>
      <c r="AQ247" s="71"/>
      <c r="AR247" s="75"/>
      <c r="AS247" s="75"/>
      <c r="AT247" s="75"/>
      <c r="AU247" s="71"/>
      <c r="AV247" s="71"/>
      <c r="AW247" s="71"/>
      <c r="AX247" s="71"/>
      <c r="AY247" s="71"/>
      <c r="AZ247" s="71"/>
      <c r="BB247" s="71"/>
      <c r="BD247" s="24"/>
      <c r="BG247" s="24"/>
      <c r="BJ247" s="24"/>
    </row>
    <row r="248" spans="29:62" ht="15" customHeight="1" x14ac:dyDescent="0.2">
      <c r="AC248" s="237" t="str">
        <f t="shared" si="24"/>
        <v/>
      </c>
      <c r="AD248" s="237" t="str">
        <f t="shared" si="25"/>
        <v/>
      </c>
      <c r="AF248" s="151"/>
      <c r="AG248" s="75"/>
      <c r="AH248" s="75"/>
      <c r="AI248" s="75"/>
      <c r="AJ248" s="75"/>
      <c r="AK248" s="75"/>
      <c r="AL248" s="75"/>
      <c r="AM248" s="75"/>
      <c r="AN248" s="75"/>
      <c r="AO248" s="75"/>
      <c r="AP248" s="75"/>
      <c r="AQ248" s="71"/>
      <c r="AR248" s="75"/>
      <c r="AS248" s="75"/>
      <c r="AT248" s="75"/>
      <c r="AU248" s="71"/>
      <c r="AV248" s="71"/>
      <c r="AW248" s="71"/>
      <c r="AX248" s="71"/>
      <c r="AY248" s="71"/>
      <c r="AZ248" s="71"/>
      <c r="BB248" s="71"/>
      <c r="BD248" s="24"/>
      <c r="BG248" s="24"/>
      <c r="BJ248" s="24"/>
    </row>
    <row r="249" spans="29:62" ht="15" customHeight="1" x14ac:dyDescent="0.2">
      <c r="AC249" s="237" t="str">
        <f t="shared" si="24"/>
        <v/>
      </c>
      <c r="AD249" s="237" t="str">
        <f t="shared" si="25"/>
        <v/>
      </c>
      <c r="AF249" s="151"/>
      <c r="AG249" s="75"/>
      <c r="AH249" s="75"/>
      <c r="AI249" s="75"/>
      <c r="AJ249" s="75"/>
      <c r="AK249" s="75"/>
      <c r="AL249" s="75"/>
      <c r="AM249" s="75"/>
      <c r="AN249" s="75"/>
      <c r="AO249" s="75"/>
      <c r="AP249" s="75"/>
      <c r="AQ249" s="71"/>
      <c r="AR249" s="75"/>
      <c r="AS249" s="75"/>
      <c r="AT249" s="75"/>
      <c r="AU249" s="71"/>
      <c r="AV249" s="71"/>
      <c r="AW249" s="71"/>
      <c r="AX249" s="71"/>
      <c r="AY249" s="71"/>
      <c r="AZ249" s="71"/>
      <c r="BB249" s="71"/>
      <c r="BD249" s="24"/>
      <c r="BG249" s="24"/>
      <c r="BJ249" s="24"/>
    </row>
    <row r="250" spans="29:62" ht="15" customHeight="1" x14ac:dyDescent="0.2">
      <c r="AC250" s="237" t="str">
        <f t="shared" si="24"/>
        <v/>
      </c>
      <c r="AD250" s="237" t="str">
        <f t="shared" si="25"/>
        <v/>
      </c>
      <c r="AF250" s="151"/>
      <c r="AG250" s="75"/>
      <c r="AH250" s="75"/>
      <c r="AI250" s="75"/>
      <c r="AJ250" s="75"/>
      <c r="AK250" s="75"/>
      <c r="AL250" s="75"/>
      <c r="AM250" s="75"/>
      <c r="AN250" s="75"/>
      <c r="AO250" s="75"/>
      <c r="AP250" s="75"/>
      <c r="AQ250" s="71"/>
      <c r="AR250" s="75"/>
      <c r="AS250" s="75"/>
      <c r="AT250" s="75"/>
      <c r="AU250" s="71"/>
      <c r="AV250" s="71"/>
      <c r="AW250" s="71"/>
      <c r="AX250" s="71"/>
      <c r="AY250" s="71"/>
      <c r="AZ250" s="71"/>
      <c r="BB250" s="71"/>
      <c r="BD250" s="24"/>
      <c r="BG250" s="24"/>
      <c r="BJ250" s="24"/>
    </row>
    <row r="251" spans="29:62" ht="15" customHeight="1" x14ac:dyDescent="0.2">
      <c r="AC251" s="237" t="str">
        <f t="shared" si="24"/>
        <v/>
      </c>
      <c r="AD251" s="237" t="str">
        <f t="shared" si="25"/>
        <v/>
      </c>
      <c r="AF251" s="151"/>
      <c r="AG251" s="75"/>
      <c r="AH251" s="75"/>
      <c r="AI251" s="75"/>
      <c r="AJ251" s="75"/>
      <c r="AK251" s="75"/>
      <c r="AL251" s="75"/>
      <c r="AM251" s="75"/>
      <c r="AN251" s="75"/>
      <c r="AO251" s="75"/>
      <c r="AP251" s="75"/>
      <c r="AQ251" s="71"/>
      <c r="AR251" s="75"/>
      <c r="AS251" s="75"/>
      <c r="AT251" s="75"/>
      <c r="AU251" s="71"/>
      <c r="AV251" s="71"/>
      <c r="AW251" s="71"/>
      <c r="AX251" s="71"/>
      <c r="AY251" s="71"/>
      <c r="AZ251" s="71"/>
      <c r="BB251" s="71"/>
      <c r="BD251" s="24"/>
      <c r="BG251" s="24"/>
      <c r="BJ251" s="24"/>
    </row>
    <row r="252" spans="29:62" ht="15" customHeight="1" x14ac:dyDescent="0.2">
      <c r="AC252" s="237" t="str">
        <f t="shared" si="24"/>
        <v/>
      </c>
      <c r="AD252" s="237" t="str">
        <f t="shared" si="25"/>
        <v/>
      </c>
      <c r="AF252" s="151"/>
      <c r="AG252" s="75"/>
      <c r="AH252" s="75"/>
      <c r="AI252" s="75"/>
      <c r="AJ252" s="75"/>
      <c r="AK252" s="75"/>
      <c r="AL252" s="75"/>
      <c r="AM252" s="75"/>
      <c r="AN252" s="75"/>
      <c r="AO252" s="75"/>
      <c r="AP252" s="75"/>
      <c r="AQ252" s="71"/>
      <c r="AR252" s="75"/>
      <c r="AS252" s="75"/>
      <c r="AT252" s="75"/>
      <c r="AU252" s="71"/>
      <c r="AV252" s="71"/>
      <c r="AW252" s="71"/>
      <c r="AX252" s="71"/>
      <c r="AY252" s="71"/>
      <c r="AZ252" s="71"/>
      <c r="BB252" s="71"/>
      <c r="BD252" s="24"/>
      <c r="BG252" s="24"/>
      <c r="BJ252" s="24"/>
    </row>
    <row r="253" spans="29:62" ht="15" customHeight="1" x14ac:dyDescent="0.2">
      <c r="AC253" s="237" t="str">
        <f t="shared" ref="AC253:AC316" si="26">IF(Q253="","",SQRT(($R253-$AR$61)^2+($S253-$AS$61)^2))</f>
        <v/>
      </c>
      <c r="AD253" s="237" t="str">
        <f t="shared" ref="AD253:AD316" si="27">IF(Q253="","",SQRT(($R253-$AT$61)^2+($S253-$AU$61)^2))</f>
        <v/>
      </c>
      <c r="AF253" s="151"/>
      <c r="AG253" s="75"/>
      <c r="AH253" s="75"/>
      <c r="AI253" s="75"/>
      <c r="AJ253" s="75"/>
      <c r="AK253" s="75"/>
      <c r="AL253" s="75"/>
      <c r="AM253" s="75"/>
      <c r="AN253" s="75"/>
      <c r="AO253" s="75"/>
      <c r="AP253" s="75"/>
      <c r="AQ253" s="71"/>
      <c r="AR253" s="75"/>
      <c r="AS253" s="75"/>
      <c r="AT253" s="75"/>
      <c r="AU253" s="71"/>
      <c r="AV253" s="71"/>
      <c r="AW253" s="71"/>
      <c r="AX253" s="71"/>
      <c r="AY253" s="71"/>
      <c r="AZ253" s="71"/>
      <c r="BB253" s="71"/>
      <c r="BD253" s="24"/>
      <c r="BG253" s="24"/>
      <c r="BJ253" s="24"/>
    </row>
    <row r="254" spans="29:62" ht="15" customHeight="1" x14ac:dyDescent="0.2">
      <c r="AC254" s="237" t="str">
        <f t="shared" si="26"/>
        <v/>
      </c>
      <c r="AD254" s="237" t="str">
        <f t="shared" si="27"/>
        <v/>
      </c>
      <c r="AF254" s="151"/>
      <c r="AG254" s="75"/>
      <c r="AH254" s="75"/>
      <c r="AI254" s="75"/>
      <c r="AJ254" s="75"/>
      <c r="AK254" s="75"/>
      <c r="AL254" s="75"/>
      <c r="AM254" s="75"/>
      <c r="AN254" s="75"/>
      <c r="AO254" s="75"/>
      <c r="AP254" s="75"/>
      <c r="AQ254" s="71"/>
      <c r="AR254" s="75"/>
      <c r="AS254" s="75"/>
      <c r="AT254" s="75"/>
      <c r="AU254" s="71"/>
      <c r="AV254" s="71"/>
      <c r="AW254" s="71"/>
      <c r="AX254" s="71"/>
      <c r="AY254" s="71"/>
      <c r="AZ254" s="71"/>
      <c r="BB254" s="71"/>
      <c r="BD254" s="24"/>
      <c r="BG254" s="24"/>
      <c r="BJ254" s="24"/>
    </row>
    <row r="255" spans="29:62" ht="15" customHeight="1" x14ac:dyDescent="0.2">
      <c r="AC255" s="237" t="str">
        <f t="shared" si="26"/>
        <v/>
      </c>
      <c r="AD255" s="237" t="str">
        <f t="shared" si="27"/>
        <v/>
      </c>
      <c r="AF255" s="151"/>
      <c r="AG255" s="75"/>
      <c r="AH255" s="75"/>
      <c r="AI255" s="75"/>
      <c r="AJ255" s="75"/>
      <c r="AK255" s="75"/>
      <c r="AL255" s="75"/>
      <c r="AM255" s="75"/>
      <c r="AN255" s="75"/>
      <c r="AO255" s="75"/>
      <c r="AP255" s="75"/>
      <c r="AQ255" s="71"/>
      <c r="AR255" s="75"/>
      <c r="AS255" s="75"/>
      <c r="AT255" s="75"/>
      <c r="AU255" s="71"/>
      <c r="AV255" s="71"/>
      <c r="AW255" s="71"/>
      <c r="AX255" s="71"/>
      <c r="AY255" s="71"/>
      <c r="AZ255" s="71"/>
      <c r="BB255" s="71"/>
      <c r="BD255" s="24"/>
      <c r="BG255" s="24"/>
      <c r="BJ255" s="24"/>
    </row>
    <row r="256" spans="29:62" ht="15" customHeight="1" x14ac:dyDescent="0.2">
      <c r="AC256" s="237" t="str">
        <f t="shared" si="26"/>
        <v/>
      </c>
      <c r="AD256" s="237" t="str">
        <f t="shared" si="27"/>
        <v/>
      </c>
      <c r="AF256" s="151"/>
      <c r="AG256" s="75"/>
      <c r="AH256" s="75"/>
      <c r="AI256" s="75"/>
      <c r="AJ256" s="75"/>
      <c r="AK256" s="75"/>
      <c r="AL256" s="75"/>
      <c r="AM256" s="75"/>
      <c r="AN256" s="75"/>
      <c r="AO256" s="75"/>
      <c r="AP256" s="75"/>
      <c r="AQ256" s="71"/>
      <c r="AR256" s="75"/>
      <c r="AS256" s="75"/>
      <c r="AT256" s="75"/>
      <c r="AU256" s="71"/>
      <c r="AV256" s="71"/>
      <c r="AW256" s="71"/>
      <c r="AX256" s="71"/>
      <c r="AY256" s="71"/>
      <c r="AZ256" s="71"/>
      <c r="BB256" s="71"/>
      <c r="BD256" s="24"/>
      <c r="BG256" s="24"/>
      <c r="BJ256" s="24"/>
    </row>
    <row r="257" spans="29:62" ht="15" customHeight="1" x14ac:dyDescent="0.2">
      <c r="AC257" s="237" t="str">
        <f t="shared" si="26"/>
        <v/>
      </c>
      <c r="AD257" s="237" t="str">
        <f t="shared" si="27"/>
        <v/>
      </c>
      <c r="AF257" s="151"/>
      <c r="AG257" s="75"/>
      <c r="AH257" s="75"/>
      <c r="AI257" s="75"/>
      <c r="AJ257" s="75"/>
      <c r="AK257" s="75"/>
      <c r="AL257" s="75"/>
      <c r="AM257" s="75"/>
      <c r="AN257" s="75"/>
      <c r="AO257" s="75"/>
      <c r="AP257" s="75"/>
      <c r="AQ257" s="71"/>
      <c r="AR257" s="75"/>
      <c r="AS257" s="75"/>
      <c r="AT257" s="75"/>
      <c r="AU257" s="71"/>
      <c r="AV257" s="71"/>
      <c r="AW257" s="71"/>
      <c r="AX257" s="71"/>
      <c r="AY257" s="71"/>
      <c r="AZ257" s="71"/>
      <c r="BB257" s="71"/>
      <c r="BD257" s="24"/>
      <c r="BG257" s="24"/>
      <c r="BJ257" s="24"/>
    </row>
    <row r="258" spans="29:62" ht="15" customHeight="1" x14ac:dyDescent="0.2">
      <c r="AC258" s="237" t="str">
        <f t="shared" si="26"/>
        <v/>
      </c>
      <c r="AD258" s="237" t="str">
        <f t="shared" si="27"/>
        <v/>
      </c>
      <c r="AF258" s="151"/>
      <c r="AG258" s="75"/>
      <c r="AH258" s="75"/>
      <c r="AI258" s="75"/>
      <c r="AJ258" s="75"/>
      <c r="AK258" s="75"/>
      <c r="AL258" s="75"/>
      <c r="AM258" s="75"/>
      <c r="AN258" s="75"/>
      <c r="AO258" s="75"/>
      <c r="AP258" s="75"/>
      <c r="AQ258" s="71"/>
      <c r="AR258" s="75"/>
      <c r="AS258" s="75"/>
      <c r="AT258" s="75"/>
      <c r="AU258" s="71"/>
      <c r="AV258" s="71"/>
      <c r="AW258" s="71"/>
      <c r="AX258" s="71"/>
      <c r="AY258" s="71"/>
      <c r="AZ258" s="71"/>
      <c r="BB258" s="71"/>
      <c r="BD258" s="24"/>
      <c r="BG258" s="24"/>
      <c r="BJ258" s="24"/>
    </row>
    <row r="259" spans="29:62" ht="15" customHeight="1" x14ac:dyDescent="0.2">
      <c r="AC259" s="237" t="str">
        <f t="shared" si="26"/>
        <v/>
      </c>
      <c r="AD259" s="237" t="str">
        <f t="shared" si="27"/>
        <v/>
      </c>
      <c r="AF259" s="151"/>
      <c r="AG259" s="75"/>
      <c r="AH259" s="75"/>
      <c r="AI259" s="75"/>
      <c r="AJ259" s="75"/>
      <c r="AK259" s="75"/>
      <c r="AL259" s="75"/>
      <c r="AM259" s="75"/>
      <c r="AN259" s="75"/>
      <c r="AO259" s="75"/>
      <c r="AP259" s="75"/>
      <c r="AQ259" s="71"/>
      <c r="AR259" s="75"/>
      <c r="AS259" s="75"/>
      <c r="AT259" s="75"/>
      <c r="AU259" s="71"/>
      <c r="AV259" s="71"/>
      <c r="AW259" s="71"/>
      <c r="AX259" s="71"/>
      <c r="AY259" s="71"/>
      <c r="AZ259" s="71"/>
      <c r="BB259" s="71"/>
      <c r="BD259" s="24"/>
      <c r="BG259" s="24"/>
      <c r="BJ259" s="24"/>
    </row>
    <row r="260" spans="29:62" ht="15" customHeight="1" x14ac:dyDescent="0.2">
      <c r="AC260" s="237" t="str">
        <f t="shared" si="26"/>
        <v/>
      </c>
      <c r="AD260" s="237" t="str">
        <f t="shared" si="27"/>
        <v/>
      </c>
      <c r="AF260" s="151"/>
      <c r="AG260" s="75"/>
      <c r="AH260" s="75"/>
      <c r="AI260" s="75"/>
      <c r="AJ260" s="75"/>
      <c r="AK260" s="75"/>
      <c r="AL260" s="75"/>
      <c r="AM260" s="75"/>
      <c r="AN260" s="75"/>
      <c r="AO260" s="75"/>
      <c r="AP260" s="75"/>
      <c r="AQ260" s="71"/>
      <c r="AR260" s="75"/>
      <c r="AS260" s="75"/>
      <c r="AT260" s="75"/>
      <c r="AU260" s="71"/>
      <c r="AV260" s="71"/>
      <c r="AW260" s="71"/>
      <c r="AX260" s="71"/>
      <c r="AY260" s="71"/>
      <c r="AZ260" s="71"/>
      <c r="BB260" s="71"/>
      <c r="BD260" s="24"/>
      <c r="BG260" s="24"/>
      <c r="BJ260" s="24"/>
    </row>
    <row r="261" spans="29:62" ht="15" customHeight="1" x14ac:dyDescent="0.2">
      <c r="AC261" s="237" t="str">
        <f t="shared" si="26"/>
        <v/>
      </c>
      <c r="AD261" s="237" t="str">
        <f t="shared" si="27"/>
        <v/>
      </c>
      <c r="AF261" s="151"/>
      <c r="AG261" s="75"/>
      <c r="AH261" s="75"/>
      <c r="AI261" s="75"/>
      <c r="AJ261" s="75"/>
      <c r="AK261" s="75"/>
      <c r="AL261" s="75"/>
      <c r="AM261" s="75"/>
      <c r="AN261" s="75"/>
      <c r="AO261" s="75"/>
      <c r="AP261" s="75"/>
      <c r="AQ261" s="71"/>
      <c r="AR261" s="75"/>
      <c r="AS261" s="75"/>
      <c r="AT261" s="75"/>
      <c r="AU261" s="71"/>
      <c r="AV261" s="71"/>
      <c r="AW261" s="71"/>
      <c r="AX261" s="71"/>
      <c r="AY261" s="71"/>
      <c r="AZ261" s="71"/>
      <c r="BB261" s="71"/>
      <c r="BD261" s="24"/>
      <c r="BG261" s="24"/>
      <c r="BJ261" s="24"/>
    </row>
    <row r="262" spans="29:62" ht="15" customHeight="1" x14ac:dyDescent="0.2">
      <c r="AC262" s="237" t="str">
        <f t="shared" si="26"/>
        <v/>
      </c>
      <c r="AD262" s="237" t="str">
        <f t="shared" si="27"/>
        <v/>
      </c>
      <c r="AF262" s="151"/>
      <c r="AG262" s="75"/>
      <c r="AH262" s="75"/>
      <c r="AI262" s="75"/>
      <c r="AJ262" s="75"/>
      <c r="AK262" s="75"/>
      <c r="AL262" s="75"/>
      <c r="AM262" s="75"/>
      <c r="AN262" s="75"/>
      <c r="AO262" s="75"/>
      <c r="AP262" s="75"/>
      <c r="AQ262" s="71"/>
      <c r="AR262" s="75"/>
      <c r="AS262" s="75"/>
      <c r="AT262" s="75"/>
      <c r="AU262" s="71"/>
      <c r="AV262" s="71"/>
      <c r="AW262" s="71"/>
      <c r="AX262" s="71"/>
      <c r="AY262" s="71"/>
      <c r="AZ262" s="71"/>
      <c r="BB262" s="71"/>
      <c r="BD262" s="24"/>
      <c r="BG262" s="24"/>
      <c r="BJ262" s="24"/>
    </row>
    <row r="263" spans="29:62" ht="15" customHeight="1" x14ac:dyDescent="0.2">
      <c r="AC263" s="237" t="str">
        <f t="shared" si="26"/>
        <v/>
      </c>
      <c r="AD263" s="237" t="str">
        <f t="shared" si="27"/>
        <v/>
      </c>
      <c r="AF263" s="151"/>
      <c r="AG263" s="75"/>
      <c r="AH263" s="75"/>
      <c r="AI263" s="75"/>
      <c r="AJ263" s="75"/>
      <c r="AK263" s="75"/>
      <c r="AL263" s="75"/>
      <c r="AM263" s="75"/>
      <c r="AN263" s="75"/>
      <c r="AO263" s="75"/>
      <c r="AP263" s="75"/>
      <c r="AQ263" s="71"/>
      <c r="AR263" s="75"/>
      <c r="AS263" s="75"/>
      <c r="AT263" s="75"/>
      <c r="AU263" s="71"/>
      <c r="AV263" s="71"/>
      <c r="AW263" s="71"/>
      <c r="AX263" s="71"/>
      <c r="AY263" s="71"/>
      <c r="AZ263" s="71"/>
      <c r="BB263" s="71"/>
      <c r="BD263" s="24"/>
      <c r="BG263" s="24"/>
      <c r="BJ263" s="24"/>
    </row>
    <row r="264" spans="29:62" ht="15" customHeight="1" x14ac:dyDescent="0.2">
      <c r="AC264" s="237" t="str">
        <f t="shared" si="26"/>
        <v/>
      </c>
      <c r="AD264" s="237" t="str">
        <f t="shared" si="27"/>
        <v/>
      </c>
      <c r="AF264" s="151"/>
      <c r="AG264" s="75"/>
      <c r="AH264" s="75"/>
      <c r="AI264" s="75"/>
      <c r="AJ264" s="75"/>
      <c r="AK264" s="75"/>
      <c r="AL264" s="75"/>
      <c r="AM264" s="75"/>
      <c r="AN264" s="75"/>
      <c r="AO264" s="75"/>
      <c r="AP264" s="75"/>
      <c r="AQ264" s="71"/>
      <c r="AR264" s="75"/>
      <c r="AS264" s="75"/>
      <c r="AT264" s="75"/>
      <c r="AU264" s="71"/>
      <c r="AV264" s="71"/>
      <c r="AW264" s="71"/>
      <c r="AX264" s="71"/>
      <c r="AY264" s="71"/>
      <c r="AZ264" s="71"/>
      <c r="BB264" s="71"/>
      <c r="BD264" s="24"/>
      <c r="BG264" s="24"/>
      <c r="BJ264" s="24"/>
    </row>
    <row r="265" spans="29:62" ht="15" customHeight="1" x14ac:dyDescent="0.2">
      <c r="AC265" s="237" t="str">
        <f t="shared" si="26"/>
        <v/>
      </c>
      <c r="AD265" s="237" t="str">
        <f t="shared" si="27"/>
        <v/>
      </c>
      <c r="AF265" s="151"/>
      <c r="AG265" s="75"/>
      <c r="AH265" s="75"/>
      <c r="AI265" s="75"/>
      <c r="AJ265" s="75"/>
      <c r="AK265" s="75"/>
      <c r="AL265" s="75"/>
      <c r="AM265" s="75"/>
      <c r="AN265" s="75"/>
      <c r="AO265" s="75"/>
      <c r="AP265" s="75"/>
      <c r="AQ265" s="71"/>
      <c r="AR265" s="75"/>
      <c r="AS265" s="75"/>
      <c r="AT265" s="75"/>
      <c r="AU265" s="71"/>
      <c r="AV265" s="71"/>
      <c r="AW265" s="71"/>
      <c r="AX265" s="71"/>
      <c r="AY265" s="71"/>
      <c r="AZ265" s="71"/>
      <c r="BB265" s="71"/>
      <c r="BD265" s="24"/>
      <c r="BG265" s="24"/>
      <c r="BJ265" s="24"/>
    </row>
    <row r="266" spans="29:62" ht="15" customHeight="1" x14ac:dyDescent="0.2">
      <c r="AC266" s="237" t="str">
        <f t="shared" si="26"/>
        <v/>
      </c>
      <c r="AD266" s="237" t="str">
        <f t="shared" si="27"/>
        <v/>
      </c>
      <c r="AF266" s="151"/>
      <c r="AG266" s="75"/>
      <c r="AH266" s="75"/>
      <c r="AI266" s="75"/>
      <c r="AJ266" s="75"/>
      <c r="AK266" s="75"/>
      <c r="AL266" s="75"/>
      <c r="AM266" s="75"/>
      <c r="AN266" s="75"/>
      <c r="AO266" s="75"/>
      <c r="AP266" s="75"/>
      <c r="AQ266" s="71"/>
      <c r="AR266" s="75"/>
      <c r="AS266" s="75"/>
      <c r="AT266" s="75"/>
      <c r="AU266" s="71"/>
      <c r="AV266" s="71"/>
      <c r="AW266" s="71"/>
      <c r="AX266" s="71"/>
      <c r="AY266" s="71"/>
      <c r="AZ266" s="71"/>
      <c r="BB266" s="71"/>
      <c r="BD266" s="24"/>
      <c r="BG266" s="24"/>
      <c r="BJ266" s="24"/>
    </row>
    <row r="267" spans="29:62" ht="15" customHeight="1" x14ac:dyDescent="0.2">
      <c r="AC267" s="237" t="str">
        <f t="shared" si="26"/>
        <v/>
      </c>
      <c r="AD267" s="237" t="str">
        <f t="shared" si="27"/>
        <v/>
      </c>
      <c r="AF267" s="151"/>
      <c r="AG267" s="75"/>
      <c r="AH267" s="75"/>
      <c r="AI267" s="75"/>
      <c r="AJ267" s="75"/>
      <c r="AK267" s="75"/>
      <c r="AL267" s="75"/>
      <c r="AM267" s="75"/>
      <c r="AN267" s="75"/>
      <c r="AO267" s="75"/>
      <c r="AP267" s="75"/>
      <c r="AQ267" s="71"/>
      <c r="AR267" s="75"/>
      <c r="AS267" s="75"/>
      <c r="AT267" s="75"/>
      <c r="AU267" s="71"/>
      <c r="AV267" s="71"/>
      <c r="AW267" s="71"/>
      <c r="AX267" s="71"/>
      <c r="AY267" s="71"/>
      <c r="AZ267" s="71"/>
      <c r="BB267" s="71"/>
      <c r="BD267" s="24"/>
      <c r="BG267" s="24"/>
      <c r="BJ267" s="24"/>
    </row>
    <row r="268" spans="29:62" ht="15" customHeight="1" x14ac:dyDescent="0.2">
      <c r="AC268" s="237" t="str">
        <f t="shared" si="26"/>
        <v/>
      </c>
      <c r="AD268" s="237" t="str">
        <f t="shared" si="27"/>
        <v/>
      </c>
      <c r="AF268" s="151"/>
      <c r="AG268" s="75"/>
      <c r="AH268" s="75"/>
      <c r="AI268" s="75"/>
      <c r="AJ268" s="75"/>
      <c r="AK268" s="75"/>
      <c r="AL268" s="75"/>
      <c r="AM268" s="75"/>
      <c r="AN268" s="75"/>
      <c r="AO268" s="75"/>
      <c r="AP268" s="75"/>
      <c r="AQ268" s="71"/>
      <c r="AR268" s="75"/>
      <c r="AS268" s="75"/>
      <c r="AT268" s="75"/>
      <c r="AU268" s="71"/>
      <c r="AV268" s="71"/>
      <c r="AW268" s="71"/>
      <c r="AX268" s="71"/>
      <c r="AY268" s="71"/>
      <c r="AZ268" s="71"/>
      <c r="BB268" s="71"/>
      <c r="BD268" s="24"/>
      <c r="BG268" s="24"/>
      <c r="BJ268" s="24"/>
    </row>
    <row r="269" spans="29:62" ht="15" customHeight="1" x14ac:dyDescent="0.2">
      <c r="AC269" s="237" t="str">
        <f t="shared" si="26"/>
        <v/>
      </c>
      <c r="AD269" s="237" t="str">
        <f t="shared" si="27"/>
        <v/>
      </c>
      <c r="AF269" s="151"/>
      <c r="AG269" s="75"/>
      <c r="AH269" s="75"/>
      <c r="AI269" s="75"/>
      <c r="AJ269" s="75"/>
      <c r="AK269" s="75"/>
      <c r="AL269" s="75"/>
      <c r="AM269" s="75"/>
      <c r="AN269" s="75"/>
      <c r="AO269" s="75"/>
      <c r="AP269" s="75"/>
      <c r="AQ269" s="71"/>
      <c r="AR269" s="75"/>
      <c r="AS269" s="75"/>
      <c r="AT269" s="75"/>
      <c r="AU269" s="71"/>
      <c r="AV269" s="71"/>
      <c r="AW269" s="71"/>
      <c r="AX269" s="71"/>
      <c r="AY269" s="71"/>
      <c r="AZ269" s="71"/>
      <c r="BB269" s="71"/>
      <c r="BD269" s="24"/>
      <c r="BG269" s="24"/>
      <c r="BJ269" s="24"/>
    </row>
    <row r="270" spans="29:62" ht="15" customHeight="1" x14ac:dyDescent="0.2">
      <c r="AC270" s="237" t="str">
        <f t="shared" si="26"/>
        <v/>
      </c>
      <c r="AD270" s="237" t="str">
        <f t="shared" si="27"/>
        <v/>
      </c>
      <c r="AF270" s="151"/>
      <c r="AG270" s="75"/>
      <c r="AH270" s="75"/>
      <c r="AI270" s="75"/>
      <c r="AJ270" s="75"/>
      <c r="AK270" s="75"/>
      <c r="AL270" s="75"/>
      <c r="AM270" s="75"/>
      <c r="AN270" s="75"/>
      <c r="AO270" s="75"/>
      <c r="AP270" s="75"/>
      <c r="AQ270" s="71"/>
      <c r="AR270" s="75"/>
      <c r="AS270" s="75"/>
      <c r="AT270" s="75"/>
      <c r="AU270" s="71"/>
      <c r="AV270" s="71"/>
      <c r="AW270" s="71"/>
      <c r="AX270" s="71"/>
      <c r="AY270" s="71"/>
      <c r="AZ270" s="71"/>
      <c r="BB270" s="71"/>
      <c r="BD270" s="24"/>
      <c r="BG270" s="24"/>
      <c r="BJ270" s="24"/>
    </row>
    <row r="271" spans="29:62" ht="15" customHeight="1" x14ac:dyDescent="0.2">
      <c r="AC271" s="237" t="str">
        <f t="shared" si="26"/>
        <v/>
      </c>
      <c r="AD271" s="237" t="str">
        <f t="shared" si="27"/>
        <v/>
      </c>
      <c r="AF271" s="151"/>
      <c r="AG271" s="75"/>
      <c r="AH271" s="75"/>
      <c r="AI271" s="75"/>
      <c r="AJ271" s="75"/>
      <c r="AK271" s="75"/>
      <c r="AL271" s="75"/>
      <c r="AM271" s="75"/>
      <c r="AN271" s="75"/>
      <c r="AO271" s="75"/>
      <c r="AP271" s="75"/>
      <c r="AQ271" s="71"/>
      <c r="AR271" s="75"/>
      <c r="AS271" s="75"/>
      <c r="AT271" s="75"/>
      <c r="AU271" s="71"/>
      <c r="AV271" s="71"/>
      <c r="AW271" s="71"/>
      <c r="AX271" s="71"/>
      <c r="AY271" s="71"/>
      <c r="AZ271" s="71"/>
      <c r="BB271" s="71"/>
      <c r="BD271" s="24"/>
      <c r="BG271" s="24"/>
      <c r="BJ271" s="24"/>
    </row>
    <row r="272" spans="29:62" ht="15" customHeight="1" x14ac:dyDescent="0.2">
      <c r="AC272" s="237" t="str">
        <f t="shared" si="26"/>
        <v/>
      </c>
      <c r="AD272" s="237" t="str">
        <f t="shared" si="27"/>
        <v/>
      </c>
      <c r="AF272" s="151"/>
      <c r="AG272" s="75"/>
      <c r="AH272" s="75"/>
      <c r="AI272" s="75"/>
      <c r="AJ272" s="75"/>
      <c r="AK272" s="75"/>
      <c r="AL272" s="75"/>
      <c r="AM272" s="75"/>
      <c r="AN272" s="75"/>
      <c r="AO272" s="75"/>
      <c r="AP272" s="75"/>
      <c r="AQ272" s="71"/>
      <c r="AR272" s="75"/>
      <c r="AS272" s="75"/>
      <c r="AT272" s="75"/>
      <c r="AU272" s="71"/>
      <c r="AV272" s="71"/>
      <c r="AW272" s="71"/>
      <c r="AX272" s="71"/>
      <c r="AY272" s="71"/>
      <c r="AZ272" s="71"/>
      <c r="BB272" s="71"/>
      <c r="BD272" s="24"/>
      <c r="BG272" s="24"/>
      <c r="BJ272" s="24"/>
    </row>
    <row r="273" spans="29:62" ht="15" customHeight="1" x14ac:dyDescent="0.2">
      <c r="AC273" s="237" t="str">
        <f t="shared" si="26"/>
        <v/>
      </c>
      <c r="AD273" s="237" t="str">
        <f t="shared" si="27"/>
        <v/>
      </c>
      <c r="AF273" s="151"/>
      <c r="AG273" s="75"/>
      <c r="AH273" s="75"/>
      <c r="AI273" s="75"/>
      <c r="AJ273" s="75"/>
      <c r="AK273" s="75"/>
      <c r="AL273" s="75"/>
      <c r="AM273" s="75"/>
      <c r="AN273" s="75"/>
      <c r="AO273" s="75"/>
      <c r="AP273" s="75"/>
      <c r="AQ273" s="71"/>
      <c r="AR273" s="75"/>
      <c r="AS273" s="75"/>
      <c r="AT273" s="75"/>
      <c r="AU273" s="71"/>
      <c r="AV273" s="71"/>
      <c r="AW273" s="71"/>
      <c r="AX273" s="71"/>
      <c r="AY273" s="71"/>
      <c r="AZ273" s="71"/>
      <c r="BB273" s="71"/>
      <c r="BD273" s="24"/>
      <c r="BG273" s="24"/>
      <c r="BJ273" s="24"/>
    </row>
    <row r="274" spans="29:62" ht="15" customHeight="1" x14ac:dyDescent="0.2">
      <c r="AC274" s="237" t="str">
        <f t="shared" si="26"/>
        <v/>
      </c>
      <c r="AD274" s="237" t="str">
        <f t="shared" si="27"/>
        <v/>
      </c>
      <c r="AF274" s="151"/>
      <c r="AG274" s="75"/>
      <c r="AH274" s="75"/>
      <c r="AI274" s="75"/>
      <c r="AJ274" s="75"/>
      <c r="AK274" s="75"/>
      <c r="AL274" s="75"/>
      <c r="AM274" s="75"/>
      <c r="AN274" s="75"/>
      <c r="AO274" s="75"/>
      <c r="AP274" s="75"/>
      <c r="AQ274" s="71"/>
      <c r="AR274" s="75"/>
      <c r="AS274" s="75"/>
      <c r="AT274" s="75"/>
      <c r="AU274" s="71"/>
      <c r="AV274" s="71"/>
      <c r="AW274" s="71"/>
      <c r="AX274" s="71"/>
      <c r="AY274" s="71"/>
      <c r="AZ274" s="71"/>
      <c r="BB274" s="71"/>
      <c r="BD274" s="24"/>
      <c r="BG274" s="24"/>
      <c r="BJ274" s="24"/>
    </row>
    <row r="275" spans="29:62" ht="15" customHeight="1" x14ac:dyDescent="0.2">
      <c r="AC275" s="237" t="str">
        <f t="shared" si="26"/>
        <v/>
      </c>
      <c r="AD275" s="237" t="str">
        <f t="shared" si="27"/>
        <v/>
      </c>
      <c r="AF275" s="151"/>
      <c r="AG275" s="75"/>
      <c r="AH275" s="75"/>
      <c r="AI275" s="75"/>
      <c r="AJ275" s="75"/>
      <c r="AK275" s="75"/>
      <c r="AL275" s="75"/>
      <c r="AM275" s="75"/>
      <c r="AN275" s="75"/>
      <c r="AO275" s="75"/>
      <c r="AP275" s="75"/>
      <c r="AQ275" s="71"/>
      <c r="AR275" s="75"/>
      <c r="AS275" s="75"/>
      <c r="AT275" s="75"/>
      <c r="AU275" s="71"/>
      <c r="AV275" s="71"/>
      <c r="AW275" s="71"/>
      <c r="AX275" s="71"/>
      <c r="AY275" s="71"/>
      <c r="AZ275" s="71"/>
      <c r="BB275" s="71"/>
      <c r="BD275" s="24"/>
      <c r="BG275" s="24"/>
      <c r="BJ275" s="24"/>
    </row>
    <row r="276" spans="29:62" ht="15" customHeight="1" x14ac:dyDescent="0.2">
      <c r="AC276" s="237" t="str">
        <f t="shared" si="26"/>
        <v/>
      </c>
      <c r="AD276" s="237" t="str">
        <f t="shared" si="27"/>
        <v/>
      </c>
      <c r="AF276" s="151"/>
      <c r="AG276" s="75"/>
      <c r="AH276" s="75"/>
      <c r="AI276" s="75"/>
      <c r="AJ276" s="75"/>
      <c r="AK276" s="75"/>
      <c r="AL276" s="75"/>
      <c r="AM276" s="75"/>
      <c r="AN276" s="75"/>
      <c r="AO276" s="75"/>
      <c r="AP276" s="75"/>
      <c r="AQ276" s="71"/>
      <c r="AR276" s="75"/>
      <c r="AS276" s="75"/>
      <c r="AT276" s="75"/>
      <c r="AU276" s="71"/>
      <c r="AV276" s="71"/>
      <c r="AW276" s="71"/>
      <c r="AX276" s="71"/>
      <c r="AY276" s="71"/>
      <c r="AZ276" s="71"/>
      <c r="BB276" s="71"/>
      <c r="BD276" s="24"/>
      <c r="BG276" s="24"/>
      <c r="BJ276" s="24"/>
    </row>
    <row r="277" spans="29:62" ht="15" customHeight="1" x14ac:dyDescent="0.2">
      <c r="AC277" s="237" t="str">
        <f t="shared" si="26"/>
        <v/>
      </c>
      <c r="AD277" s="237" t="str">
        <f t="shared" si="27"/>
        <v/>
      </c>
      <c r="AF277" s="151"/>
      <c r="AG277" s="75"/>
      <c r="AH277" s="75"/>
      <c r="AI277" s="75"/>
      <c r="AJ277" s="75"/>
      <c r="AK277" s="75"/>
      <c r="AL277" s="75"/>
      <c r="AM277" s="75"/>
      <c r="AN277" s="75"/>
      <c r="AO277" s="75"/>
      <c r="AP277" s="75"/>
      <c r="AQ277" s="71"/>
      <c r="AR277" s="75"/>
      <c r="AS277" s="75"/>
      <c r="AT277" s="75"/>
      <c r="AU277" s="71"/>
      <c r="AV277" s="71"/>
      <c r="AW277" s="71"/>
      <c r="AX277" s="71"/>
      <c r="AY277" s="71"/>
      <c r="AZ277" s="71"/>
      <c r="BB277" s="71"/>
      <c r="BD277" s="24"/>
      <c r="BG277" s="24"/>
      <c r="BJ277" s="24"/>
    </row>
    <row r="278" spans="29:62" ht="15" customHeight="1" x14ac:dyDescent="0.2">
      <c r="AC278" s="237" t="str">
        <f t="shared" si="26"/>
        <v/>
      </c>
      <c r="AD278" s="237" t="str">
        <f t="shared" si="27"/>
        <v/>
      </c>
      <c r="AF278" s="151"/>
      <c r="AG278" s="75"/>
      <c r="AH278" s="75"/>
      <c r="AI278" s="75"/>
      <c r="AJ278" s="75"/>
      <c r="AK278" s="75"/>
      <c r="AL278" s="75"/>
      <c r="AM278" s="75"/>
      <c r="AN278" s="75"/>
      <c r="AO278" s="75"/>
      <c r="AP278" s="75"/>
      <c r="AQ278" s="71"/>
      <c r="AR278" s="75"/>
      <c r="AS278" s="75"/>
      <c r="AT278" s="75"/>
      <c r="AU278" s="71"/>
      <c r="AV278" s="71"/>
      <c r="AW278" s="71"/>
      <c r="AX278" s="71"/>
      <c r="AY278" s="71"/>
      <c r="AZ278" s="71"/>
      <c r="BB278" s="71"/>
      <c r="BD278" s="24"/>
      <c r="BG278" s="24"/>
      <c r="BJ278" s="24"/>
    </row>
    <row r="279" spans="29:62" ht="15" customHeight="1" x14ac:dyDescent="0.2">
      <c r="AC279" s="237" t="str">
        <f t="shared" si="26"/>
        <v/>
      </c>
      <c r="AD279" s="237" t="str">
        <f t="shared" si="27"/>
        <v/>
      </c>
      <c r="AF279" s="151"/>
      <c r="AG279" s="75"/>
      <c r="AH279" s="75"/>
      <c r="AI279" s="75"/>
      <c r="AJ279" s="75"/>
      <c r="AK279" s="75"/>
      <c r="AL279" s="75"/>
      <c r="AM279" s="75"/>
      <c r="AN279" s="75"/>
      <c r="AO279" s="75"/>
      <c r="AP279" s="75"/>
      <c r="AQ279" s="71"/>
      <c r="AR279" s="75"/>
      <c r="AS279" s="75"/>
      <c r="AT279" s="75"/>
      <c r="AU279" s="71"/>
      <c r="AV279" s="71"/>
      <c r="AW279" s="71"/>
      <c r="AX279" s="71"/>
      <c r="AY279" s="71"/>
      <c r="AZ279" s="71"/>
      <c r="BB279" s="71"/>
      <c r="BD279" s="24"/>
      <c r="BG279" s="24"/>
      <c r="BJ279" s="24"/>
    </row>
    <row r="280" spans="29:62" ht="15" customHeight="1" x14ac:dyDescent="0.2">
      <c r="AC280" s="237" t="str">
        <f t="shared" si="26"/>
        <v/>
      </c>
      <c r="AD280" s="237" t="str">
        <f t="shared" si="27"/>
        <v/>
      </c>
      <c r="AF280" s="151"/>
      <c r="AG280" s="75"/>
      <c r="AH280" s="75"/>
      <c r="AI280" s="75"/>
      <c r="AJ280" s="75"/>
      <c r="AK280" s="75"/>
      <c r="AL280" s="75"/>
      <c r="AM280" s="75"/>
      <c r="AN280" s="75"/>
      <c r="AO280" s="75"/>
      <c r="AP280" s="75"/>
      <c r="AQ280" s="71"/>
      <c r="AR280" s="75"/>
      <c r="AS280" s="75"/>
      <c r="AT280" s="75"/>
      <c r="AU280" s="71"/>
      <c r="AV280" s="71"/>
      <c r="AW280" s="71"/>
      <c r="AX280" s="71"/>
      <c r="AY280" s="71"/>
      <c r="AZ280" s="71"/>
      <c r="BB280" s="71"/>
      <c r="BD280" s="24"/>
      <c r="BG280" s="24"/>
      <c r="BJ280" s="24"/>
    </row>
    <row r="281" spans="29:62" ht="15" customHeight="1" x14ac:dyDescent="0.2">
      <c r="AC281" s="237" t="str">
        <f t="shared" si="26"/>
        <v/>
      </c>
      <c r="AD281" s="237" t="str">
        <f t="shared" si="27"/>
        <v/>
      </c>
      <c r="AF281" s="151"/>
      <c r="AG281" s="75"/>
      <c r="AH281" s="75"/>
      <c r="AI281" s="75"/>
      <c r="AJ281" s="75"/>
      <c r="AK281" s="75"/>
      <c r="AL281" s="75"/>
      <c r="AM281" s="75"/>
      <c r="AN281" s="75"/>
      <c r="AO281" s="75"/>
      <c r="AP281" s="75"/>
      <c r="AQ281" s="71"/>
      <c r="AR281" s="75"/>
      <c r="AS281" s="75"/>
      <c r="AT281" s="75"/>
      <c r="AU281" s="71"/>
      <c r="AV281" s="71"/>
      <c r="AW281" s="71"/>
      <c r="AX281" s="71"/>
      <c r="AY281" s="71"/>
      <c r="AZ281" s="71"/>
      <c r="BB281" s="71"/>
      <c r="BD281" s="24"/>
      <c r="BG281" s="24"/>
      <c r="BJ281" s="24"/>
    </row>
    <row r="282" spans="29:62" ht="15" customHeight="1" x14ac:dyDescent="0.2">
      <c r="AC282" s="237" t="str">
        <f t="shared" si="26"/>
        <v/>
      </c>
      <c r="AD282" s="237" t="str">
        <f t="shared" si="27"/>
        <v/>
      </c>
      <c r="AF282" s="151"/>
      <c r="AG282" s="75"/>
      <c r="AH282" s="75"/>
      <c r="AI282" s="75"/>
      <c r="AJ282" s="75"/>
      <c r="AK282" s="75"/>
      <c r="AL282" s="75"/>
      <c r="AM282" s="75"/>
      <c r="AN282" s="75"/>
      <c r="AO282" s="75"/>
      <c r="AP282" s="75"/>
      <c r="AQ282" s="71"/>
      <c r="AR282" s="75"/>
      <c r="AS282" s="75"/>
      <c r="AT282" s="75"/>
      <c r="AU282" s="71"/>
      <c r="AV282" s="71"/>
      <c r="AW282" s="71"/>
      <c r="AX282" s="71"/>
      <c r="AY282" s="71"/>
      <c r="AZ282" s="71"/>
      <c r="BB282" s="71"/>
      <c r="BD282" s="24"/>
      <c r="BG282" s="24"/>
      <c r="BJ282" s="24"/>
    </row>
    <row r="283" spans="29:62" ht="15" customHeight="1" x14ac:dyDescent="0.2">
      <c r="AC283" s="237" t="str">
        <f t="shared" si="26"/>
        <v/>
      </c>
      <c r="AD283" s="237" t="str">
        <f t="shared" si="27"/>
        <v/>
      </c>
      <c r="AF283" s="151"/>
      <c r="AG283" s="75"/>
      <c r="AH283" s="75"/>
      <c r="AI283" s="75"/>
      <c r="AJ283" s="75"/>
      <c r="AK283" s="75"/>
      <c r="AL283" s="75"/>
      <c r="AM283" s="75"/>
      <c r="AN283" s="75"/>
      <c r="AO283" s="75"/>
      <c r="AP283" s="75"/>
      <c r="AQ283" s="71"/>
      <c r="AR283" s="75"/>
      <c r="AS283" s="75"/>
      <c r="AT283" s="75"/>
      <c r="AU283" s="71"/>
      <c r="AV283" s="71"/>
      <c r="AW283" s="71"/>
      <c r="AX283" s="71"/>
      <c r="AY283" s="71"/>
      <c r="AZ283" s="71"/>
      <c r="BB283" s="71"/>
      <c r="BD283" s="24"/>
      <c r="BG283" s="24"/>
      <c r="BJ283" s="24"/>
    </row>
    <row r="284" spans="29:62" ht="15" customHeight="1" x14ac:dyDescent="0.2">
      <c r="AC284" s="237" t="str">
        <f t="shared" si="26"/>
        <v/>
      </c>
      <c r="AD284" s="237" t="str">
        <f t="shared" si="27"/>
        <v/>
      </c>
      <c r="AF284" s="151"/>
      <c r="AG284" s="75"/>
      <c r="AH284" s="75"/>
      <c r="AI284" s="75"/>
      <c r="AJ284" s="75"/>
      <c r="AK284" s="75"/>
      <c r="AL284" s="75"/>
      <c r="AM284" s="75"/>
      <c r="AN284" s="75"/>
      <c r="AO284" s="75"/>
      <c r="AP284" s="75"/>
      <c r="AQ284" s="71"/>
      <c r="AR284" s="75"/>
      <c r="AS284" s="75"/>
      <c r="AT284" s="75"/>
      <c r="AU284" s="71"/>
      <c r="AV284" s="71"/>
      <c r="AW284" s="71"/>
      <c r="AX284" s="71"/>
      <c r="AY284" s="71"/>
      <c r="AZ284" s="71"/>
      <c r="BB284" s="71"/>
      <c r="BD284" s="24"/>
      <c r="BG284" s="24"/>
      <c r="BJ284" s="24"/>
    </row>
    <row r="285" spans="29:62" ht="15" customHeight="1" x14ac:dyDescent="0.2">
      <c r="AC285" s="237" t="str">
        <f t="shared" si="26"/>
        <v/>
      </c>
      <c r="AD285" s="237" t="str">
        <f t="shared" si="27"/>
        <v/>
      </c>
      <c r="AF285" s="151"/>
      <c r="AG285" s="75"/>
      <c r="AH285" s="75"/>
      <c r="AI285" s="75"/>
      <c r="AJ285" s="75"/>
      <c r="AK285" s="75"/>
      <c r="AL285" s="75"/>
      <c r="AM285" s="75"/>
      <c r="AN285" s="75"/>
      <c r="AO285" s="75"/>
      <c r="AP285" s="75"/>
      <c r="AQ285" s="71"/>
      <c r="AR285" s="75"/>
      <c r="AS285" s="75"/>
      <c r="AT285" s="75"/>
      <c r="AU285" s="71"/>
      <c r="AV285" s="71"/>
      <c r="AW285" s="71"/>
      <c r="AX285" s="71"/>
      <c r="AY285" s="71"/>
      <c r="AZ285" s="71"/>
      <c r="BB285" s="71"/>
      <c r="BD285" s="24"/>
      <c r="BG285" s="24"/>
      <c r="BJ285" s="24"/>
    </row>
    <row r="286" spans="29:62" ht="15" customHeight="1" x14ac:dyDescent="0.2">
      <c r="AC286" s="237" t="str">
        <f t="shared" si="26"/>
        <v/>
      </c>
      <c r="AD286" s="237" t="str">
        <f t="shared" si="27"/>
        <v/>
      </c>
      <c r="AF286" s="151"/>
      <c r="AG286" s="75"/>
      <c r="AH286" s="75"/>
      <c r="AI286" s="75"/>
      <c r="AJ286" s="75"/>
      <c r="AK286" s="75"/>
      <c r="AL286" s="75"/>
      <c r="AM286" s="75"/>
      <c r="AN286" s="75"/>
      <c r="AO286" s="75"/>
      <c r="AP286" s="75"/>
      <c r="AQ286" s="71"/>
      <c r="AR286" s="75"/>
      <c r="AS286" s="75"/>
      <c r="AT286" s="75"/>
      <c r="AU286" s="71"/>
      <c r="AV286" s="71"/>
      <c r="AW286" s="71"/>
      <c r="AX286" s="71"/>
      <c r="AY286" s="71"/>
      <c r="AZ286" s="71"/>
      <c r="BB286" s="71"/>
      <c r="BD286" s="24"/>
      <c r="BG286" s="24"/>
      <c r="BJ286" s="24"/>
    </row>
    <row r="287" spans="29:62" ht="15" customHeight="1" x14ac:dyDescent="0.2">
      <c r="AC287" s="237" t="str">
        <f t="shared" si="26"/>
        <v/>
      </c>
      <c r="AD287" s="237" t="str">
        <f t="shared" si="27"/>
        <v/>
      </c>
      <c r="AF287" s="151"/>
      <c r="AG287" s="75"/>
      <c r="AH287" s="75"/>
      <c r="AI287" s="75"/>
      <c r="AJ287" s="75"/>
      <c r="AK287" s="75"/>
      <c r="AL287" s="75"/>
      <c r="AM287" s="75"/>
      <c r="AN287" s="75"/>
      <c r="AO287" s="75"/>
      <c r="AP287" s="75"/>
      <c r="AQ287" s="71"/>
      <c r="AR287" s="75"/>
      <c r="AS287" s="75"/>
      <c r="AT287" s="75"/>
      <c r="AU287" s="71"/>
      <c r="AV287" s="71"/>
      <c r="AW287" s="71"/>
      <c r="AX287" s="71"/>
      <c r="AY287" s="71"/>
      <c r="AZ287" s="71"/>
      <c r="BB287" s="71"/>
      <c r="BD287" s="24"/>
      <c r="BG287" s="24"/>
      <c r="BJ287" s="24"/>
    </row>
    <row r="288" spans="29:62" ht="15" customHeight="1" x14ac:dyDescent="0.2">
      <c r="AC288" s="237" t="str">
        <f t="shared" si="26"/>
        <v/>
      </c>
      <c r="AD288" s="237" t="str">
        <f t="shared" si="27"/>
        <v/>
      </c>
      <c r="AF288" s="151"/>
      <c r="AG288" s="75"/>
      <c r="AH288" s="75"/>
      <c r="AI288" s="75"/>
      <c r="AJ288" s="75"/>
      <c r="AK288" s="75"/>
      <c r="AL288" s="75"/>
      <c r="AM288" s="75"/>
      <c r="AN288" s="75"/>
      <c r="AO288" s="75"/>
      <c r="AP288" s="75"/>
      <c r="AQ288" s="71"/>
      <c r="AR288" s="75"/>
      <c r="AS288" s="75"/>
      <c r="AT288" s="75"/>
      <c r="AU288" s="71"/>
      <c r="AV288" s="71"/>
      <c r="AW288" s="71"/>
      <c r="AX288" s="71"/>
      <c r="AY288" s="71"/>
      <c r="AZ288" s="71"/>
      <c r="BB288" s="71"/>
      <c r="BD288" s="24"/>
      <c r="BG288" s="24"/>
      <c r="BJ288" s="24"/>
    </row>
    <row r="289" spans="29:62" ht="15" customHeight="1" x14ac:dyDescent="0.2">
      <c r="AC289" s="237" t="str">
        <f t="shared" si="26"/>
        <v/>
      </c>
      <c r="AD289" s="237" t="str">
        <f t="shared" si="27"/>
        <v/>
      </c>
      <c r="AF289" s="151"/>
      <c r="AG289" s="75"/>
      <c r="AH289" s="75"/>
      <c r="AI289" s="75"/>
      <c r="AJ289" s="75"/>
      <c r="AK289" s="75"/>
      <c r="AL289" s="75"/>
      <c r="AM289" s="75"/>
      <c r="AN289" s="75"/>
      <c r="AO289" s="75"/>
      <c r="AP289" s="75"/>
      <c r="AQ289" s="71"/>
      <c r="AR289" s="75"/>
      <c r="AS289" s="75"/>
      <c r="AT289" s="75"/>
      <c r="AU289" s="71"/>
      <c r="AV289" s="71"/>
      <c r="AW289" s="71"/>
      <c r="AX289" s="71"/>
      <c r="AY289" s="71"/>
      <c r="AZ289" s="71"/>
      <c r="BB289" s="71"/>
      <c r="BD289" s="24"/>
      <c r="BG289" s="24"/>
      <c r="BJ289" s="24"/>
    </row>
    <row r="290" spans="29:62" ht="15" customHeight="1" x14ac:dyDescent="0.2">
      <c r="AC290" s="237" t="str">
        <f t="shared" si="26"/>
        <v/>
      </c>
      <c r="AD290" s="237" t="str">
        <f t="shared" si="27"/>
        <v/>
      </c>
      <c r="AF290" s="151"/>
      <c r="AG290" s="75"/>
      <c r="AH290" s="75"/>
      <c r="AI290" s="75"/>
      <c r="AJ290" s="75"/>
      <c r="AK290" s="75"/>
      <c r="AL290" s="75"/>
      <c r="AM290" s="75"/>
      <c r="AN290" s="75"/>
      <c r="AO290" s="75"/>
      <c r="AP290" s="75"/>
      <c r="AQ290" s="71"/>
      <c r="AR290" s="75"/>
      <c r="AS290" s="75"/>
      <c r="AT290" s="75"/>
      <c r="AU290" s="71"/>
      <c r="AV290" s="71"/>
      <c r="AW290" s="71"/>
      <c r="AX290" s="71"/>
      <c r="AY290" s="71"/>
      <c r="AZ290" s="71"/>
      <c r="BB290" s="71"/>
      <c r="BD290" s="24"/>
      <c r="BG290" s="24"/>
      <c r="BJ290" s="24"/>
    </row>
    <row r="291" spans="29:62" ht="15" customHeight="1" x14ac:dyDescent="0.2">
      <c r="AC291" s="237" t="str">
        <f t="shared" si="26"/>
        <v/>
      </c>
      <c r="AD291" s="237" t="str">
        <f t="shared" si="27"/>
        <v/>
      </c>
      <c r="AF291" s="151"/>
      <c r="AG291" s="75"/>
      <c r="AH291" s="75"/>
      <c r="AI291" s="75"/>
      <c r="AJ291" s="75"/>
      <c r="AK291" s="75"/>
      <c r="AL291" s="75"/>
      <c r="AM291" s="75"/>
      <c r="AN291" s="75"/>
      <c r="AO291" s="75"/>
      <c r="AP291" s="75"/>
      <c r="AQ291" s="71"/>
      <c r="AR291" s="75"/>
      <c r="AS291" s="75"/>
      <c r="AT291" s="75"/>
      <c r="AU291" s="71"/>
      <c r="AV291" s="71"/>
      <c r="AW291" s="71"/>
      <c r="AX291" s="71"/>
      <c r="AY291" s="71"/>
      <c r="AZ291" s="71"/>
      <c r="BB291" s="71"/>
      <c r="BD291" s="24"/>
      <c r="BG291" s="24"/>
      <c r="BJ291" s="24"/>
    </row>
    <row r="292" spans="29:62" ht="15" customHeight="1" x14ac:dyDescent="0.2">
      <c r="AC292" s="237" t="str">
        <f t="shared" si="26"/>
        <v/>
      </c>
      <c r="AD292" s="237" t="str">
        <f t="shared" si="27"/>
        <v/>
      </c>
      <c r="AF292" s="151"/>
      <c r="AG292" s="75"/>
      <c r="AH292" s="75"/>
      <c r="AI292" s="75"/>
      <c r="AJ292" s="75"/>
      <c r="AK292" s="75"/>
      <c r="AL292" s="75"/>
      <c r="AM292" s="75"/>
      <c r="AN292" s="75"/>
      <c r="AO292" s="75"/>
      <c r="AP292" s="75"/>
      <c r="AQ292" s="71"/>
      <c r="AR292" s="75"/>
      <c r="AS292" s="75"/>
      <c r="AT292" s="75"/>
      <c r="AU292" s="71"/>
      <c r="AV292" s="71"/>
      <c r="AW292" s="71"/>
      <c r="AX292" s="71"/>
      <c r="AY292" s="71"/>
      <c r="AZ292" s="71"/>
      <c r="BB292" s="71"/>
      <c r="BD292" s="24"/>
      <c r="BG292" s="24"/>
      <c r="BJ292" s="24"/>
    </row>
    <row r="293" spans="29:62" ht="15" customHeight="1" x14ac:dyDescent="0.2">
      <c r="AC293" s="237" t="str">
        <f t="shared" si="26"/>
        <v/>
      </c>
      <c r="AD293" s="237" t="str">
        <f t="shared" si="27"/>
        <v/>
      </c>
      <c r="AF293" s="151"/>
      <c r="AG293" s="75"/>
      <c r="AH293" s="75"/>
      <c r="AI293" s="75"/>
      <c r="AJ293" s="75"/>
      <c r="AK293" s="75"/>
      <c r="AL293" s="75"/>
      <c r="AM293" s="75"/>
      <c r="AN293" s="75"/>
      <c r="AO293" s="75"/>
      <c r="AP293" s="75"/>
      <c r="AQ293" s="71"/>
      <c r="AR293" s="75"/>
      <c r="AS293" s="75"/>
      <c r="AT293" s="75"/>
      <c r="AU293" s="71"/>
      <c r="AV293" s="71"/>
      <c r="AW293" s="71"/>
      <c r="AX293" s="71"/>
      <c r="AY293" s="71"/>
      <c r="AZ293" s="71"/>
      <c r="BB293" s="71"/>
      <c r="BD293" s="24"/>
      <c r="BG293" s="24"/>
      <c r="BJ293" s="24"/>
    </row>
    <row r="294" spans="29:62" ht="15" customHeight="1" x14ac:dyDescent="0.2">
      <c r="AC294" s="237" t="str">
        <f t="shared" si="26"/>
        <v/>
      </c>
      <c r="AD294" s="237" t="str">
        <f t="shared" si="27"/>
        <v/>
      </c>
      <c r="AF294" s="151"/>
      <c r="AG294" s="75"/>
      <c r="AH294" s="75"/>
      <c r="AI294" s="75"/>
      <c r="AJ294" s="75"/>
      <c r="AK294" s="75"/>
      <c r="AL294" s="75"/>
      <c r="AM294" s="75"/>
      <c r="AN294" s="75"/>
      <c r="AO294" s="75"/>
      <c r="AP294" s="75"/>
      <c r="AQ294" s="71"/>
      <c r="AR294" s="75"/>
      <c r="AS294" s="75"/>
      <c r="AT294" s="75"/>
      <c r="AU294" s="71"/>
      <c r="AV294" s="71"/>
      <c r="AW294" s="71"/>
      <c r="AX294" s="71"/>
      <c r="AY294" s="71"/>
      <c r="AZ294" s="71"/>
      <c r="BB294" s="71"/>
      <c r="BD294" s="24"/>
      <c r="BG294" s="24"/>
      <c r="BJ294" s="24"/>
    </row>
    <row r="295" spans="29:62" ht="15" customHeight="1" x14ac:dyDescent="0.2">
      <c r="AC295" s="237" t="str">
        <f t="shared" si="26"/>
        <v/>
      </c>
      <c r="AD295" s="237" t="str">
        <f t="shared" si="27"/>
        <v/>
      </c>
      <c r="AF295" s="151"/>
      <c r="AG295" s="75"/>
      <c r="AH295" s="75"/>
      <c r="AI295" s="75"/>
      <c r="AJ295" s="75"/>
      <c r="AK295" s="75"/>
      <c r="AL295" s="75"/>
      <c r="AM295" s="75"/>
      <c r="AN295" s="75"/>
      <c r="AO295" s="75"/>
      <c r="AP295" s="75"/>
      <c r="AQ295" s="71"/>
      <c r="AR295" s="75"/>
      <c r="AS295" s="75"/>
      <c r="AT295" s="75"/>
      <c r="AU295" s="71"/>
      <c r="AV295" s="71"/>
      <c r="AW295" s="71"/>
      <c r="AX295" s="71"/>
      <c r="AY295" s="71"/>
      <c r="AZ295" s="71"/>
      <c r="BB295" s="71"/>
      <c r="BD295" s="24"/>
      <c r="BG295" s="24"/>
      <c r="BJ295" s="24"/>
    </row>
    <row r="296" spans="29:62" ht="15" customHeight="1" x14ac:dyDescent="0.2">
      <c r="AC296" s="237" t="str">
        <f t="shared" si="26"/>
        <v/>
      </c>
      <c r="AD296" s="237" t="str">
        <f t="shared" si="27"/>
        <v/>
      </c>
      <c r="AF296" s="151"/>
      <c r="AG296" s="75"/>
      <c r="AH296" s="75"/>
      <c r="AI296" s="75"/>
      <c r="AJ296" s="75"/>
      <c r="AK296" s="75"/>
      <c r="AL296" s="75"/>
      <c r="AM296" s="75"/>
      <c r="AN296" s="75"/>
      <c r="AO296" s="75"/>
      <c r="AP296" s="75"/>
      <c r="AQ296" s="71"/>
      <c r="AR296" s="75"/>
      <c r="AS296" s="75"/>
      <c r="AT296" s="75"/>
      <c r="AU296" s="71"/>
      <c r="AV296" s="71"/>
      <c r="AW296" s="71"/>
      <c r="AX296" s="71"/>
      <c r="AY296" s="71"/>
      <c r="AZ296" s="71"/>
      <c r="BB296" s="71"/>
      <c r="BD296" s="24"/>
      <c r="BG296" s="24"/>
      <c r="BJ296" s="24"/>
    </row>
    <row r="297" spans="29:62" ht="15" customHeight="1" x14ac:dyDescent="0.2">
      <c r="AC297" s="237" t="str">
        <f t="shared" si="26"/>
        <v/>
      </c>
      <c r="AD297" s="237" t="str">
        <f t="shared" si="27"/>
        <v/>
      </c>
      <c r="AF297" s="151"/>
      <c r="AG297" s="75"/>
      <c r="AH297" s="75"/>
      <c r="AI297" s="75"/>
      <c r="AJ297" s="75"/>
      <c r="AK297" s="75"/>
      <c r="AL297" s="75"/>
      <c r="AM297" s="75"/>
      <c r="AN297" s="75"/>
      <c r="AO297" s="75"/>
      <c r="AP297" s="75"/>
      <c r="AQ297" s="71"/>
      <c r="AR297" s="75"/>
      <c r="AS297" s="75"/>
      <c r="AT297" s="75"/>
      <c r="AU297" s="71"/>
      <c r="AV297" s="71"/>
      <c r="AW297" s="71"/>
      <c r="AX297" s="71"/>
      <c r="AY297" s="71"/>
      <c r="AZ297" s="71"/>
      <c r="BB297" s="71"/>
      <c r="BD297" s="24"/>
      <c r="BG297" s="24"/>
      <c r="BJ297" s="24"/>
    </row>
    <row r="298" spans="29:62" ht="15" customHeight="1" x14ac:dyDescent="0.2">
      <c r="AC298" s="237" t="str">
        <f t="shared" si="26"/>
        <v/>
      </c>
      <c r="AD298" s="237" t="str">
        <f t="shared" si="27"/>
        <v/>
      </c>
      <c r="AF298" s="151"/>
      <c r="AG298" s="75"/>
      <c r="AH298" s="75"/>
      <c r="AI298" s="75"/>
      <c r="AJ298" s="75"/>
      <c r="AK298" s="75"/>
      <c r="AL298" s="75"/>
      <c r="AM298" s="75"/>
      <c r="AN298" s="75"/>
      <c r="AO298" s="75"/>
      <c r="AP298" s="75"/>
      <c r="AQ298" s="71"/>
      <c r="AR298" s="75"/>
      <c r="AS298" s="75"/>
      <c r="AT298" s="75"/>
      <c r="AU298" s="71"/>
      <c r="AV298" s="71"/>
      <c r="AW298" s="71"/>
      <c r="AX298" s="71"/>
      <c r="AY298" s="71"/>
      <c r="AZ298" s="71"/>
      <c r="BB298" s="71"/>
      <c r="BD298" s="24"/>
      <c r="BG298" s="24"/>
      <c r="BJ298" s="24"/>
    </row>
    <row r="299" spans="29:62" ht="15" customHeight="1" x14ac:dyDescent="0.2">
      <c r="AC299" s="237" t="str">
        <f t="shared" si="26"/>
        <v/>
      </c>
      <c r="AD299" s="237" t="str">
        <f t="shared" si="27"/>
        <v/>
      </c>
      <c r="AF299" s="151"/>
      <c r="AG299" s="75"/>
      <c r="AH299" s="75"/>
      <c r="AI299" s="75"/>
      <c r="AJ299" s="75"/>
      <c r="AK299" s="75"/>
      <c r="AL299" s="75"/>
      <c r="AM299" s="75"/>
      <c r="AN299" s="75"/>
      <c r="AO299" s="75"/>
      <c r="AP299" s="75"/>
      <c r="AQ299" s="71"/>
      <c r="AR299" s="75"/>
      <c r="AS299" s="75"/>
      <c r="AT299" s="75"/>
      <c r="AU299" s="71"/>
      <c r="AV299" s="71"/>
      <c r="AW299" s="71"/>
      <c r="AX299" s="71"/>
      <c r="AY299" s="71"/>
      <c r="AZ299" s="71"/>
      <c r="BB299" s="71"/>
      <c r="BD299" s="24"/>
      <c r="BG299" s="24"/>
      <c r="BJ299" s="24"/>
    </row>
    <row r="300" spans="29:62" ht="15" customHeight="1" x14ac:dyDescent="0.2">
      <c r="AC300" s="237" t="str">
        <f t="shared" si="26"/>
        <v/>
      </c>
      <c r="AD300" s="237" t="str">
        <f t="shared" si="27"/>
        <v/>
      </c>
      <c r="AF300" s="151"/>
      <c r="AG300" s="75"/>
      <c r="AH300" s="75"/>
      <c r="AI300" s="75"/>
      <c r="AJ300" s="75"/>
      <c r="AK300" s="75"/>
      <c r="AL300" s="75"/>
      <c r="AM300" s="75"/>
      <c r="AN300" s="75"/>
      <c r="AO300" s="75"/>
      <c r="AP300" s="75"/>
      <c r="AQ300" s="71"/>
      <c r="AR300" s="75"/>
      <c r="AS300" s="75"/>
      <c r="AT300" s="75"/>
      <c r="AU300" s="71"/>
      <c r="AV300" s="71"/>
      <c r="AW300" s="71"/>
      <c r="AX300" s="71"/>
      <c r="AY300" s="71"/>
      <c r="AZ300" s="71"/>
      <c r="BB300" s="71"/>
      <c r="BD300" s="24"/>
      <c r="BG300" s="24"/>
      <c r="BJ300" s="24"/>
    </row>
    <row r="301" spans="29:62" ht="15" customHeight="1" x14ac:dyDescent="0.2">
      <c r="AC301" s="237" t="str">
        <f t="shared" si="26"/>
        <v/>
      </c>
      <c r="AD301" s="237" t="str">
        <f t="shared" si="27"/>
        <v/>
      </c>
      <c r="AF301" s="151"/>
      <c r="AG301" s="75"/>
      <c r="AH301" s="75"/>
      <c r="AI301" s="75"/>
      <c r="AJ301" s="75"/>
      <c r="AK301" s="75"/>
      <c r="AL301" s="75"/>
      <c r="AM301" s="75"/>
      <c r="AN301" s="75"/>
      <c r="AO301" s="75"/>
      <c r="AP301" s="75"/>
      <c r="AQ301" s="71"/>
      <c r="AR301" s="75"/>
      <c r="AS301" s="75"/>
      <c r="AT301" s="75"/>
      <c r="AU301" s="71"/>
      <c r="AV301" s="71"/>
      <c r="AW301" s="71"/>
      <c r="AX301" s="71"/>
      <c r="AY301" s="71"/>
      <c r="AZ301" s="71"/>
      <c r="BB301" s="71"/>
      <c r="BD301" s="24"/>
      <c r="BG301" s="24"/>
      <c r="BJ301" s="24"/>
    </row>
    <row r="302" spans="29:62" ht="15" customHeight="1" x14ac:dyDescent="0.2">
      <c r="AC302" s="237" t="str">
        <f t="shared" si="26"/>
        <v/>
      </c>
      <c r="AD302" s="237" t="str">
        <f t="shared" si="27"/>
        <v/>
      </c>
      <c r="AF302" s="151"/>
      <c r="AG302" s="75"/>
      <c r="AH302" s="75"/>
      <c r="AI302" s="75"/>
      <c r="AJ302" s="75"/>
      <c r="AK302" s="75"/>
      <c r="AL302" s="75"/>
      <c r="AM302" s="75"/>
      <c r="AN302" s="75"/>
      <c r="AO302" s="75"/>
      <c r="AP302" s="75"/>
      <c r="AQ302" s="71"/>
      <c r="AR302" s="75"/>
      <c r="AS302" s="75"/>
      <c r="AT302" s="75"/>
      <c r="AU302" s="71"/>
      <c r="AV302" s="71"/>
      <c r="AW302" s="71"/>
      <c r="AX302" s="71"/>
      <c r="AY302" s="71"/>
      <c r="AZ302" s="71"/>
      <c r="BB302" s="71"/>
      <c r="BD302" s="24"/>
      <c r="BG302" s="24"/>
      <c r="BJ302" s="24"/>
    </row>
    <row r="303" spans="29:62" ht="15" customHeight="1" x14ac:dyDescent="0.2">
      <c r="AC303" s="237" t="str">
        <f t="shared" si="26"/>
        <v/>
      </c>
      <c r="AD303" s="237" t="str">
        <f t="shared" si="27"/>
        <v/>
      </c>
      <c r="AF303" s="151"/>
      <c r="AG303" s="75"/>
      <c r="AH303" s="75"/>
      <c r="AI303" s="75"/>
      <c r="AJ303" s="75"/>
      <c r="AK303" s="75"/>
      <c r="AL303" s="75"/>
      <c r="AM303" s="75"/>
      <c r="AN303" s="75"/>
      <c r="AO303" s="75"/>
      <c r="AP303" s="75"/>
      <c r="AQ303" s="71"/>
      <c r="AR303" s="75"/>
      <c r="AS303" s="75"/>
      <c r="AT303" s="75"/>
      <c r="AU303" s="71"/>
      <c r="AV303" s="71"/>
      <c r="AW303" s="71"/>
      <c r="AX303" s="71"/>
      <c r="AY303" s="71"/>
      <c r="AZ303" s="71"/>
      <c r="BB303" s="71"/>
      <c r="BD303" s="24"/>
      <c r="BG303" s="24"/>
      <c r="BJ303" s="24"/>
    </row>
    <row r="304" spans="29:62" ht="15" customHeight="1" x14ac:dyDescent="0.2">
      <c r="AC304" s="237" t="str">
        <f t="shared" si="26"/>
        <v/>
      </c>
      <c r="AD304" s="237" t="str">
        <f t="shared" si="27"/>
        <v/>
      </c>
      <c r="AF304" s="151"/>
      <c r="AG304" s="75"/>
      <c r="AH304" s="75"/>
      <c r="AI304" s="75"/>
      <c r="AJ304" s="75"/>
      <c r="AK304" s="75"/>
      <c r="AL304" s="75"/>
      <c r="AM304" s="75"/>
      <c r="AN304" s="75"/>
      <c r="AO304" s="75"/>
      <c r="AP304" s="75"/>
      <c r="AQ304" s="71"/>
      <c r="AR304" s="75"/>
      <c r="AS304" s="75"/>
      <c r="AT304" s="75"/>
      <c r="AU304" s="71"/>
      <c r="AV304" s="71"/>
      <c r="AW304" s="71"/>
      <c r="AX304" s="71"/>
      <c r="AY304" s="71"/>
      <c r="AZ304" s="71"/>
      <c r="BB304" s="71"/>
      <c r="BD304" s="24"/>
      <c r="BG304" s="24"/>
      <c r="BJ304" s="24"/>
    </row>
    <row r="305" spans="29:62" ht="15" customHeight="1" x14ac:dyDescent="0.2">
      <c r="AC305" s="237" t="str">
        <f t="shared" si="26"/>
        <v/>
      </c>
      <c r="AD305" s="237" t="str">
        <f t="shared" si="27"/>
        <v/>
      </c>
      <c r="AF305" s="151"/>
      <c r="AG305" s="75"/>
      <c r="AH305" s="75"/>
      <c r="AI305" s="75"/>
      <c r="AJ305" s="75"/>
      <c r="AK305" s="75"/>
      <c r="AL305" s="75"/>
      <c r="AM305" s="75"/>
      <c r="AN305" s="75"/>
      <c r="AO305" s="75"/>
      <c r="AP305" s="75"/>
      <c r="AQ305" s="71"/>
      <c r="AR305" s="75"/>
      <c r="AS305" s="75"/>
      <c r="AT305" s="75"/>
      <c r="AU305" s="71"/>
      <c r="AV305" s="71"/>
      <c r="AW305" s="71"/>
      <c r="AX305" s="71"/>
      <c r="AY305" s="71"/>
      <c r="AZ305" s="71"/>
      <c r="BB305" s="71"/>
      <c r="BD305" s="24"/>
      <c r="BG305" s="24"/>
      <c r="BJ305" s="24"/>
    </row>
    <row r="306" spans="29:62" ht="15" customHeight="1" x14ac:dyDescent="0.2">
      <c r="AC306" s="237" t="str">
        <f t="shared" si="26"/>
        <v/>
      </c>
      <c r="AD306" s="237" t="str">
        <f t="shared" si="27"/>
        <v/>
      </c>
      <c r="AF306" s="151"/>
      <c r="AG306" s="75"/>
      <c r="AH306" s="75"/>
      <c r="AI306" s="75"/>
      <c r="AJ306" s="75"/>
      <c r="AK306" s="75"/>
      <c r="AL306" s="75"/>
      <c r="AM306" s="75"/>
      <c r="AN306" s="75"/>
      <c r="AO306" s="75"/>
      <c r="AP306" s="75"/>
      <c r="AQ306" s="71"/>
      <c r="AR306" s="75"/>
      <c r="AS306" s="75"/>
      <c r="AT306" s="75"/>
      <c r="AU306" s="71"/>
      <c r="AV306" s="71"/>
      <c r="AW306" s="71"/>
      <c r="AX306" s="71"/>
      <c r="AY306" s="71"/>
      <c r="AZ306" s="71"/>
      <c r="BB306" s="71"/>
      <c r="BD306" s="24"/>
      <c r="BG306" s="24"/>
      <c r="BJ306" s="24"/>
    </row>
    <row r="307" spans="29:62" ht="15" customHeight="1" x14ac:dyDescent="0.2">
      <c r="AC307" s="237" t="str">
        <f t="shared" si="26"/>
        <v/>
      </c>
      <c r="AD307" s="237" t="str">
        <f t="shared" si="27"/>
        <v/>
      </c>
      <c r="AF307" s="151"/>
      <c r="AG307" s="75"/>
      <c r="AH307" s="75"/>
      <c r="AI307" s="75"/>
      <c r="AJ307" s="75"/>
      <c r="AK307" s="75"/>
      <c r="AL307" s="75"/>
      <c r="AM307" s="75"/>
      <c r="AN307" s="75"/>
      <c r="AO307" s="75"/>
      <c r="AP307" s="75"/>
      <c r="AQ307" s="71"/>
      <c r="AR307" s="75"/>
      <c r="AS307" s="75"/>
      <c r="AT307" s="75"/>
      <c r="AU307" s="71"/>
      <c r="AV307" s="71"/>
      <c r="AW307" s="71"/>
      <c r="AX307" s="71"/>
      <c r="AY307" s="71"/>
      <c r="AZ307" s="71"/>
      <c r="BB307" s="71"/>
      <c r="BD307" s="24"/>
      <c r="BG307" s="24"/>
      <c r="BJ307" s="24"/>
    </row>
    <row r="308" spans="29:62" ht="15" customHeight="1" x14ac:dyDescent="0.2">
      <c r="AC308" s="237" t="str">
        <f t="shared" si="26"/>
        <v/>
      </c>
      <c r="AD308" s="237" t="str">
        <f t="shared" si="27"/>
        <v/>
      </c>
      <c r="AF308" s="151"/>
      <c r="AG308" s="75"/>
      <c r="AH308" s="75"/>
      <c r="AI308" s="75"/>
      <c r="AJ308" s="75"/>
      <c r="AK308" s="75"/>
      <c r="AL308" s="75"/>
      <c r="AM308" s="75"/>
      <c r="AN308" s="75"/>
      <c r="AO308" s="75"/>
      <c r="AP308" s="75"/>
      <c r="AQ308" s="71"/>
      <c r="AR308" s="75"/>
      <c r="AS308" s="75"/>
      <c r="AT308" s="75"/>
      <c r="AU308" s="71"/>
      <c r="AV308" s="71"/>
      <c r="AW308" s="71"/>
      <c r="AX308" s="71"/>
      <c r="AY308" s="71"/>
      <c r="AZ308" s="71"/>
      <c r="BB308" s="71"/>
      <c r="BD308" s="24"/>
      <c r="BG308" s="24"/>
      <c r="BJ308" s="24"/>
    </row>
    <row r="309" spans="29:62" ht="15" customHeight="1" x14ac:dyDescent="0.2">
      <c r="AC309" s="237" t="str">
        <f t="shared" si="26"/>
        <v/>
      </c>
      <c r="AD309" s="237" t="str">
        <f t="shared" si="27"/>
        <v/>
      </c>
      <c r="AF309" s="151"/>
      <c r="AG309" s="75"/>
      <c r="AH309" s="75"/>
      <c r="AI309" s="75"/>
      <c r="AJ309" s="75"/>
      <c r="AK309" s="75"/>
      <c r="AL309" s="75"/>
      <c r="AM309" s="75"/>
      <c r="AN309" s="75"/>
      <c r="AO309" s="75"/>
      <c r="AP309" s="75"/>
      <c r="AQ309" s="71"/>
      <c r="AR309" s="75"/>
      <c r="AS309" s="75"/>
      <c r="AT309" s="75"/>
      <c r="AU309" s="71"/>
      <c r="AV309" s="71"/>
      <c r="AW309" s="71"/>
      <c r="AX309" s="71"/>
      <c r="AY309" s="71"/>
      <c r="AZ309" s="71"/>
      <c r="BB309" s="71"/>
      <c r="BD309" s="24"/>
      <c r="BG309" s="24"/>
      <c r="BJ309" s="24"/>
    </row>
    <row r="310" spans="29:62" ht="15" customHeight="1" x14ac:dyDescent="0.2">
      <c r="AC310" s="237" t="str">
        <f t="shared" si="26"/>
        <v/>
      </c>
      <c r="AD310" s="237" t="str">
        <f t="shared" si="27"/>
        <v/>
      </c>
      <c r="AF310" s="151"/>
      <c r="AG310" s="75"/>
      <c r="AH310" s="75"/>
      <c r="AI310" s="75"/>
      <c r="AJ310" s="75"/>
      <c r="AK310" s="75"/>
      <c r="AL310" s="75"/>
      <c r="AM310" s="75"/>
      <c r="AN310" s="75"/>
      <c r="AO310" s="75"/>
      <c r="AP310" s="75"/>
      <c r="AQ310" s="71"/>
      <c r="AR310" s="75"/>
      <c r="AS310" s="75"/>
      <c r="AT310" s="75"/>
      <c r="AU310" s="71"/>
      <c r="AV310" s="71"/>
      <c r="AW310" s="71"/>
      <c r="AX310" s="71"/>
      <c r="AY310" s="71"/>
      <c r="AZ310" s="71"/>
      <c r="BB310" s="71"/>
      <c r="BD310" s="24"/>
      <c r="BG310" s="24"/>
      <c r="BJ310" s="24"/>
    </row>
    <row r="311" spans="29:62" ht="15" customHeight="1" x14ac:dyDescent="0.2">
      <c r="AC311" s="237" t="str">
        <f t="shared" si="26"/>
        <v/>
      </c>
      <c r="AD311" s="237" t="str">
        <f t="shared" si="27"/>
        <v/>
      </c>
      <c r="AF311" s="151"/>
      <c r="AG311" s="75"/>
      <c r="AH311" s="75"/>
      <c r="AI311" s="75"/>
      <c r="AJ311" s="75"/>
      <c r="AK311" s="75"/>
      <c r="AL311" s="75"/>
      <c r="AM311" s="75"/>
      <c r="AN311" s="75"/>
      <c r="AO311" s="75"/>
      <c r="AP311" s="75"/>
      <c r="AQ311" s="71"/>
      <c r="AR311" s="75"/>
      <c r="AS311" s="75"/>
      <c r="AT311" s="75"/>
      <c r="AU311" s="71"/>
      <c r="AV311" s="71"/>
      <c r="AW311" s="71"/>
      <c r="AX311" s="71"/>
      <c r="AY311" s="71"/>
      <c r="AZ311" s="71"/>
      <c r="BB311" s="71"/>
      <c r="BD311" s="24"/>
      <c r="BG311" s="24"/>
      <c r="BJ311" s="24"/>
    </row>
    <row r="312" spans="29:62" ht="15" customHeight="1" x14ac:dyDescent="0.2">
      <c r="AC312" s="237" t="str">
        <f t="shared" si="26"/>
        <v/>
      </c>
      <c r="AD312" s="237" t="str">
        <f t="shared" si="27"/>
        <v/>
      </c>
      <c r="AF312" s="151"/>
      <c r="AG312" s="75"/>
      <c r="AH312" s="75"/>
      <c r="AI312" s="75"/>
      <c r="AJ312" s="75"/>
      <c r="AK312" s="75"/>
      <c r="AL312" s="75"/>
      <c r="AM312" s="75"/>
      <c r="AN312" s="75"/>
      <c r="AO312" s="75"/>
      <c r="AP312" s="75"/>
      <c r="AQ312" s="71"/>
      <c r="AR312" s="75"/>
      <c r="AS312" s="75"/>
      <c r="AT312" s="75"/>
      <c r="AU312" s="71"/>
      <c r="AV312" s="71"/>
      <c r="AW312" s="71"/>
      <c r="AX312" s="71"/>
      <c r="AY312" s="71"/>
      <c r="AZ312" s="71"/>
      <c r="BB312" s="71"/>
      <c r="BD312" s="24"/>
      <c r="BG312" s="24"/>
      <c r="BJ312" s="24"/>
    </row>
    <row r="313" spans="29:62" ht="15" customHeight="1" x14ac:dyDescent="0.2">
      <c r="AC313" s="237" t="str">
        <f t="shared" si="26"/>
        <v/>
      </c>
      <c r="AD313" s="237" t="str">
        <f t="shared" si="27"/>
        <v/>
      </c>
      <c r="AF313" s="151"/>
      <c r="AG313" s="75"/>
      <c r="AH313" s="75"/>
      <c r="AI313" s="75"/>
      <c r="AJ313" s="75"/>
      <c r="AK313" s="75"/>
      <c r="AL313" s="75"/>
      <c r="AM313" s="75"/>
      <c r="AN313" s="75"/>
      <c r="AO313" s="75"/>
      <c r="AP313" s="75"/>
      <c r="AQ313" s="71"/>
      <c r="AR313" s="75"/>
      <c r="AS313" s="75"/>
      <c r="AT313" s="75"/>
      <c r="AU313" s="71"/>
      <c r="AV313" s="71"/>
      <c r="AW313" s="71"/>
      <c r="AX313" s="71"/>
      <c r="AY313" s="71"/>
      <c r="AZ313" s="71"/>
      <c r="BB313" s="71"/>
      <c r="BD313" s="24"/>
      <c r="BG313" s="24"/>
      <c r="BJ313" s="24"/>
    </row>
    <row r="314" spans="29:62" ht="15" customHeight="1" x14ac:dyDescent="0.2">
      <c r="AC314" s="237" t="str">
        <f t="shared" si="26"/>
        <v/>
      </c>
      <c r="AD314" s="237" t="str">
        <f t="shared" si="27"/>
        <v/>
      </c>
      <c r="AF314" s="151"/>
      <c r="AG314" s="75"/>
      <c r="AH314" s="75"/>
      <c r="AI314" s="75"/>
      <c r="AJ314" s="75"/>
      <c r="AK314" s="75"/>
      <c r="AL314" s="75"/>
      <c r="AM314" s="75"/>
      <c r="AN314" s="75"/>
      <c r="AO314" s="75"/>
      <c r="AP314" s="75"/>
      <c r="AQ314" s="71"/>
      <c r="AR314" s="75"/>
      <c r="AS314" s="75"/>
      <c r="AT314" s="75"/>
      <c r="AU314" s="71"/>
      <c r="AV314" s="71"/>
      <c r="AW314" s="71"/>
      <c r="AX314" s="71"/>
      <c r="AY314" s="71"/>
      <c r="AZ314" s="71"/>
      <c r="BB314" s="71"/>
      <c r="BD314" s="24"/>
      <c r="BG314" s="24"/>
      <c r="BJ314" s="24"/>
    </row>
    <row r="315" spans="29:62" ht="15" customHeight="1" x14ac:dyDescent="0.2">
      <c r="AC315" s="237" t="str">
        <f t="shared" si="26"/>
        <v/>
      </c>
      <c r="AD315" s="237" t="str">
        <f t="shared" si="27"/>
        <v/>
      </c>
      <c r="AF315" s="151"/>
      <c r="AG315" s="75"/>
      <c r="AH315" s="75"/>
      <c r="AI315" s="75"/>
      <c r="AJ315" s="75"/>
      <c r="AK315" s="75"/>
      <c r="AL315" s="75"/>
      <c r="AM315" s="75"/>
      <c r="AN315" s="75"/>
      <c r="AO315" s="75"/>
      <c r="AP315" s="75"/>
      <c r="AQ315" s="71"/>
      <c r="AR315" s="75"/>
      <c r="AS315" s="75"/>
      <c r="AT315" s="75"/>
      <c r="AU315" s="71"/>
      <c r="AV315" s="71"/>
      <c r="AW315" s="71"/>
      <c r="AX315" s="71"/>
      <c r="AY315" s="71"/>
      <c r="AZ315" s="71"/>
      <c r="BB315" s="71"/>
      <c r="BD315" s="24"/>
      <c r="BG315" s="24"/>
      <c r="BJ315" s="24"/>
    </row>
    <row r="316" spans="29:62" ht="15" customHeight="1" x14ac:dyDescent="0.2">
      <c r="AC316" s="237" t="str">
        <f t="shared" si="26"/>
        <v/>
      </c>
      <c r="AD316" s="237" t="str">
        <f t="shared" si="27"/>
        <v/>
      </c>
      <c r="AF316" s="151"/>
      <c r="AG316" s="75"/>
      <c r="AH316" s="75"/>
      <c r="AI316" s="75"/>
      <c r="AJ316" s="75"/>
      <c r="AK316" s="75"/>
      <c r="AL316" s="75"/>
      <c r="AM316" s="75"/>
      <c r="AN316" s="75"/>
      <c r="AO316" s="75"/>
      <c r="AP316" s="75"/>
      <c r="AQ316" s="71"/>
      <c r="AR316" s="75"/>
      <c r="AS316" s="75"/>
      <c r="AT316" s="75"/>
      <c r="AU316" s="71"/>
      <c r="AV316" s="71"/>
      <c r="AW316" s="71"/>
      <c r="AX316" s="71"/>
      <c r="AY316" s="71"/>
      <c r="AZ316" s="71"/>
      <c r="BB316" s="71"/>
      <c r="BD316" s="24"/>
      <c r="BG316" s="24"/>
      <c r="BJ316" s="24"/>
    </row>
    <row r="317" spans="29:62" ht="15" customHeight="1" x14ac:dyDescent="0.2">
      <c r="AC317" s="237" t="str">
        <f t="shared" ref="AC317:AC380" si="28">IF(Q317="","",SQRT(($R317-$AR$61)^2+($S317-$AS$61)^2))</f>
        <v/>
      </c>
      <c r="AD317" s="237" t="str">
        <f t="shared" ref="AD317:AD380" si="29">IF(Q317="","",SQRT(($R317-$AT$61)^2+($S317-$AU$61)^2))</f>
        <v/>
      </c>
      <c r="AF317" s="151"/>
      <c r="AG317" s="75"/>
      <c r="AH317" s="75"/>
      <c r="AI317" s="75"/>
      <c r="AJ317" s="75"/>
      <c r="AK317" s="75"/>
      <c r="AL317" s="75"/>
      <c r="AM317" s="75"/>
      <c r="AN317" s="75"/>
      <c r="AO317" s="75"/>
      <c r="AP317" s="75"/>
      <c r="AQ317" s="71"/>
      <c r="AR317" s="75"/>
      <c r="AS317" s="75"/>
      <c r="AT317" s="75"/>
      <c r="AU317" s="71"/>
      <c r="AV317" s="71"/>
      <c r="AW317" s="71"/>
      <c r="AX317" s="71"/>
      <c r="AY317" s="71"/>
      <c r="AZ317" s="71"/>
      <c r="BB317" s="71"/>
      <c r="BD317" s="24"/>
      <c r="BG317" s="24"/>
      <c r="BJ317" s="24"/>
    </row>
    <row r="318" spans="29:62" ht="15" customHeight="1" x14ac:dyDescent="0.2">
      <c r="AC318" s="237" t="str">
        <f t="shared" si="28"/>
        <v/>
      </c>
      <c r="AD318" s="237" t="str">
        <f t="shared" si="29"/>
        <v/>
      </c>
      <c r="AF318" s="151"/>
      <c r="AG318" s="75"/>
      <c r="AH318" s="75"/>
      <c r="AI318" s="75"/>
      <c r="AJ318" s="75"/>
      <c r="AK318" s="75"/>
      <c r="AL318" s="75"/>
      <c r="AM318" s="75"/>
      <c r="AN318" s="75"/>
      <c r="AO318" s="75"/>
      <c r="AP318" s="75"/>
      <c r="AQ318" s="71"/>
      <c r="AR318" s="75"/>
      <c r="AS318" s="75"/>
      <c r="AT318" s="75"/>
      <c r="AU318" s="71"/>
      <c r="AV318" s="71"/>
      <c r="AW318" s="71"/>
      <c r="AX318" s="71"/>
      <c r="AY318" s="71"/>
      <c r="AZ318" s="71"/>
      <c r="BB318" s="71"/>
      <c r="BD318" s="24"/>
      <c r="BG318" s="24"/>
      <c r="BJ318" s="24"/>
    </row>
    <row r="319" spans="29:62" ht="15" customHeight="1" x14ac:dyDescent="0.2">
      <c r="AC319" s="237" t="str">
        <f t="shared" si="28"/>
        <v/>
      </c>
      <c r="AD319" s="237" t="str">
        <f t="shared" si="29"/>
        <v/>
      </c>
      <c r="AF319" s="151"/>
      <c r="AG319" s="75"/>
      <c r="AH319" s="75"/>
      <c r="AI319" s="75"/>
      <c r="AJ319" s="75"/>
      <c r="AK319" s="75"/>
      <c r="AL319" s="75"/>
      <c r="AM319" s="75"/>
      <c r="AN319" s="75"/>
      <c r="AO319" s="75"/>
      <c r="AP319" s="75"/>
      <c r="AQ319" s="71"/>
      <c r="AR319" s="75"/>
      <c r="AS319" s="75"/>
      <c r="AT319" s="75"/>
      <c r="AU319" s="71"/>
      <c r="AV319" s="71"/>
      <c r="AW319" s="71"/>
      <c r="AX319" s="71"/>
      <c r="AY319" s="71"/>
      <c r="AZ319" s="71"/>
      <c r="BB319" s="71"/>
      <c r="BD319" s="24"/>
      <c r="BG319" s="24"/>
      <c r="BJ319" s="24"/>
    </row>
    <row r="320" spans="29:62" ht="15" customHeight="1" x14ac:dyDescent="0.2">
      <c r="AC320" s="237" t="str">
        <f t="shared" si="28"/>
        <v/>
      </c>
      <c r="AD320" s="237" t="str">
        <f t="shared" si="29"/>
        <v/>
      </c>
      <c r="AF320" s="151"/>
      <c r="AG320" s="75"/>
      <c r="AH320" s="75"/>
      <c r="AI320" s="75"/>
      <c r="AJ320" s="75"/>
      <c r="AK320" s="75"/>
      <c r="AL320" s="75"/>
      <c r="AM320" s="75"/>
      <c r="AN320" s="75"/>
      <c r="AO320" s="75"/>
      <c r="AP320" s="75"/>
      <c r="AQ320" s="71"/>
      <c r="AR320" s="75"/>
      <c r="AS320" s="75"/>
      <c r="AT320" s="75"/>
      <c r="AU320" s="71"/>
      <c r="AV320" s="71"/>
      <c r="AW320" s="71"/>
      <c r="AX320" s="71"/>
      <c r="AY320" s="71"/>
      <c r="AZ320" s="71"/>
      <c r="BB320" s="71"/>
      <c r="BD320" s="24"/>
      <c r="BG320" s="24"/>
      <c r="BJ320" s="24"/>
    </row>
    <row r="321" spans="29:62" ht="15" customHeight="1" x14ac:dyDescent="0.2">
      <c r="AC321" s="237" t="str">
        <f t="shared" si="28"/>
        <v/>
      </c>
      <c r="AD321" s="237" t="str">
        <f t="shared" si="29"/>
        <v/>
      </c>
      <c r="AF321" s="151"/>
      <c r="AG321" s="75"/>
      <c r="AH321" s="75"/>
      <c r="AI321" s="75"/>
      <c r="AJ321" s="75"/>
      <c r="AK321" s="75"/>
      <c r="AL321" s="75"/>
      <c r="AM321" s="75"/>
      <c r="AN321" s="75"/>
      <c r="AO321" s="75"/>
      <c r="AP321" s="75"/>
      <c r="AQ321" s="71"/>
      <c r="AR321" s="75"/>
      <c r="AS321" s="75"/>
      <c r="AT321" s="75"/>
      <c r="AU321" s="71"/>
      <c r="AV321" s="71"/>
      <c r="AW321" s="71"/>
      <c r="AX321" s="71"/>
      <c r="AY321" s="71"/>
      <c r="AZ321" s="71"/>
      <c r="BB321" s="71"/>
      <c r="BD321" s="24"/>
      <c r="BG321" s="24"/>
      <c r="BJ321" s="24"/>
    </row>
    <row r="322" spans="29:62" ht="15" customHeight="1" x14ac:dyDescent="0.2">
      <c r="AC322" s="237" t="str">
        <f t="shared" si="28"/>
        <v/>
      </c>
      <c r="AD322" s="237" t="str">
        <f t="shared" si="29"/>
        <v/>
      </c>
      <c r="AF322" s="151"/>
      <c r="AG322" s="75"/>
      <c r="AH322" s="75"/>
      <c r="AI322" s="75"/>
      <c r="AJ322" s="75"/>
      <c r="AK322" s="75"/>
      <c r="AL322" s="75"/>
      <c r="AM322" s="75"/>
      <c r="AN322" s="75"/>
      <c r="AO322" s="75"/>
      <c r="AP322" s="75"/>
      <c r="AQ322" s="71"/>
      <c r="AR322" s="75"/>
      <c r="AS322" s="75"/>
      <c r="AT322" s="75"/>
      <c r="AU322" s="71"/>
      <c r="AV322" s="71"/>
      <c r="AW322" s="71"/>
      <c r="AX322" s="71"/>
      <c r="AY322" s="71"/>
      <c r="AZ322" s="71"/>
      <c r="BB322" s="71"/>
      <c r="BD322" s="24"/>
      <c r="BG322" s="24"/>
      <c r="BJ322" s="24"/>
    </row>
    <row r="323" spans="29:62" ht="15" customHeight="1" x14ac:dyDescent="0.2">
      <c r="AC323" s="237" t="str">
        <f t="shared" si="28"/>
        <v/>
      </c>
      <c r="AD323" s="237" t="str">
        <f t="shared" si="29"/>
        <v/>
      </c>
      <c r="AF323" s="151"/>
      <c r="AG323" s="75"/>
      <c r="AH323" s="75"/>
      <c r="AI323" s="75"/>
      <c r="AJ323" s="75"/>
      <c r="AK323" s="75"/>
      <c r="AL323" s="75"/>
      <c r="AM323" s="75"/>
      <c r="AN323" s="75"/>
      <c r="AO323" s="75"/>
      <c r="AP323" s="75"/>
      <c r="AQ323" s="71"/>
      <c r="AR323" s="75"/>
      <c r="AS323" s="75"/>
      <c r="AT323" s="75"/>
      <c r="AU323" s="71"/>
      <c r="AV323" s="71"/>
      <c r="AW323" s="71"/>
      <c r="AX323" s="71"/>
      <c r="AY323" s="71"/>
      <c r="AZ323" s="71"/>
      <c r="BB323" s="71"/>
      <c r="BD323" s="24"/>
      <c r="BG323" s="24"/>
      <c r="BJ323" s="24"/>
    </row>
    <row r="324" spans="29:62" ht="15" customHeight="1" x14ac:dyDescent="0.2">
      <c r="AC324" s="237" t="str">
        <f t="shared" si="28"/>
        <v/>
      </c>
      <c r="AD324" s="237" t="str">
        <f t="shared" si="29"/>
        <v/>
      </c>
      <c r="AF324" s="151"/>
      <c r="AG324" s="75"/>
      <c r="AH324" s="75"/>
      <c r="AI324" s="75"/>
      <c r="AJ324" s="75"/>
      <c r="AK324" s="75"/>
      <c r="AL324" s="75"/>
      <c r="AM324" s="75"/>
      <c r="AN324" s="75"/>
      <c r="AO324" s="75"/>
      <c r="AP324" s="75"/>
      <c r="AQ324" s="71"/>
      <c r="AR324" s="75"/>
      <c r="AS324" s="75"/>
      <c r="AT324" s="75"/>
      <c r="AU324" s="71"/>
      <c r="AV324" s="71"/>
      <c r="AW324" s="71"/>
      <c r="AX324" s="71"/>
      <c r="AY324" s="71"/>
      <c r="AZ324" s="71"/>
      <c r="BB324" s="71"/>
      <c r="BD324" s="24"/>
      <c r="BG324" s="24"/>
      <c r="BJ324" s="24"/>
    </row>
    <row r="325" spans="29:62" ht="15" customHeight="1" x14ac:dyDescent="0.2">
      <c r="AC325" s="237" t="str">
        <f t="shared" si="28"/>
        <v/>
      </c>
      <c r="AD325" s="237" t="str">
        <f t="shared" si="29"/>
        <v/>
      </c>
      <c r="AF325" s="151"/>
      <c r="AG325" s="75"/>
      <c r="AH325" s="75"/>
      <c r="AI325" s="75"/>
      <c r="AJ325" s="75"/>
      <c r="AK325" s="75"/>
      <c r="AL325" s="75"/>
      <c r="AM325" s="75"/>
      <c r="AN325" s="75"/>
      <c r="AO325" s="75"/>
      <c r="AP325" s="75"/>
      <c r="AQ325" s="71"/>
      <c r="AR325" s="75"/>
      <c r="AS325" s="75"/>
      <c r="AT325" s="75"/>
      <c r="AU325" s="71"/>
      <c r="AV325" s="71"/>
      <c r="AW325" s="71"/>
      <c r="AX325" s="71"/>
      <c r="AY325" s="71"/>
      <c r="AZ325" s="71"/>
      <c r="BB325" s="71"/>
      <c r="BD325" s="24"/>
      <c r="BG325" s="24"/>
      <c r="BJ325" s="24"/>
    </row>
    <row r="326" spans="29:62" ht="15" customHeight="1" x14ac:dyDescent="0.2">
      <c r="AC326" s="237" t="str">
        <f t="shared" si="28"/>
        <v/>
      </c>
      <c r="AD326" s="237" t="str">
        <f t="shared" si="29"/>
        <v/>
      </c>
      <c r="AF326" s="151"/>
      <c r="AG326" s="75"/>
      <c r="AH326" s="75"/>
      <c r="AI326" s="75"/>
      <c r="AJ326" s="75"/>
      <c r="AK326" s="75"/>
      <c r="AL326" s="75"/>
      <c r="AM326" s="75"/>
      <c r="AN326" s="75"/>
      <c r="AO326" s="75"/>
      <c r="AP326" s="75"/>
      <c r="AQ326" s="71"/>
      <c r="AR326" s="75"/>
      <c r="AS326" s="75"/>
      <c r="AT326" s="75"/>
      <c r="AU326" s="71"/>
      <c r="AV326" s="71"/>
      <c r="AW326" s="71"/>
      <c r="AX326" s="71"/>
      <c r="AY326" s="71"/>
      <c r="AZ326" s="71"/>
      <c r="BB326" s="71"/>
      <c r="BD326" s="24"/>
      <c r="BG326" s="24"/>
      <c r="BJ326" s="24"/>
    </row>
    <row r="327" spans="29:62" ht="15" customHeight="1" x14ac:dyDescent="0.2">
      <c r="AC327" s="237" t="str">
        <f t="shared" si="28"/>
        <v/>
      </c>
      <c r="AD327" s="237" t="str">
        <f t="shared" si="29"/>
        <v/>
      </c>
      <c r="AF327" s="151"/>
      <c r="AG327" s="75"/>
      <c r="AH327" s="75"/>
      <c r="AI327" s="75"/>
      <c r="AJ327" s="75"/>
      <c r="AK327" s="75"/>
      <c r="AL327" s="75"/>
      <c r="AM327" s="75"/>
      <c r="AN327" s="75"/>
      <c r="AO327" s="75"/>
      <c r="AP327" s="75"/>
      <c r="AQ327" s="71"/>
      <c r="AR327" s="75"/>
      <c r="AS327" s="75"/>
      <c r="AT327" s="75"/>
      <c r="AU327" s="71"/>
      <c r="AV327" s="71"/>
      <c r="AW327" s="71"/>
      <c r="AX327" s="71"/>
      <c r="AY327" s="71"/>
      <c r="AZ327" s="71"/>
      <c r="BB327" s="71"/>
      <c r="BD327" s="24"/>
      <c r="BG327" s="24"/>
      <c r="BJ327" s="24"/>
    </row>
    <row r="328" spans="29:62" ht="15" customHeight="1" x14ac:dyDescent="0.2">
      <c r="AC328" s="237" t="str">
        <f t="shared" si="28"/>
        <v/>
      </c>
      <c r="AD328" s="237" t="str">
        <f t="shared" si="29"/>
        <v/>
      </c>
      <c r="AF328" s="151"/>
      <c r="AG328" s="75"/>
      <c r="AH328" s="75"/>
      <c r="AI328" s="75"/>
      <c r="AJ328" s="75"/>
      <c r="AK328" s="75"/>
      <c r="AL328" s="75"/>
      <c r="AM328" s="75"/>
      <c r="AN328" s="75"/>
      <c r="AO328" s="75"/>
      <c r="AP328" s="75"/>
      <c r="AQ328" s="71"/>
      <c r="AR328" s="75"/>
      <c r="AS328" s="75"/>
      <c r="AT328" s="75"/>
      <c r="AU328" s="71"/>
      <c r="AV328" s="71"/>
      <c r="AW328" s="71"/>
      <c r="AX328" s="71"/>
      <c r="AY328" s="71"/>
      <c r="AZ328" s="71"/>
      <c r="BB328" s="71"/>
      <c r="BD328" s="24"/>
      <c r="BG328" s="24"/>
      <c r="BJ328" s="24"/>
    </row>
    <row r="329" spans="29:62" ht="15" customHeight="1" x14ac:dyDescent="0.2">
      <c r="AC329" s="237" t="str">
        <f t="shared" si="28"/>
        <v/>
      </c>
      <c r="AD329" s="237" t="str">
        <f t="shared" si="29"/>
        <v/>
      </c>
      <c r="AF329" s="151"/>
      <c r="AG329" s="75"/>
      <c r="AH329" s="75"/>
      <c r="AI329" s="75"/>
      <c r="AJ329" s="75"/>
      <c r="AK329" s="75"/>
      <c r="AL329" s="75"/>
      <c r="AM329" s="75"/>
      <c r="AN329" s="75"/>
      <c r="AO329" s="75"/>
      <c r="AP329" s="75"/>
      <c r="AQ329" s="71"/>
      <c r="AR329" s="75"/>
      <c r="AS329" s="75"/>
      <c r="AT329" s="75"/>
      <c r="AU329" s="71"/>
      <c r="AV329" s="71"/>
      <c r="AW329" s="71"/>
      <c r="AX329" s="71"/>
      <c r="AY329" s="71"/>
      <c r="AZ329" s="71"/>
      <c r="BB329" s="71"/>
      <c r="BD329" s="24"/>
      <c r="BG329" s="24"/>
      <c r="BJ329" s="24"/>
    </row>
    <row r="330" spans="29:62" ht="15" customHeight="1" x14ac:dyDescent="0.2">
      <c r="AC330" s="237" t="str">
        <f t="shared" si="28"/>
        <v/>
      </c>
      <c r="AD330" s="237" t="str">
        <f t="shared" si="29"/>
        <v/>
      </c>
      <c r="AF330" s="151"/>
      <c r="AG330" s="75"/>
      <c r="AH330" s="75"/>
      <c r="AI330" s="75"/>
      <c r="AJ330" s="75"/>
      <c r="AK330" s="75"/>
      <c r="AL330" s="75"/>
      <c r="AM330" s="75"/>
      <c r="AN330" s="75"/>
      <c r="AO330" s="75"/>
      <c r="AP330" s="75"/>
      <c r="AQ330" s="71"/>
      <c r="AR330" s="75"/>
      <c r="AS330" s="75"/>
      <c r="AT330" s="75"/>
      <c r="AU330" s="71"/>
      <c r="AV330" s="71"/>
      <c r="AW330" s="71"/>
      <c r="AX330" s="71"/>
      <c r="AY330" s="71"/>
      <c r="AZ330" s="71"/>
      <c r="BB330" s="71"/>
      <c r="BD330" s="24"/>
      <c r="BG330" s="24"/>
      <c r="BJ330" s="24"/>
    </row>
    <row r="331" spans="29:62" ht="15" customHeight="1" x14ac:dyDescent="0.2">
      <c r="AC331" s="237" t="str">
        <f t="shared" si="28"/>
        <v/>
      </c>
      <c r="AD331" s="237" t="str">
        <f t="shared" si="29"/>
        <v/>
      </c>
      <c r="AF331" s="151"/>
      <c r="AG331" s="75"/>
      <c r="AH331" s="75"/>
      <c r="AI331" s="75"/>
      <c r="AJ331" s="75"/>
      <c r="AK331" s="75"/>
      <c r="AL331" s="75"/>
      <c r="AM331" s="75"/>
      <c r="AN331" s="75"/>
      <c r="AO331" s="75"/>
      <c r="AP331" s="75"/>
      <c r="AQ331" s="71"/>
      <c r="AR331" s="75"/>
      <c r="AS331" s="75"/>
      <c r="AT331" s="75"/>
      <c r="AU331" s="71"/>
      <c r="AV331" s="71"/>
      <c r="AW331" s="71"/>
      <c r="AX331" s="71"/>
      <c r="AY331" s="71"/>
      <c r="AZ331" s="71"/>
      <c r="BB331" s="71"/>
      <c r="BD331" s="24"/>
      <c r="BG331" s="24"/>
      <c r="BJ331" s="24"/>
    </row>
    <row r="332" spans="29:62" ht="15" customHeight="1" x14ac:dyDescent="0.2">
      <c r="AC332" s="237" t="str">
        <f t="shared" si="28"/>
        <v/>
      </c>
      <c r="AD332" s="237" t="str">
        <f t="shared" si="29"/>
        <v/>
      </c>
      <c r="AF332" s="151"/>
      <c r="AG332" s="75"/>
      <c r="AH332" s="75"/>
      <c r="AI332" s="75"/>
      <c r="AJ332" s="75"/>
      <c r="AK332" s="75"/>
      <c r="AL332" s="75"/>
      <c r="AM332" s="75"/>
      <c r="AN332" s="75"/>
      <c r="AO332" s="75"/>
      <c r="AP332" s="75"/>
      <c r="AQ332" s="71"/>
      <c r="AR332" s="75"/>
      <c r="AS332" s="75"/>
      <c r="AT332" s="75"/>
      <c r="AU332" s="71"/>
      <c r="AV332" s="71"/>
      <c r="AW332" s="71"/>
      <c r="AX332" s="71"/>
      <c r="AY332" s="71"/>
      <c r="AZ332" s="71"/>
      <c r="BB332" s="71"/>
      <c r="BD332" s="24"/>
      <c r="BG332" s="24"/>
      <c r="BJ332" s="24"/>
    </row>
    <row r="333" spans="29:62" ht="15" customHeight="1" x14ac:dyDescent="0.2">
      <c r="AC333" s="237" t="str">
        <f t="shared" si="28"/>
        <v/>
      </c>
      <c r="AD333" s="237" t="str">
        <f t="shared" si="29"/>
        <v/>
      </c>
      <c r="AF333" s="151"/>
      <c r="AG333" s="75"/>
      <c r="AH333" s="75"/>
      <c r="AI333" s="75"/>
      <c r="AJ333" s="75"/>
      <c r="AK333" s="75"/>
      <c r="AL333" s="75"/>
      <c r="AM333" s="75"/>
      <c r="AN333" s="75"/>
      <c r="AO333" s="75"/>
      <c r="AP333" s="75"/>
      <c r="AQ333" s="71"/>
      <c r="AR333" s="75"/>
      <c r="AS333" s="75"/>
      <c r="AT333" s="75"/>
      <c r="AU333" s="71"/>
      <c r="AV333" s="71"/>
      <c r="AW333" s="71"/>
      <c r="AX333" s="71"/>
      <c r="AY333" s="71"/>
      <c r="AZ333" s="71"/>
      <c r="BB333" s="71"/>
      <c r="BD333" s="24"/>
      <c r="BG333" s="24"/>
      <c r="BJ333" s="24"/>
    </row>
    <row r="334" spans="29:62" ht="15" customHeight="1" x14ac:dyDescent="0.2">
      <c r="AC334" s="237" t="str">
        <f t="shared" si="28"/>
        <v/>
      </c>
      <c r="AD334" s="237" t="str">
        <f t="shared" si="29"/>
        <v/>
      </c>
      <c r="AF334" s="151"/>
      <c r="AG334" s="75"/>
      <c r="AH334" s="75"/>
      <c r="AI334" s="75"/>
      <c r="AJ334" s="75"/>
      <c r="AK334" s="75"/>
      <c r="AL334" s="75"/>
      <c r="AM334" s="75"/>
      <c r="AN334" s="75"/>
      <c r="AO334" s="75"/>
      <c r="AP334" s="75"/>
      <c r="AQ334" s="71"/>
      <c r="AR334" s="75"/>
      <c r="AS334" s="75"/>
      <c r="AT334" s="75"/>
      <c r="AU334" s="71"/>
      <c r="AV334" s="71"/>
      <c r="AW334" s="71"/>
      <c r="AX334" s="71"/>
      <c r="AY334" s="71"/>
      <c r="AZ334" s="71"/>
      <c r="BB334" s="71"/>
      <c r="BD334" s="24"/>
      <c r="BG334" s="24"/>
      <c r="BJ334" s="24"/>
    </row>
    <row r="335" spans="29:62" ht="15" customHeight="1" x14ac:dyDescent="0.2">
      <c r="AC335" s="237" t="str">
        <f t="shared" si="28"/>
        <v/>
      </c>
      <c r="AD335" s="237" t="str">
        <f t="shared" si="29"/>
        <v/>
      </c>
      <c r="AF335" s="151"/>
      <c r="AG335" s="75"/>
      <c r="AH335" s="75"/>
      <c r="AI335" s="75"/>
      <c r="AJ335" s="75"/>
      <c r="AK335" s="75"/>
      <c r="AL335" s="75"/>
      <c r="AM335" s="75"/>
      <c r="AN335" s="75"/>
      <c r="AO335" s="75"/>
      <c r="AP335" s="75"/>
      <c r="AQ335" s="71"/>
      <c r="AR335" s="75"/>
      <c r="AS335" s="75"/>
      <c r="AT335" s="75"/>
      <c r="AU335" s="71"/>
      <c r="AV335" s="71"/>
      <c r="AW335" s="71"/>
      <c r="AX335" s="71"/>
      <c r="AY335" s="71"/>
      <c r="AZ335" s="71"/>
      <c r="BB335" s="71"/>
      <c r="BD335" s="24"/>
      <c r="BG335" s="24"/>
      <c r="BJ335" s="24"/>
    </row>
    <row r="336" spans="29:62" ht="15" customHeight="1" x14ac:dyDescent="0.2">
      <c r="AC336" s="237" t="str">
        <f t="shared" si="28"/>
        <v/>
      </c>
      <c r="AD336" s="237" t="str">
        <f t="shared" si="29"/>
        <v/>
      </c>
      <c r="AF336" s="151"/>
      <c r="AG336" s="75"/>
      <c r="AH336" s="75"/>
      <c r="AI336" s="75"/>
      <c r="AJ336" s="75"/>
      <c r="AK336" s="75"/>
      <c r="AL336" s="75"/>
      <c r="AM336" s="75"/>
      <c r="AN336" s="75"/>
      <c r="AO336" s="75"/>
      <c r="AP336" s="75"/>
      <c r="AQ336" s="71"/>
      <c r="AR336" s="75"/>
      <c r="AS336" s="75"/>
      <c r="AT336" s="75"/>
      <c r="AU336" s="71"/>
      <c r="AV336" s="71"/>
      <c r="AW336" s="71"/>
      <c r="AX336" s="71"/>
      <c r="AY336" s="71"/>
      <c r="AZ336" s="71"/>
      <c r="BB336" s="71"/>
      <c r="BD336" s="24"/>
      <c r="BG336" s="24"/>
      <c r="BJ336" s="24"/>
    </row>
    <row r="337" spans="29:62" ht="15" customHeight="1" x14ac:dyDescent="0.2">
      <c r="AC337" s="237" t="str">
        <f t="shared" si="28"/>
        <v/>
      </c>
      <c r="AD337" s="237" t="str">
        <f t="shared" si="29"/>
        <v/>
      </c>
      <c r="AF337" s="151"/>
      <c r="AG337" s="75"/>
      <c r="AH337" s="75"/>
      <c r="AI337" s="75"/>
      <c r="AJ337" s="75"/>
      <c r="AK337" s="75"/>
      <c r="AL337" s="75"/>
      <c r="AM337" s="75"/>
      <c r="AN337" s="75"/>
      <c r="AO337" s="75"/>
      <c r="AP337" s="75"/>
      <c r="AQ337" s="71"/>
      <c r="AR337" s="75"/>
      <c r="AS337" s="75"/>
      <c r="AT337" s="75"/>
      <c r="AU337" s="71"/>
      <c r="AV337" s="71"/>
      <c r="AW337" s="71"/>
      <c r="AX337" s="71"/>
      <c r="AY337" s="71"/>
      <c r="AZ337" s="71"/>
      <c r="BB337" s="71"/>
      <c r="BD337" s="24"/>
      <c r="BG337" s="24"/>
      <c r="BJ337" s="24"/>
    </row>
    <row r="338" spans="29:62" ht="15" customHeight="1" x14ac:dyDescent="0.2">
      <c r="AC338" s="237" t="str">
        <f t="shared" si="28"/>
        <v/>
      </c>
      <c r="AD338" s="237" t="str">
        <f t="shared" si="29"/>
        <v/>
      </c>
      <c r="AF338" s="151"/>
      <c r="AG338" s="75"/>
      <c r="AH338" s="75"/>
      <c r="AI338" s="75"/>
      <c r="AJ338" s="75"/>
      <c r="AK338" s="75"/>
      <c r="AL338" s="75"/>
      <c r="AM338" s="75"/>
      <c r="AN338" s="75"/>
      <c r="AO338" s="75"/>
      <c r="AP338" s="75"/>
      <c r="AQ338" s="71"/>
      <c r="AR338" s="75"/>
      <c r="AS338" s="75"/>
      <c r="AT338" s="75"/>
      <c r="AU338" s="71"/>
      <c r="AV338" s="71"/>
      <c r="AW338" s="71"/>
      <c r="AX338" s="71"/>
      <c r="AY338" s="71"/>
      <c r="AZ338" s="71"/>
      <c r="BB338" s="71"/>
      <c r="BD338" s="24"/>
      <c r="BG338" s="24"/>
      <c r="BJ338" s="24"/>
    </row>
    <row r="339" spans="29:62" ht="15" customHeight="1" x14ac:dyDescent="0.2">
      <c r="AC339" s="237" t="str">
        <f t="shared" si="28"/>
        <v/>
      </c>
      <c r="AD339" s="237" t="str">
        <f t="shared" si="29"/>
        <v/>
      </c>
      <c r="AF339" s="151"/>
      <c r="AG339" s="75"/>
      <c r="AH339" s="75"/>
      <c r="AI339" s="75"/>
      <c r="AJ339" s="75"/>
      <c r="AK339" s="75"/>
      <c r="AL339" s="75"/>
      <c r="AM339" s="75"/>
      <c r="AN339" s="75"/>
      <c r="AO339" s="75"/>
      <c r="AP339" s="75"/>
      <c r="AQ339" s="71"/>
      <c r="AR339" s="75"/>
      <c r="AS339" s="75"/>
      <c r="AT339" s="75"/>
      <c r="AU339" s="71"/>
      <c r="AV339" s="71"/>
      <c r="AW339" s="71"/>
      <c r="AX339" s="71"/>
      <c r="AY339" s="71"/>
      <c r="AZ339" s="71"/>
      <c r="BB339" s="71"/>
      <c r="BD339" s="24"/>
      <c r="BG339" s="24"/>
      <c r="BJ339" s="24"/>
    </row>
    <row r="340" spans="29:62" ht="15" customHeight="1" x14ac:dyDescent="0.2">
      <c r="AC340" s="237" t="str">
        <f t="shared" si="28"/>
        <v/>
      </c>
      <c r="AD340" s="237" t="str">
        <f t="shared" si="29"/>
        <v/>
      </c>
      <c r="AF340" s="151"/>
      <c r="AG340" s="75"/>
      <c r="AH340" s="75"/>
      <c r="AI340" s="75"/>
      <c r="AJ340" s="75"/>
      <c r="AK340" s="75"/>
      <c r="AL340" s="75"/>
      <c r="AM340" s="75"/>
      <c r="AN340" s="75"/>
      <c r="AO340" s="75"/>
      <c r="AP340" s="75"/>
      <c r="AQ340" s="71"/>
      <c r="AR340" s="75"/>
      <c r="AS340" s="75"/>
      <c r="AT340" s="75"/>
      <c r="AU340" s="71"/>
      <c r="AV340" s="71"/>
      <c r="AW340" s="71"/>
      <c r="AX340" s="71"/>
      <c r="AY340" s="71"/>
      <c r="AZ340" s="71"/>
      <c r="BB340" s="71"/>
      <c r="BD340" s="24"/>
      <c r="BG340" s="24"/>
      <c r="BJ340" s="24"/>
    </row>
    <row r="341" spans="29:62" ht="15" customHeight="1" x14ac:dyDescent="0.2">
      <c r="AC341" s="237" t="str">
        <f t="shared" si="28"/>
        <v/>
      </c>
      <c r="AD341" s="237" t="str">
        <f t="shared" si="29"/>
        <v/>
      </c>
      <c r="AF341" s="151"/>
      <c r="AG341" s="75"/>
      <c r="AH341" s="75"/>
      <c r="AI341" s="75"/>
      <c r="AJ341" s="75"/>
      <c r="AK341" s="75"/>
      <c r="AL341" s="75"/>
      <c r="AM341" s="75"/>
      <c r="AN341" s="75"/>
      <c r="AO341" s="75"/>
      <c r="AP341" s="75"/>
      <c r="AQ341" s="71"/>
      <c r="AR341" s="75"/>
      <c r="AS341" s="75"/>
      <c r="AT341" s="75"/>
      <c r="AU341" s="71"/>
      <c r="AV341" s="71"/>
      <c r="AW341" s="71"/>
      <c r="AX341" s="71"/>
      <c r="AY341" s="71"/>
      <c r="AZ341" s="71"/>
      <c r="BB341" s="71"/>
      <c r="BD341" s="24"/>
      <c r="BG341" s="24"/>
      <c r="BJ341" s="24"/>
    </row>
    <row r="342" spans="29:62" ht="15" customHeight="1" x14ac:dyDescent="0.2">
      <c r="AC342" s="237" t="str">
        <f t="shared" si="28"/>
        <v/>
      </c>
      <c r="AD342" s="237" t="str">
        <f t="shared" si="29"/>
        <v/>
      </c>
      <c r="AF342" s="151"/>
      <c r="AG342" s="75"/>
      <c r="AH342" s="75"/>
      <c r="AI342" s="75"/>
      <c r="AJ342" s="75"/>
      <c r="AK342" s="75"/>
      <c r="AL342" s="75"/>
      <c r="AM342" s="75"/>
      <c r="AN342" s="75"/>
      <c r="AO342" s="75"/>
      <c r="AP342" s="75"/>
      <c r="AQ342" s="71"/>
      <c r="AR342" s="75"/>
      <c r="AS342" s="75"/>
      <c r="AT342" s="75"/>
      <c r="AU342" s="71"/>
      <c r="AV342" s="71"/>
      <c r="AW342" s="71"/>
      <c r="AX342" s="71"/>
      <c r="AY342" s="71"/>
      <c r="AZ342" s="71"/>
      <c r="BB342" s="71"/>
      <c r="BD342" s="24"/>
      <c r="BG342" s="24"/>
      <c r="BJ342" s="24"/>
    </row>
    <row r="343" spans="29:62" ht="15" customHeight="1" x14ac:dyDescent="0.2">
      <c r="AC343" s="237" t="str">
        <f t="shared" si="28"/>
        <v/>
      </c>
      <c r="AD343" s="237" t="str">
        <f t="shared" si="29"/>
        <v/>
      </c>
      <c r="AF343" s="151"/>
      <c r="AG343" s="75"/>
      <c r="AH343" s="75"/>
      <c r="AI343" s="75"/>
      <c r="AJ343" s="75"/>
      <c r="AK343" s="75"/>
      <c r="AL343" s="75"/>
      <c r="AM343" s="75"/>
      <c r="AN343" s="75"/>
      <c r="AO343" s="75"/>
      <c r="AP343" s="75"/>
      <c r="AQ343" s="71"/>
      <c r="AR343" s="75"/>
      <c r="AS343" s="75"/>
      <c r="AT343" s="75"/>
      <c r="AU343" s="71"/>
      <c r="AV343" s="71"/>
      <c r="AW343" s="71"/>
      <c r="AX343" s="71"/>
      <c r="AY343" s="71"/>
      <c r="AZ343" s="71"/>
      <c r="BB343" s="71"/>
      <c r="BD343" s="24"/>
      <c r="BG343" s="24"/>
      <c r="BJ343" s="24"/>
    </row>
    <row r="344" spans="29:62" ht="15" customHeight="1" x14ac:dyDescent="0.2">
      <c r="AC344" s="237" t="str">
        <f t="shared" si="28"/>
        <v/>
      </c>
      <c r="AD344" s="237" t="str">
        <f t="shared" si="29"/>
        <v/>
      </c>
      <c r="AF344" s="151"/>
      <c r="AG344" s="75"/>
      <c r="AH344" s="75"/>
      <c r="AI344" s="75"/>
      <c r="AJ344" s="75"/>
      <c r="AK344" s="75"/>
      <c r="AL344" s="75"/>
      <c r="AM344" s="75"/>
      <c r="AN344" s="75"/>
      <c r="AO344" s="75"/>
      <c r="AP344" s="75"/>
      <c r="AQ344" s="71"/>
      <c r="AR344" s="75"/>
      <c r="AS344" s="75"/>
      <c r="AT344" s="75"/>
      <c r="AU344" s="71"/>
      <c r="AV344" s="71"/>
      <c r="AW344" s="71"/>
      <c r="AX344" s="71"/>
      <c r="AY344" s="71"/>
      <c r="AZ344" s="71"/>
      <c r="BB344" s="71"/>
      <c r="BD344" s="24"/>
      <c r="BG344" s="24"/>
      <c r="BJ344" s="24"/>
    </row>
    <row r="345" spans="29:62" ht="15" customHeight="1" x14ac:dyDescent="0.2">
      <c r="AC345" s="237" t="str">
        <f t="shared" si="28"/>
        <v/>
      </c>
      <c r="AD345" s="237" t="str">
        <f t="shared" si="29"/>
        <v/>
      </c>
      <c r="AF345" s="151"/>
      <c r="AG345" s="75"/>
      <c r="AH345" s="75"/>
      <c r="AI345" s="75"/>
      <c r="AJ345" s="75"/>
      <c r="AK345" s="75"/>
      <c r="AL345" s="75"/>
      <c r="AM345" s="75"/>
      <c r="AN345" s="75"/>
      <c r="AO345" s="75"/>
      <c r="AP345" s="75"/>
      <c r="AQ345" s="71"/>
      <c r="AR345" s="75"/>
      <c r="AS345" s="75"/>
      <c r="AT345" s="75"/>
      <c r="AU345" s="71"/>
      <c r="AV345" s="71"/>
      <c r="AW345" s="71"/>
      <c r="AX345" s="71"/>
      <c r="AY345" s="71"/>
      <c r="AZ345" s="71"/>
      <c r="BB345" s="71"/>
      <c r="BD345" s="24"/>
      <c r="BG345" s="24"/>
      <c r="BJ345" s="24"/>
    </row>
    <row r="346" spans="29:62" ht="15" customHeight="1" x14ac:dyDescent="0.2">
      <c r="AC346" s="237" t="str">
        <f t="shared" si="28"/>
        <v/>
      </c>
      <c r="AD346" s="237" t="str">
        <f t="shared" si="29"/>
        <v/>
      </c>
      <c r="AF346" s="151"/>
      <c r="AG346" s="75"/>
      <c r="AH346" s="75"/>
      <c r="AI346" s="75"/>
      <c r="AJ346" s="75"/>
      <c r="AK346" s="75"/>
      <c r="AL346" s="75"/>
      <c r="AM346" s="75"/>
      <c r="AN346" s="75"/>
      <c r="AO346" s="75"/>
      <c r="AP346" s="75"/>
      <c r="AQ346" s="71"/>
      <c r="AR346" s="75"/>
      <c r="AS346" s="75"/>
      <c r="AT346" s="75"/>
      <c r="AU346" s="71"/>
      <c r="AV346" s="71"/>
      <c r="AW346" s="71"/>
      <c r="AX346" s="71"/>
      <c r="AY346" s="71"/>
      <c r="AZ346" s="71"/>
      <c r="BB346" s="71"/>
      <c r="BD346" s="24"/>
      <c r="BG346" s="24"/>
      <c r="BJ346" s="24"/>
    </row>
    <row r="347" spans="29:62" ht="15" customHeight="1" x14ac:dyDescent="0.2">
      <c r="AC347" s="237" t="str">
        <f t="shared" si="28"/>
        <v/>
      </c>
      <c r="AD347" s="237" t="str">
        <f t="shared" si="29"/>
        <v/>
      </c>
      <c r="AF347" s="151"/>
      <c r="AG347" s="75"/>
      <c r="AH347" s="75"/>
      <c r="AI347" s="75"/>
      <c r="AJ347" s="75"/>
      <c r="AK347" s="75"/>
      <c r="AL347" s="75"/>
      <c r="AM347" s="75"/>
      <c r="AN347" s="75"/>
      <c r="AO347" s="75"/>
      <c r="AP347" s="75"/>
      <c r="AQ347" s="71"/>
      <c r="AR347" s="75"/>
      <c r="AS347" s="75"/>
      <c r="AT347" s="75"/>
      <c r="AU347" s="71"/>
      <c r="AV347" s="71"/>
      <c r="AW347" s="71"/>
      <c r="AX347" s="71"/>
      <c r="AY347" s="71"/>
      <c r="AZ347" s="71"/>
      <c r="BB347" s="71"/>
      <c r="BD347" s="24"/>
      <c r="BG347" s="24"/>
      <c r="BJ347" s="24"/>
    </row>
    <row r="348" spans="29:62" ht="15" customHeight="1" x14ac:dyDescent="0.2">
      <c r="AC348" s="237" t="str">
        <f t="shared" si="28"/>
        <v/>
      </c>
      <c r="AD348" s="237" t="str">
        <f t="shared" si="29"/>
        <v/>
      </c>
      <c r="AF348" s="151"/>
      <c r="AG348" s="75"/>
      <c r="AH348" s="75"/>
      <c r="AI348" s="75"/>
      <c r="AJ348" s="75"/>
      <c r="AK348" s="75"/>
      <c r="AL348" s="75"/>
      <c r="AM348" s="75"/>
      <c r="AN348" s="75"/>
      <c r="AO348" s="75"/>
      <c r="AP348" s="75"/>
      <c r="AQ348" s="71"/>
      <c r="AR348" s="75"/>
      <c r="AS348" s="75"/>
      <c r="AT348" s="75"/>
      <c r="AU348" s="71"/>
      <c r="AV348" s="71"/>
      <c r="AW348" s="71"/>
      <c r="AX348" s="71"/>
      <c r="AY348" s="71"/>
      <c r="AZ348" s="71"/>
      <c r="BB348" s="71"/>
      <c r="BD348" s="24"/>
      <c r="BG348" s="24"/>
      <c r="BJ348" s="24"/>
    </row>
    <row r="349" spans="29:62" ht="15" customHeight="1" x14ac:dyDescent="0.2">
      <c r="AC349" s="237" t="str">
        <f t="shared" si="28"/>
        <v/>
      </c>
      <c r="AD349" s="237" t="str">
        <f t="shared" si="29"/>
        <v/>
      </c>
      <c r="AF349" s="151"/>
      <c r="AG349" s="75"/>
      <c r="AH349" s="75"/>
      <c r="AI349" s="75"/>
      <c r="AJ349" s="75"/>
      <c r="AK349" s="75"/>
      <c r="AL349" s="75"/>
      <c r="AM349" s="75"/>
      <c r="AN349" s="75"/>
      <c r="AO349" s="75"/>
      <c r="AP349" s="75"/>
      <c r="AQ349" s="71"/>
      <c r="AR349" s="75"/>
      <c r="AS349" s="75"/>
      <c r="AT349" s="75"/>
      <c r="AU349" s="71"/>
      <c r="AV349" s="71"/>
      <c r="AW349" s="71"/>
      <c r="AX349" s="71"/>
      <c r="AY349" s="71"/>
      <c r="AZ349" s="71"/>
      <c r="BB349" s="71"/>
      <c r="BD349" s="24"/>
      <c r="BG349" s="24"/>
      <c r="BJ349" s="24"/>
    </row>
    <row r="350" spans="29:62" ht="15" customHeight="1" x14ac:dyDescent="0.2">
      <c r="AC350" s="237" t="str">
        <f t="shared" si="28"/>
        <v/>
      </c>
      <c r="AD350" s="237" t="str">
        <f t="shared" si="29"/>
        <v/>
      </c>
      <c r="AF350" s="151"/>
      <c r="AG350" s="75"/>
      <c r="AH350" s="75"/>
      <c r="AI350" s="75"/>
      <c r="AJ350" s="75"/>
      <c r="AK350" s="75"/>
      <c r="AL350" s="75"/>
      <c r="AM350" s="75"/>
      <c r="AN350" s="75"/>
      <c r="AO350" s="75"/>
      <c r="AP350" s="75"/>
      <c r="AQ350" s="71"/>
      <c r="AR350" s="75"/>
      <c r="AS350" s="75"/>
      <c r="AT350" s="75"/>
      <c r="AU350" s="71"/>
      <c r="AV350" s="71"/>
      <c r="AW350" s="71"/>
      <c r="AX350" s="71"/>
      <c r="AY350" s="71"/>
      <c r="AZ350" s="71"/>
      <c r="BB350" s="71"/>
      <c r="BD350" s="24"/>
      <c r="BG350" s="24"/>
      <c r="BJ350" s="24"/>
    </row>
    <row r="351" spans="29:62" ht="15" customHeight="1" x14ac:dyDescent="0.2">
      <c r="AC351" s="237" t="str">
        <f t="shared" si="28"/>
        <v/>
      </c>
      <c r="AD351" s="237" t="str">
        <f t="shared" si="29"/>
        <v/>
      </c>
      <c r="AF351" s="151"/>
      <c r="AG351" s="75"/>
      <c r="AH351" s="75"/>
      <c r="AI351" s="75"/>
      <c r="AJ351" s="75"/>
      <c r="AK351" s="75"/>
      <c r="AL351" s="75"/>
      <c r="AM351" s="75"/>
      <c r="AN351" s="75"/>
      <c r="AO351" s="75"/>
      <c r="AP351" s="75"/>
      <c r="AQ351" s="71"/>
      <c r="AR351" s="75"/>
      <c r="AS351" s="75"/>
      <c r="AT351" s="75"/>
      <c r="AU351" s="71"/>
      <c r="AV351" s="71"/>
      <c r="AW351" s="71"/>
      <c r="AX351" s="71"/>
      <c r="AY351" s="71"/>
      <c r="AZ351" s="71"/>
      <c r="BB351" s="71"/>
      <c r="BD351" s="24"/>
      <c r="BG351" s="24"/>
      <c r="BJ351" s="24"/>
    </row>
    <row r="352" spans="29:62" ht="15" customHeight="1" x14ac:dyDescent="0.2">
      <c r="AC352" s="237" t="str">
        <f t="shared" si="28"/>
        <v/>
      </c>
      <c r="AD352" s="237" t="str">
        <f t="shared" si="29"/>
        <v/>
      </c>
      <c r="AF352" s="151"/>
      <c r="AG352" s="75"/>
      <c r="AH352" s="75"/>
      <c r="AI352" s="75"/>
      <c r="AJ352" s="75"/>
      <c r="AK352" s="75"/>
      <c r="AL352" s="75"/>
      <c r="AM352" s="75"/>
      <c r="AN352" s="75"/>
      <c r="AO352" s="75"/>
      <c r="AP352" s="75"/>
      <c r="AQ352" s="71"/>
      <c r="AR352" s="75"/>
      <c r="AS352" s="75"/>
      <c r="AT352" s="75"/>
      <c r="AU352" s="71"/>
      <c r="AV352" s="71"/>
      <c r="AW352" s="71"/>
      <c r="AX352" s="71"/>
      <c r="AY352" s="71"/>
      <c r="AZ352" s="71"/>
      <c r="BB352" s="71"/>
      <c r="BD352" s="24"/>
      <c r="BG352" s="24"/>
      <c r="BJ352" s="24"/>
    </row>
    <row r="353" spans="29:62" ht="15" customHeight="1" x14ac:dyDescent="0.2">
      <c r="AC353" s="237" t="str">
        <f t="shared" si="28"/>
        <v/>
      </c>
      <c r="AD353" s="237" t="str">
        <f t="shared" si="29"/>
        <v/>
      </c>
      <c r="AF353" s="151"/>
      <c r="AG353" s="75"/>
      <c r="AH353" s="75"/>
      <c r="AI353" s="75"/>
      <c r="AJ353" s="75"/>
      <c r="AK353" s="75"/>
      <c r="AL353" s="75"/>
      <c r="AM353" s="75"/>
      <c r="AN353" s="75"/>
      <c r="AO353" s="75"/>
      <c r="AP353" s="75"/>
      <c r="AQ353" s="71"/>
      <c r="AR353" s="75"/>
      <c r="AS353" s="75"/>
      <c r="AT353" s="75"/>
      <c r="AU353" s="71"/>
      <c r="AV353" s="71"/>
      <c r="AW353" s="71"/>
      <c r="AX353" s="71"/>
      <c r="AY353" s="71"/>
      <c r="AZ353" s="71"/>
      <c r="BB353" s="71"/>
      <c r="BD353" s="24"/>
      <c r="BG353" s="24"/>
      <c r="BJ353" s="24"/>
    </row>
    <row r="354" spans="29:62" ht="15" customHeight="1" x14ac:dyDescent="0.2">
      <c r="AC354" s="237" t="str">
        <f t="shared" si="28"/>
        <v/>
      </c>
      <c r="AD354" s="237" t="str">
        <f t="shared" si="29"/>
        <v/>
      </c>
      <c r="AF354" s="151"/>
      <c r="AG354" s="75"/>
      <c r="AH354" s="75"/>
      <c r="AI354" s="75"/>
      <c r="AJ354" s="75"/>
      <c r="AK354" s="75"/>
      <c r="AL354" s="75"/>
      <c r="AM354" s="75"/>
      <c r="AN354" s="75"/>
      <c r="AO354" s="75"/>
      <c r="AP354" s="75"/>
      <c r="AQ354" s="71"/>
      <c r="AR354" s="75"/>
      <c r="AS354" s="75"/>
      <c r="AT354" s="75"/>
      <c r="AU354" s="71"/>
      <c r="AV354" s="71"/>
      <c r="AW354" s="71"/>
      <c r="AX354" s="71"/>
      <c r="AY354" s="71"/>
      <c r="AZ354" s="71"/>
      <c r="BB354" s="71"/>
      <c r="BD354" s="24"/>
      <c r="BG354" s="24"/>
      <c r="BJ354" s="24"/>
    </row>
    <row r="355" spans="29:62" ht="15" customHeight="1" x14ac:dyDescent="0.2">
      <c r="AC355" s="237" t="str">
        <f t="shared" si="28"/>
        <v/>
      </c>
      <c r="AD355" s="237" t="str">
        <f t="shared" si="29"/>
        <v/>
      </c>
      <c r="AF355" s="151"/>
      <c r="AG355" s="75"/>
      <c r="AH355" s="75"/>
      <c r="AI355" s="75"/>
      <c r="AJ355" s="75"/>
      <c r="AK355" s="75"/>
      <c r="AL355" s="75"/>
      <c r="AM355" s="75"/>
      <c r="AN355" s="75"/>
      <c r="AO355" s="75"/>
      <c r="AP355" s="75"/>
      <c r="AQ355" s="71"/>
      <c r="AR355" s="75"/>
      <c r="AS355" s="75"/>
      <c r="AT355" s="75"/>
      <c r="AU355" s="71"/>
      <c r="AV355" s="71"/>
      <c r="AW355" s="71"/>
      <c r="AX355" s="71"/>
      <c r="AY355" s="71"/>
      <c r="AZ355" s="71"/>
      <c r="BB355" s="71"/>
      <c r="BD355" s="24"/>
      <c r="BG355" s="24"/>
      <c r="BJ355" s="24"/>
    </row>
    <row r="356" spans="29:62" ht="15" customHeight="1" x14ac:dyDescent="0.2">
      <c r="AC356" s="237" t="str">
        <f t="shared" si="28"/>
        <v/>
      </c>
      <c r="AD356" s="237" t="str">
        <f t="shared" si="29"/>
        <v/>
      </c>
      <c r="AF356" s="151"/>
      <c r="AG356" s="75"/>
      <c r="AH356" s="75"/>
      <c r="AI356" s="75"/>
      <c r="AJ356" s="75"/>
      <c r="AK356" s="75"/>
      <c r="AL356" s="75"/>
      <c r="AM356" s="75"/>
      <c r="AN356" s="75"/>
      <c r="AO356" s="75"/>
      <c r="AP356" s="75"/>
      <c r="AQ356" s="71"/>
      <c r="AR356" s="75"/>
      <c r="AS356" s="75"/>
      <c r="AT356" s="75"/>
      <c r="AU356" s="71"/>
      <c r="AV356" s="71"/>
      <c r="AW356" s="71"/>
      <c r="AX356" s="71"/>
      <c r="AY356" s="71"/>
      <c r="AZ356" s="71"/>
      <c r="BB356" s="71"/>
      <c r="BD356" s="24"/>
      <c r="BG356" s="24"/>
      <c r="BJ356" s="24"/>
    </row>
    <row r="357" spans="29:62" ht="15" customHeight="1" x14ac:dyDescent="0.2">
      <c r="AC357" s="237" t="str">
        <f t="shared" si="28"/>
        <v/>
      </c>
      <c r="AD357" s="237" t="str">
        <f t="shared" si="29"/>
        <v/>
      </c>
      <c r="AF357" s="151"/>
      <c r="AG357" s="75"/>
      <c r="AH357" s="75"/>
      <c r="AI357" s="75"/>
      <c r="AJ357" s="75"/>
      <c r="AK357" s="75"/>
      <c r="AL357" s="75"/>
      <c r="AM357" s="75"/>
      <c r="AN357" s="75"/>
      <c r="AO357" s="75"/>
      <c r="AP357" s="75"/>
      <c r="AQ357" s="71"/>
      <c r="AR357" s="75"/>
      <c r="AS357" s="75"/>
      <c r="AT357" s="75"/>
      <c r="AU357" s="71"/>
      <c r="AV357" s="71"/>
      <c r="AW357" s="71"/>
      <c r="AX357" s="71"/>
      <c r="AY357" s="71"/>
      <c r="AZ357" s="71"/>
      <c r="BB357" s="71"/>
      <c r="BD357" s="24"/>
      <c r="BG357" s="24"/>
      <c r="BJ357" s="24"/>
    </row>
    <row r="358" spans="29:62" ht="15" customHeight="1" x14ac:dyDescent="0.2">
      <c r="AC358" s="237" t="str">
        <f t="shared" si="28"/>
        <v/>
      </c>
      <c r="AD358" s="237" t="str">
        <f t="shared" si="29"/>
        <v/>
      </c>
      <c r="AF358" s="151"/>
      <c r="AG358" s="75"/>
      <c r="AH358" s="75"/>
      <c r="AI358" s="75"/>
      <c r="AJ358" s="75"/>
      <c r="AK358" s="75"/>
      <c r="AL358" s="75"/>
      <c r="AM358" s="75"/>
      <c r="AN358" s="75"/>
      <c r="AO358" s="75"/>
      <c r="AP358" s="75"/>
      <c r="AQ358" s="71"/>
      <c r="AR358" s="75"/>
      <c r="AS358" s="75"/>
      <c r="AT358" s="75"/>
      <c r="AU358" s="71"/>
      <c r="AV358" s="71"/>
      <c r="AW358" s="71"/>
      <c r="AX358" s="71"/>
      <c r="AY358" s="71"/>
      <c r="AZ358" s="71"/>
      <c r="BB358" s="71"/>
      <c r="BD358" s="24"/>
      <c r="BG358" s="24"/>
      <c r="BJ358" s="24"/>
    </row>
    <row r="359" spans="29:62" ht="15" customHeight="1" x14ac:dyDescent="0.2">
      <c r="AC359" s="237" t="str">
        <f t="shared" si="28"/>
        <v/>
      </c>
      <c r="AD359" s="237" t="str">
        <f t="shared" si="29"/>
        <v/>
      </c>
      <c r="AF359" s="151"/>
      <c r="AG359" s="75"/>
      <c r="AH359" s="75"/>
      <c r="AI359" s="75"/>
      <c r="AJ359" s="75"/>
      <c r="AK359" s="75"/>
      <c r="AL359" s="75"/>
      <c r="AM359" s="75"/>
      <c r="AN359" s="75"/>
      <c r="AO359" s="75"/>
      <c r="AP359" s="75"/>
      <c r="AQ359" s="71"/>
      <c r="AR359" s="75"/>
      <c r="AS359" s="75"/>
      <c r="AT359" s="75"/>
      <c r="AU359" s="71"/>
      <c r="AV359" s="71"/>
      <c r="AW359" s="71"/>
      <c r="AX359" s="71"/>
      <c r="AY359" s="71"/>
      <c r="AZ359" s="71"/>
      <c r="BB359" s="71"/>
      <c r="BD359" s="24"/>
      <c r="BG359" s="24"/>
      <c r="BJ359" s="24"/>
    </row>
    <row r="360" spans="29:62" ht="15" customHeight="1" x14ac:dyDescent="0.2">
      <c r="AC360" s="237" t="str">
        <f t="shared" si="28"/>
        <v/>
      </c>
      <c r="AD360" s="237" t="str">
        <f t="shared" si="29"/>
        <v/>
      </c>
      <c r="AF360" s="151"/>
      <c r="AG360" s="75"/>
      <c r="AH360" s="75"/>
      <c r="AI360" s="75"/>
      <c r="AJ360" s="75"/>
      <c r="AK360" s="75"/>
      <c r="AL360" s="75"/>
      <c r="AM360" s="75"/>
      <c r="AN360" s="75"/>
      <c r="AO360" s="75"/>
      <c r="AP360" s="75"/>
      <c r="AQ360" s="71"/>
      <c r="AR360" s="75"/>
      <c r="AS360" s="75"/>
      <c r="AT360" s="75"/>
      <c r="AU360" s="71"/>
      <c r="AV360" s="71"/>
      <c r="AW360" s="71"/>
      <c r="AX360" s="71"/>
      <c r="AY360" s="71"/>
      <c r="AZ360" s="71"/>
      <c r="BB360" s="71"/>
      <c r="BD360" s="24"/>
      <c r="BG360" s="24"/>
      <c r="BJ360" s="24"/>
    </row>
    <row r="361" spans="29:62" ht="15" customHeight="1" x14ac:dyDescent="0.2">
      <c r="AC361" s="237" t="str">
        <f t="shared" si="28"/>
        <v/>
      </c>
      <c r="AD361" s="237" t="str">
        <f t="shared" si="29"/>
        <v/>
      </c>
      <c r="AF361" s="151"/>
      <c r="AG361" s="75"/>
      <c r="AH361" s="75"/>
      <c r="AI361" s="75"/>
      <c r="AJ361" s="75"/>
      <c r="AK361" s="75"/>
      <c r="AL361" s="75"/>
      <c r="AM361" s="75"/>
      <c r="AN361" s="75"/>
      <c r="AO361" s="75"/>
      <c r="AP361" s="75"/>
      <c r="AQ361" s="71"/>
      <c r="AR361" s="75"/>
      <c r="AS361" s="75"/>
      <c r="AT361" s="75"/>
      <c r="AU361" s="71"/>
      <c r="AV361" s="71"/>
      <c r="AW361" s="71"/>
      <c r="AX361" s="71"/>
      <c r="AY361" s="71"/>
      <c r="AZ361" s="71"/>
      <c r="BB361" s="71"/>
      <c r="BD361" s="24"/>
      <c r="BG361" s="24"/>
      <c r="BJ361" s="24"/>
    </row>
    <row r="362" spans="29:62" ht="15" customHeight="1" x14ac:dyDescent="0.2">
      <c r="AC362" s="237" t="str">
        <f t="shared" si="28"/>
        <v/>
      </c>
      <c r="AD362" s="237" t="str">
        <f t="shared" si="29"/>
        <v/>
      </c>
      <c r="AF362" s="151"/>
      <c r="AG362" s="75"/>
      <c r="AH362" s="75"/>
      <c r="AI362" s="75"/>
      <c r="AJ362" s="75"/>
      <c r="AK362" s="75"/>
      <c r="AL362" s="75"/>
      <c r="AM362" s="75"/>
      <c r="AN362" s="75"/>
      <c r="AO362" s="75"/>
      <c r="AP362" s="75"/>
      <c r="AQ362" s="71"/>
      <c r="AR362" s="75"/>
      <c r="AS362" s="75"/>
      <c r="AT362" s="75"/>
      <c r="AU362" s="71"/>
      <c r="AV362" s="71"/>
      <c r="AW362" s="71"/>
      <c r="AX362" s="71"/>
      <c r="AY362" s="71"/>
      <c r="AZ362" s="71"/>
      <c r="BB362" s="71"/>
      <c r="BD362" s="24"/>
      <c r="BG362" s="24"/>
      <c r="BJ362" s="24"/>
    </row>
    <row r="363" spans="29:62" ht="15" customHeight="1" x14ac:dyDescent="0.2">
      <c r="AC363" s="237" t="str">
        <f t="shared" si="28"/>
        <v/>
      </c>
      <c r="AD363" s="237" t="str">
        <f t="shared" si="29"/>
        <v/>
      </c>
      <c r="AF363" s="151"/>
      <c r="AG363" s="75"/>
      <c r="AH363" s="75"/>
      <c r="AI363" s="75"/>
      <c r="AJ363" s="75"/>
      <c r="AK363" s="75"/>
      <c r="AL363" s="75"/>
      <c r="AM363" s="75"/>
      <c r="AN363" s="75"/>
      <c r="AO363" s="75"/>
      <c r="AP363" s="75"/>
      <c r="AQ363" s="71"/>
      <c r="AR363" s="75"/>
      <c r="AS363" s="75"/>
      <c r="AT363" s="75"/>
      <c r="AU363" s="71"/>
      <c r="AV363" s="71"/>
      <c r="AW363" s="71"/>
      <c r="AX363" s="71"/>
      <c r="AY363" s="71"/>
      <c r="AZ363" s="71"/>
      <c r="BB363" s="71"/>
      <c r="BD363" s="24"/>
      <c r="BG363" s="24"/>
      <c r="BJ363" s="24"/>
    </row>
    <row r="364" spans="29:62" ht="15" customHeight="1" x14ac:dyDescent="0.2">
      <c r="AC364" s="237" t="str">
        <f t="shared" si="28"/>
        <v/>
      </c>
      <c r="AD364" s="237" t="str">
        <f t="shared" si="29"/>
        <v/>
      </c>
      <c r="AF364" s="151"/>
      <c r="AG364" s="75"/>
      <c r="AH364" s="75"/>
      <c r="AI364" s="75"/>
      <c r="AJ364" s="75"/>
      <c r="AK364" s="75"/>
      <c r="AL364" s="75"/>
      <c r="AM364" s="75"/>
      <c r="AN364" s="75"/>
      <c r="AO364" s="75"/>
      <c r="AP364" s="75"/>
      <c r="AQ364" s="71"/>
      <c r="AR364" s="75"/>
      <c r="AS364" s="75"/>
      <c r="AT364" s="75"/>
      <c r="AU364" s="71"/>
      <c r="AV364" s="71"/>
      <c r="AW364" s="71"/>
      <c r="AX364" s="71"/>
      <c r="AY364" s="71"/>
      <c r="AZ364" s="71"/>
      <c r="BB364" s="71"/>
      <c r="BD364" s="24"/>
      <c r="BG364" s="24"/>
      <c r="BJ364" s="24"/>
    </row>
    <row r="365" spans="29:62" ht="15" customHeight="1" x14ac:dyDescent="0.2">
      <c r="AC365" s="237" t="str">
        <f t="shared" si="28"/>
        <v/>
      </c>
      <c r="AD365" s="237" t="str">
        <f t="shared" si="29"/>
        <v/>
      </c>
      <c r="AF365" s="151"/>
      <c r="AG365" s="75"/>
      <c r="AH365" s="75"/>
      <c r="AI365" s="75"/>
      <c r="AJ365" s="75"/>
      <c r="AK365" s="75"/>
      <c r="AL365" s="75"/>
      <c r="AM365" s="75"/>
      <c r="AN365" s="75"/>
      <c r="AO365" s="75"/>
      <c r="AP365" s="75"/>
      <c r="AQ365" s="71"/>
      <c r="AR365" s="75"/>
      <c r="AS365" s="75"/>
      <c r="AT365" s="75"/>
      <c r="AU365" s="71"/>
      <c r="AV365" s="71"/>
      <c r="AW365" s="71"/>
      <c r="AX365" s="71"/>
      <c r="AY365" s="71"/>
      <c r="AZ365" s="71"/>
      <c r="BB365" s="71"/>
      <c r="BD365" s="24"/>
      <c r="BG365" s="24"/>
      <c r="BJ365" s="24"/>
    </row>
    <row r="366" spans="29:62" ht="15" customHeight="1" x14ac:dyDescent="0.2">
      <c r="AC366" s="237" t="str">
        <f t="shared" si="28"/>
        <v/>
      </c>
      <c r="AD366" s="237" t="str">
        <f t="shared" si="29"/>
        <v/>
      </c>
      <c r="AF366" s="151"/>
      <c r="AG366" s="75"/>
      <c r="AH366" s="75"/>
      <c r="AI366" s="75"/>
      <c r="AJ366" s="75"/>
      <c r="AK366" s="75"/>
      <c r="AL366" s="75"/>
      <c r="AM366" s="75"/>
      <c r="AN366" s="75"/>
      <c r="AO366" s="75"/>
      <c r="AP366" s="75"/>
      <c r="AQ366" s="71"/>
      <c r="AR366" s="75"/>
      <c r="AS366" s="75"/>
      <c r="AT366" s="75"/>
      <c r="AU366" s="71"/>
      <c r="AV366" s="71"/>
      <c r="AW366" s="71"/>
      <c r="AX366" s="71"/>
      <c r="AY366" s="71"/>
      <c r="AZ366" s="71"/>
      <c r="BB366" s="71"/>
      <c r="BD366" s="24"/>
      <c r="BG366" s="24"/>
      <c r="BJ366" s="24"/>
    </row>
    <row r="367" spans="29:62" ht="15" customHeight="1" x14ac:dyDescent="0.2">
      <c r="AC367" s="237" t="str">
        <f t="shared" si="28"/>
        <v/>
      </c>
      <c r="AD367" s="237" t="str">
        <f t="shared" si="29"/>
        <v/>
      </c>
      <c r="AF367" s="151"/>
      <c r="AG367" s="75"/>
      <c r="AH367" s="75"/>
      <c r="AI367" s="75"/>
      <c r="AJ367" s="75"/>
      <c r="AK367" s="75"/>
      <c r="AL367" s="75"/>
      <c r="AM367" s="75"/>
      <c r="AN367" s="75"/>
      <c r="AO367" s="75"/>
      <c r="AP367" s="75"/>
      <c r="AQ367" s="71"/>
      <c r="AR367" s="75"/>
      <c r="AS367" s="75"/>
      <c r="AT367" s="75"/>
      <c r="AU367" s="71"/>
      <c r="AV367" s="71"/>
      <c r="AW367" s="71"/>
      <c r="AX367" s="71"/>
      <c r="AY367" s="71"/>
      <c r="AZ367" s="71"/>
      <c r="BB367" s="71"/>
      <c r="BD367" s="24"/>
      <c r="BG367" s="24"/>
      <c r="BJ367" s="24"/>
    </row>
    <row r="368" spans="29:62" ht="15" customHeight="1" x14ac:dyDescent="0.2">
      <c r="AC368" s="237" t="str">
        <f t="shared" si="28"/>
        <v/>
      </c>
      <c r="AD368" s="237" t="str">
        <f t="shared" si="29"/>
        <v/>
      </c>
      <c r="AF368" s="151"/>
      <c r="AG368" s="75"/>
      <c r="AH368" s="75"/>
      <c r="AI368" s="75"/>
      <c r="AJ368" s="75"/>
      <c r="AK368" s="75"/>
      <c r="AL368" s="75"/>
      <c r="AM368" s="75"/>
      <c r="AN368" s="75"/>
      <c r="AO368" s="75"/>
      <c r="AP368" s="75"/>
      <c r="AQ368" s="71"/>
      <c r="AR368" s="75"/>
      <c r="AS368" s="75"/>
      <c r="AT368" s="75"/>
      <c r="AU368" s="71"/>
      <c r="AV368" s="71"/>
      <c r="AW368" s="71"/>
      <c r="AX368" s="71"/>
      <c r="AY368" s="71"/>
      <c r="AZ368" s="71"/>
      <c r="BB368" s="71"/>
      <c r="BD368" s="24"/>
      <c r="BG368" s="24"/>
      <c r="BJ368" s="24"/>
    </row>
    <row r="369" spans="29:62" ht="15" customHeight="1" x14ac:dyDescent="0.2">
      <c r="AC369" s="237" t="str">
        <f t="shared" si="28"/>
        <v/>
      </c>
      <c r="AD369" s="237" t="str">
        <f t="shared" si="29"/>
        <v/>
      </c>
      <c r="AF369" s="151"/>
      <c r="AG369" s="75"/>
      <c r="AH369" s="75"/>
      <c r="AI369" s="75"/>
      <c r="AJ369" s="75"/>
      <c r="AK369" s="75"/>
      <c r="AL369" s="75"/>
      <c r="AM369" s="75"/>
      <c r="AN369" s="75"/>
      <c r="AO369" s="75"/>
      <c r="AP369" s="75"/>
      <c r="AQ369" s="71"/>
      <c r="AR369" s="75"/>
      <c r="AS369" s="75"/>
      <c r="AT369" s="75"/>
      <c r="AU369" s="71"/>
      <c r="AV369" s="71"/>
      <c r="AW369" s="71"/>
      <c r="AX369" s="71"/>
      <c r="AY369" s="71"/>
      <c r="AZ369" s="71"/>
      <c r="BB369" s="71"/>
      <c r="BD369" s="24"/>
      <c r="BG369" s="24"/>
      <c r="BJ369" s="24"/>
    </row>
    <row r="370" spans="29:62" ht="15" customHeight="1" x14ac:dyDescent="0.2">
      <c r="AC370" s="237" t="str">
        <f t="shared" si="28"/>
        <v/>
      </c>
      <c r="AD370" s="237" t="str">
        <f t="shared" si="29"/>
        <v/>
      </c>
      <c r="AF370" s="151"/>
      <c r="AG370" s="75"/>
      <c r="AH370" s="75"/>
      <c r="AI370" s="75"/>
      <c r="AJ370" s="75"/>
      <c r="AK370" s="75"/>
      <c r="AL370" s="75"/>
      <c r="AM370" s="75"/>
      <c r="AN370" s="75"/>
      <c r="AO370" s="75"/>
      <c r="AP370" s="75"/>
      <c r="AQ370" s="71"/>
      <c r="AR370" s="75"/>
      <c r="AS370" s="75"/>
      <c r="AT370" s="75"/>
      <c r="AU370" s="71"/>
      <c r="AV370" s="71"/>
      <c r="AW370" s="71"/>
      <c r="AX370" s="71"/>
      <c r="AY370" s="71"/>
      <c r="AZ370" s="71"/>
      <c r="BB370" s="71"/>
      <c r="BD370" s="24"/>
      <c r="BG370" s="24"/>
      <c r="BJ370" s="24"/>
    </row>
    <row r="371" spans="29:62" ht="15" customHeight="1" x14ac:dyDescent="0.2">
      <c r="AC371" s="237" t="str">
        <f t="shared" si="28"/>
        <v/>
      </c>
      <c r="AD371" s="237" t="str">
        <f t="shared" si="29"/>
        <v/>
      </c>
      <c r="AF371" s="151"/>
      <c r="AG371" s="75"/>
      <c r="AH371" s="75"/>
      <c r="AI371" s="75"/>
      <c r="AJ371" s="75"/>
      <c r="AK371" s="75"/>
      <c r="AL371" s="75"/>
      <c r="AM371" s="75"/>
      <c r="AN371" s="75"/>
      <c r="AO371" s="75"/>
      <c r="AP371" s="75"/>
      <c r="AQ371" s="71"/>
      <c r="AR371" s="75"/>
      <c r="AS371" s="75"/>
      <c r="AT371" s="75"/>
      <c r="AU371" s="71"/>
      <c r="AV371" s="71"/>
      <c r="AW371" s="71"/>
      <c r="AX371" s="71"/>
      <c r="AY371" s="71"/>
      <c r="AZ371" s="71"/>
      <c r="BB371" s="71"/>
      <c r="BD371" s="24"/>
      <c r="BG371" s="24"/>
      <c r="BJ371" s="24"/>
    </row>
    <row r="372" spans="29:62" ht="15" customHeight="1" x14ac:dyDescent="0.2">
      <c r="AC372" s="237" t="str">
        <f t="shared" si="28"/>
        <v/>
      </c>
      <c r="AD372" s="237" t="str">
        <f t="shared" si="29"/>
        <v/>
      </c>
      <c r="AF372" s="151"/>
      <c r="AG372" s="75"/>
      <c r="AH372" s="75"/>
      <c r="AI372" s="75"/>
      <c r="AJ372" s="75"/>
      <c r="AK372" s="75"/>
      <c r="AL372" s="75"/>
      <c r="AM372" s="75"/>
      <c r="AN372" s="75"/>
      <c r="AO372" s="75"/>
      <c r="AP372" s="75"/>
      <c r="AQ372" s="71"/>
      <c r="AR372" s="75"/>
      <c r="AS372" s="75"/>
      <c r="AT372" s="75"/>
      <c r="AU372" s="71"/>
      <c r="AV372" s="71"/>
      <c r="AW372" s="71"/>
      <c r="AX372" s="71"/>
      <c r="AY372" s="71"/>
      <c r="AZ372" s="71"/>
      <c r="BB372" s="71"/>
      <c r="BD372" s="24"/>
      <c r="BG372" s="24"/>
      <c r="BJ372" s="24"/>
    </row>
    <row r="373" spans="29:62" ht="15" customHeight="1" x14ac:dyDescent="0.2">
      <c r="AC373" s="237" t="str">
        <f t="shared" si="28"/>
        <v/>
      </c>
      <c r="AD373" s="237" t="str">
        <f t="shared" si="29"/>
        <v/>
      </c>
      <c r="AF373" s="151"/>
      <c r="AG373" s="75"/>
      <c r="AH373" s="75"/>
      <c r="AI373" s="75"/>
      <c r="AJ373" s="75"/>
      <c r="AK373" s="75"/>
      <c r="AL373" s="75"/>
      <c r="AM373" s="75"/>
      <c r="AN373" s="75"/>
      <c r="AO373" s="75"/>
      <c r="AP373" s="75"/>
      <c r="AQ373" s="71"/>
      <c r="AR373" s="75"/>
      <c r="AS373" s="75"/>
      <c r="AT373" s="75"/>
      <c r="AU373" s="71"/>
      <c r="AV373" s="71"/>
      <c r="AW373" s="71"/>
      <c r="AX373" s="71"/>
      <c r="AY373" s="71"/>
      <c r="AZ373" s="71"/>
      <c r="BB373" s="71"/>
      <c r="BD373" s="24"/>
      <c r="BG373" s="24"/>
      <c r="BJ373" s="24"/>
    </row>
    <row r="374" spans="29:62" ht="15" customHeight="1" x14ac:dyDescent="0.2">
      <c r="AC374" s="237" t="str">
        <f t="shared" si="28"/>
        <v/>
      </c>
      <c r="AD374" s="237" t="str">
        <f t="shared" si="29"/>
        <v/>
      </c>
      <c r="AF374" s="151"/>
      <c r="AG374" s="75"/>
      <c r="AH374" s="75"/>
      <c r="AI374" s="75"/>
      <c r="AJ374" s="75"/>
      <c r="AK374" s="75"/>
      <c r="AL374" s="75"/>
      <c r="AM374" s="75"/>
      <c r="AN374" s="75"/>
      <c r="AO374" s="75"/>
      <c r="AP374" s="75"/>
      <c r="AQ374" s="71"/>
      <c r="AR374" s="75"/>
      <c r="AS374" s="75"/>
      <c r="AT374" s="75"/>
      <c r="AU374" s="71"/>
      <c r="AV374" s="71"/>
      <c r="AW374" s="71"/>
      <c r="AX374" s="71"/>
      <c r="AY374" s="71"/>
      <c r="AZ374" s="71"/>
      <c r="BB374" s="71"/>
      <c r="BD374" s="24"/>
      <c r="BG374" s="24"/>
      <c r="BJ374" s="24"/>
    </row>
    <row r="375" spans="29:62" ht="15" customHeight="1" x14ac:dyDescent="0.2">
      <c r="AC375" s="237" t="str">
        <f t="shared" si="28"/>
        <v/>
      </c>
      <c r="AD375" s="237" t="str">
        <f t="shared" si="29"/>
        <v/>
      </c>
      <c r="AF375" s="151"/>
      <c r="AG375" s="75"/>
      <c r="AH375" s="75"/>
      <c r="AI375" s="75"/>
      <c r="AJ375" s="75"/>
      <c r="AK375" s="75"/>
      <c r="AL375" s="75"/>
      <c r="AM375" s="75"/>
      <c r="AN375" s="75"/>
      <c r="AO375" s="75"/>
      <c r="AP375" s="75"/>
      <c r="AQ375" s="71"/>
      <c r="AR375" s="75"/>
      <c r="AS375" s="75"/>
      <c r="AT375" s="75"/>
      <c r="AU375" s="71"/>
      <c r="AV375" s="71"/>
      <c r="AW375" s="71"/>
      <c r="AX375" s="71"/>
      <c r="AY375" s="71"/>
      <c r="AZ375" s="71"/>
      <c r="BB375" s="71"/>
      <c r="BD375" s="24"/>
      <c r="BG375" s="24"/>
      <c r="BJ375" s="24"/>
    </row>
    <row r="376" spans="29:62" ht="15" customHeight="1" x14ac:dyDescent="0.2">
      <c r="AC376" s="237" t="str">
        <f t="shared" si="28"/>
        <v/>
      </c>
      <c r="AD376" s="237" t="str">
        <f t="shared" si="29"/>
        <v/>
      </c>
      <c r="AF376" s="151"/>
      <c r="AG376" s="75"/>
      <c r="AH376" s="75"/>
      <c r="AI376" s="75"/>
      <c r="AJ376" s="75"/>
      <c r="AK376" s="75"/>
      <c r="AL376" s="75"/>
      <c r="AM376" s="75"/>
      <c r="AN376" s="75"/>
      <c r="AO376" s="75"/>
      <c r="AP376" s="75"/>
      <c r="AQ376" s="71"/>
      <c r="AR376" s="75"/>
      <c r="AS376" s="75"/>
      <c r="AT376" s="75"/>
      <c r="AU376" s="71"/>
      <c r="AV376" s="71"/>
      <c r="AW376" s="71"/>
      <c r="AX376" s="71"/>
      <c r="AY376" s="71"/>
      <c r="AZ376" s="71"/>
      <c r="BB376" s="71"/>
      <c r="BD376" s="24"/>
      <c r="BG376" s="24"/>
      <c r="BJ376" s="24"/>
    </row>
    <row r="377" spans="29:62" ht="15" customHeight="1" x14ac:dyDescent="0.2">
      <c r="AC377" s="237" t="str">
        <f t="shared" si="28"/>
        <v/>
      </c>
      <c r="AD377" s="237" t="str">
        <f t="shared" si="29"/>
        <v/>
      </c>
      <c r="AF377" s="151"/>
      <c r="AG377" s="75"/>
      <c r="AH377" s="75"/>
      <c r="AI377" s="75"/>
      <c r="AJ377" s="75"/>
      <c r="AK377" s="75"/>
      <c r="AL377" s="75"/>
      <c r="AM377" s="75"/>
      <c r="AN377" s="75"/>
      <c r="AO377" s="75"/>
      <c r="AP377" s="75"/>
      <c r="AQ377" s="71"/>
      <c r="AR377" s="75"/>
      <c r="AS377" s="75"/>
      <c r="AT377" s="75"/>
      <c r="AU377" s="71"/>
      <c r="AV377" s="71"/>
      <c r="AW377" s="71"/>
      <c r="AX377" s="71"/>
      <c r="AY377" s="71"/>
      <c r="AZ377" s="71"/>
      <c r="BB377" s="71"/>
      <c r="BD377" s="24"/>
      <c r="BG377" s="24"/>
      <c r="BJ377" s="24"/>
    </row>
    <row r="378" spans="29:62" ht="15" customHeight="1" x14ac:dyDescent="0.2">
      <c r="AC378" s="237" t="str">
        <f t="shared" si="28"/>
        <v/>
      </c>
      <c r="AD378" s="237" t="str">
        <f t="shared" si="29"/>
        <v/>
      </c>
      <c r="AF378" s="151"/>
      <c r="AG378" s="75"/>
      <c r="AH378" s="75"/>
      <c r="AI378" s="75"/>
      <c r="AJ378" s="75"/>
      <c r="AK378" s="75"/>
      <c r="AL378" s="75"/>
      <c r="AM378" s="75"/>
      <c r="AN378" s="75"/>
      <c r="AO378" s="75"/>
      <c r="AP378" s="75"/>
      <c r="AQ378" s="71"/>
      <c r="AR378" s="75"/>
      <c r="AS378" s="75"/>
      <c r="AT378" s="75"/>
      <c r="AU378" s="71"/>
      <c r="AV378" s="71"/>
      <c r="AW378" s="71"/>
      <c r="AX378" s="71"/>
      <c r="AY378" s="71"/>
      <c r="AZ378" s="71"/>
      <c r="BB378" s="71"/>
      <c r="BD378" s="24"/>
      <c r="BG378" s="24"/>
      <c r="BJ378" s="24"/>
    </row>
    <row r="379" spans="29:62" ht="15" customHeight="1" x14ac:dyDescent="0.2">
      <c r="AC379" s="237" t="str">
        <f t="shared" si="28"/>
        <v/>
      </c>
      <c r="AD379" s="237" t="str">
        <f t="shared" si="29"/>
        <v/>
      </c>
      <c r="AF379" s="151"/>
      <c r="AG379" s="75"/>
      <c r="AH379" s="75"/>
      <c r="AI379" s="75"/>
      <c r="AJ379" s="75"/>
      <c r="AK379" s="75"/>
      <c r="AL379" s="75"/>
      <c r="AM379" s="75"/>
      <c r="AN379" s="75"/>
      <c r="AO379" s="75"/>
      <c r="AP379" s="75"/>
      <c r="AQ379" s="71"/>
      <c r="AR379" s="75"/>
      <c r="AS379" s="75"/>
      <c r="AT379" s="75"/>
      <c r="AU379" s="71"/>
      <c r="AV379" s="71"/>
      <c r="AW379" s="71"/>
      <c r="AX379" s="71"/>
      <c r="AY379" s="71"/>
      <c r="AZ379" s="71"/>
      <c r="BB379" s="71"/>
      <c r="BD379" s="24"/>
      <c r="BG379" s="24"/>
      <c r="BJ379" s="24"/>
    </row>
    <row r="380" spans="29:62" ht="15" customHeight="1" x14ac:dyDescent="0.2">
      <c r="AC380" s="237" t="str">
        <f t="shared" si="28"/>
        <v/>
      </c>
      <c r="AD380" s="237" t="str">
        <f t="shared" si="29"/>
        <v/>
      </c>
      <c r="AF380" s="151"/>
      <c r="AG380" s="75"/>
      <c r="AH380" s="75"/>
      <c r="AI380" s="75"/>
      <c r="AJ380" s="75"/>
      <c r="AK380" s="75"/>
      <c r="AL380" s="75"/>
      <c r="AM380" s="75"/>
      <c r="AN380" s="75"/>
      <c r="AO380" s="75"/>
      <c r="AP380" s="75"/>
      <c r="AQ380" s="71"/>
      <c r="AR380" s="75"/>
      <c r="AS380" s="75"/>
      <c r="AT380" s="75"/>
      <c r="AU380" s="71"/>
      <c r="AV380" s="71"/>
      <c r="AW380" s="71"/>
      <c r="AX380" s="71"/>
      <c r="AY380" s="71"/>
      <c r="AZ380" s="71"/>
      <c r="BB380" s="71"/>
      <c r="BD380" s="24"/>
      <c r="BG380" s="24"/>
      <c r="BJ380" s="24"/>
    </row>
    <row r="381" spans="29:62" ht="15" customHeight="1" x14ac:dyDescent="0.2">
      <c r="AC381" s="237" t="str">
        <f t="shared" ref="AC381:AC444" si="30">IF(Q381="","",SQRT(($R381-$AR$61)^2+($S381-$AS$61)^2))</f>
        <v/>
      </c>
      <c r="AD381" s="237" t="str">
        <f t="shared" ref="AD381:AD444" si="31">IF(Q381="","",SQRT(($R381-$AT$61)^2+($S381-$AU$61)^2))</f>
        <v/>
      </c>
      <c r="AF381" s="151"/>
      <c r="AG381" s="75"/>
      <c r="AH381" s="75"/>
      <c r="AI381" s="75"/>
      <c r="AJ381" s="75"/>
      <c r="AK381" s="75"/>
      <c r="AL381" s="75"/>
      <c r="AM381" s="75"/>
      <c r="AN381" s="75"/>
      <c r="AO381" s="75"/>
      <c r="AP381" s="75"/>
      <c r="AQ381" s="71"/>
      <c r="AR381" s="75"/>
      <c r="AS381" s="75"/>
      <c r="AT381" s="75"/>
      <c r="AU381" s="71"/>
      <c r="AV381" s="71"/>
      <c r="AW381" s="71"/>
      <c r="AX381" s="71"/>
      <c r="AY381" s="71"/>
      <c r="AZ381" s="71"/>
      <c r="BB381" s="71"/>
      <c r="BD381" s="24"/>
      <c r="BG381" s="24"/>
      <c r="BJ381" s="24"/>
    </row>
    <row r="382" spans="29:62" ht="15" customHeight="1" x14ac:dyDescent="0.2">
      <c r="AC382" s="237" t="str">
        <f t="shared" si="30"/>
        <v/>
      </c>
      <c r="AD382" s="237" t="str">
        <f t="shared" si="31"/>
        <v/>
      </c>
      <c r="AF382" s="151"/>
      <c r="AG382" s="75"/>
      <c r="AH382" s="75"/>
      <c r="AI382" s="75"/>
      <c r="AJ382" s="75"/>
      <c r="AK382" s="75"/>
      <c r="AL382" s="75"/>
      <c r="AM382" s="75"/>
      <c r="AN382" s="75"/>
      <c r="AO382" s="75"/>
      <c r="AP382" s="75"/>
      <c r="AQ382" s="71"/>
      <c r="AR382" s="75"/>
      <c r="AS382" s="75"/>
      <c r="AT382" s="75"/>
      <c r="AU382" s="71"/>
      <c r="AV382" s="71"/>
      <c r="AW382" s="71"/>
      <c r="AX382" s="71"/>
      <c r="AY382" s="71"/>
      <c r="AZ382" s="71"/>
      <c r="BB382" s="71"/>
      <c r="BD382" s="24"/>
      <c r="BG382" s="24"/>
      <c r="BJ382" s="24"/>
    </row>
    <row r="383" spans="29:62" ht="15" customHeight="1" x14ac:dyDescent="0.2">
      <c r="AC383" s="237" t="str">
        <f t="shared" si="30"/>
        <v/>
      </c>
      <c r="AD383" s="237" t="str">
        <f t="shared" si="31"/>
        <v/>
      </c>
      <c r="AF383" s="151"/>
      <c r="AG383" s="75"/>
      <c r="AH383" s="75"/>
      <c r="AI383" s="75"/>
      <c r="AJ383" s="75"/>
      <c r="AK383" s="75"/>
      <c r="AL383" s="75"/>
      <c r="AM383" s="75"/>
      <c r="AN383" s="75"/>
      <c r="AO383" s="75"/>
      <c r="AP383" s="75"/>
      <c r="AQ383" s="71"/>
      <c r="AR383" s="75"/>
      <c r="AS383" s="75"/>
      <c r="AT383" s="75"/>
      <c r="AU383" s="71"/>
      <c r="AV383" s="71"/>
      <c r="AW383" s="71"/>
      <c r="AX383" s="71"/>
      <c r="AY383" s="71"/>
      <c r="AZ383" s="71"/>
      <c r="BB383" s="71"/>
      <c r="BD383" s="24"/>
      <c r="BG383" s="24"/>
      <c r="BJ383" s="24"/>
    </row>
    <row r="384" spans="29:62" ht="15" customHeight="1" x14ac:dyDescent="0.2">
      <c r="AC384" s="237" t="str">
        <f t="shared" si="30"/>
        <v/>
      </c>
      <c r="AD384" s="237" t="str">
        <f t="shared" si="31"/>
        <v/>
      </c>
      <c r="AF384" s="151"/>
      <c r="AG384" s="75"/>
      <c r="AH384" s="75"/>
      <c r="AI384" s="75"/>
      <c r="AJ384" s="75"/>
      <c r="AK384" s="75"/>
      <c r="AL384" s="75"/>
      <c r="AM384" s="75"/>
      <c r="AN384" s="75"/>
      <c r="AO384" s="75"/>
      <c r="AP384" s="75"/>
      <c r="AQ384" s="71"/>
      <c r="AR384" s="75"/>
      <c r="AS384" s="75"/>
      <c r="AT384" s="75"/>
      <c r="AU384" s="71"/>
      <c r="AV384" s="71"/>
      <c r="AW384" s="71"/>
      <c r="AX384" s="71"/>
      <c r="AY384" s="71"/>
      <c r="AZ384" s="71"/>
      <c r="BB384" s="71"/>
      <c r="BD384" s="24"/>
      <c r="BG384" s="24"/>
      <c r="BJ384" s="24"/>
    </row>
    <row r="385" spans="29:62" ht="15" customHeight="1" x14ac:dyDescent="0.2">
      <c r="AC385" s="237" t="str">
        <f t="shared" si="30"/>
        <v/>
      </c>
      <c r="AD385" s="237" t="str">
        <f t="shared" si="31"/>
        <v/>
      </c>
      <c r="AF385" s="151"/>
      <c r="AG385" s="75"/>
      <c r="AH385" s="75"/>
      <c r="AI385" s="75"/>
      <c r="AJ385" s="75"/>
      <c r="AK385" s="75"/>
      <c r="AL385" s="75"/>
      <c r="AM385" s="75"/>
      <c r="AN385" s="75"/>
      <c r="AO385" s="75"/>
      <c r="AP385" s="75"/>
      <c r="AQ385" s="71"/>
      <c r="AR385" s="75"/>
      <c r="AS385" s="75"/>
      <c r="AT385" s="75"/>
      <c r="AU385" s="71"/>
      <c r="AV385" s="71"/>
      <c r="AW385" s="71"/>
      <c r="AX385" s="71"/>
      <c r="AY385" s="71"/>
      <c r="AZ385" s="71"/>
      <c r="BB385" s="71"/>
      <c r="BD385" s="24"/>
      <c r="BG385" s="24"/>
      <c r="BJ385" s="24"/>
    </row>
    <row r="386" spans="29:62" ht="15" customHeight="1" x14ac:dyDescent="0.2">
      <c r="AC386" s="237" t="str">
        <f t="shared" si="30"/>
        <v/>
      </c>
      <c r="AD386" s="237" t="str">
        <f t="shared" si="31"/>
        <v/>
      </c>
      <c r="AF386" s="151"/>
      <c r="AG386" s="75"/>
      <c r="AH386" s="75"/>
      <c r="AI386" s="75"/>
      <c r="AJ386" s="75"/>
      <c r="AK386" s="75"/>
      <c r="AL386" s="75"/>
      <c r="AM386" s="75"/>
      <c r="AN386" s="75"/>
      <c r="AO386" s="75"/>
      <c r="AP386" s="75"/>
      <c r="AQ386" s="71"/>
      <c r="AR386" s="75"/>
      <c r="AS386" s="75"/>
      <c r="AT386" s="75"/>
      <c r="AU386" s="71"/>
      <c r="AV386" s="71"/>
      <c r="AW386" s="71"/>
      <c r="AX386" s="71"/>
      <c r="AY386" s="71"/>
      <c r="AZ386" s="71"/>
      <c r="BB386" s="71"/>
      <c r="BD386" s="24"/>
      <c r="BG386" s="24"/>
      <c r="BJ386" s="24"/>
    </row>
    <row r="387" spans="29:62" ht="15" customHeight="1" x14ac:dyDescent="0.2">
      <c r="AC387" s="237" t="str">
        <f t="shared" si="30"/>
        <v/>
      </c>
      <c r="AD387" s="237" t="str">
        <f t="shared" si="31"/>
        <v/>
      </c>
      <c r="AF387" s="151"/>
      <c r="AG387" s="75"/>
      <c r="AH387" s="75"/>
      <c r="AI387" s="75"/>
      <c r="AJ387" s="75"/>
      <c r="AK387" s="75"/>
      <c r="AL387" s="75"/>
      <c r="AM387" s="75"/>
      <c r="AN387" s="75"/>
      <c r="AO387" s="75"/>
      <c r="AP387" s="75"/>
      <c r="AQ387" s="71"/>
      <c r="AR387" s="75"/>
      <c r="AS387" s="75"/>
      <c r="AT387" s="75"/>
      <c r="AU387" s="71"/>
      <c r="AV387" s="71"/>
      <c r="AW387" s="71"/>
      <c r="AX387" s="71"/>
      <c r="AY387" s="71"/>
      <c r="AZ387" s="71"/>
      <c r="BB387" s="71"/>
      <c r="BD387" s="24"/>
      <c r="BG387" s="24"/>
      <c r="BJ387" s="24"/>
    </row>
    <row r="388" spans="29:62" ht="15" customHeight="1" x14ac:dyDescent="0.2">
      <c r="AC388" s="237" t="str">
        <f t="shared" si="30"/>
        <v/>
      </c>
      <c r="AD388" s="237" t="str">
        <f t="shared" si="31"/>
        <v/>
      </c>
      <c r="AF388" s="151"/>
      <c r="AG388" s="75"/>
      <c r="AH388" s="75"/>
      <c r="AI388" s="75"/>
      <c r="AJ388" s="75"/>
      <c r="AK388" s="75"/>
      <c r="AL388" s="75"/>
      <c r="AM388" s="75"/>
      <c r="AN388" s="75"/>
      <c r="AO388" s="75"/>
      <c r="AP388" s="75"/>
      <c r="AQ388" s="71"/>
      <c r="AR388" s="75"/>
      <c r="AS388" s="75"/>
      <c r="AT388" s="75"/>
      <c r="AU388" s="71"/>
      <c r="AV388" s="71"/>
      <c r="AW388" s="71"/>
      <c r="AX388" s="71"/>
      <c r="AY388" s="71"/>
      <c r="AZ388" s="71"/>
      <c r="BB388" s="71"/>
      <c r="BD388" s="24"/>
      <c r="BG388" s="24"/>
      <c r="BJ388" s="24"/>
    </row>
    <row r="389" spans="29:62" ht="15" customHeight="1" x14ac:dyDescent="0.2">
      <c r="AC389" s="237" t="str">
        <f t="shared" si="30"/>
        <v/>
      </c>
      <c r="AD389" s="237" t="str">
        <f t="shared" si="31"/>
        <v/>
      </c>
      <c r="AF389" s="151"/>
      <c r="AG389" s="75"/>
      <c r="AH389" s="75"/>
      <c r="AI389" s="75"/>
      <c r="AJ389" s="75"/>
      <c r="AK389" s="75"/>
      <c r="AL389" s="75"/>
      <c r="AM389" s="75"/>
      <c r="AN389" s="75"/>
      <c r="AO389" s="75"/>
      <c r="AP389" s="75"/>
      <c r="AQ389" s="71"/>
      <c r="AR389" s="75"/>
      <c r="AS389" s="75"/>
      <c r="AT389" s="75"/>
      <c r="AU389" s="71"/>
      <c r="AV389" s="71"/>
      <c r="AW389" s="71"/>
      <c r="AX389" s="71"/>
      <c r="AY389" s="71"/>
      <c r="AZ389" s="71"/>
      <c r="BB389" s="71"/>
      <c r="BD389" s="24"/>
      <c r="BG389" s="24"/>
      <c r="BJ389" s="24"/>
    </row>
    <row r="390" spans="29:62" ht="15" customHeight="1" x14ac:dyDescent="0.2">
      <c r="AC390" s="237" t="str">
        <f t="shared" si="30"/>
        <v/>
      </c>
      <c r="AD390" s="237" t="str">
        <f t="shared" si="31"/>
        <v/>
      </c>
      <c r="AF390" s="151"/>
      <c r="AG390" s="75"/>
      <c r="AH390" s="75"/>
      <c r="AI390" s="75"/>
      <c r="AJ390" s="75"/>
      <c r="AK390" s="75"/>
      <c r="AL390" s="75"/>
      <c r="AM390" s="75"/>
      <c r="AN390" s="75"/>
      <c r="AO390" s="75"/>
      <c r="AP390" s="75"/>
      <c r="AQ390" s="71"/>
      <c r="AR390" s="75"/>
      <c r="AS390" s="75"/>
      <c r="AT390" s="75"/>
      <c r="AU390" s="71"/>
      <c r="AV390" s="71"/>
      <c r="AW390" s="71"/>
      <c r="AX390" s="71"/>
      <c r="AY390" s="71"/>
      <c r="AZ390" s="71"/>
      <c r="BB390" s="71"/>
      <c r="BD390" s="24"/>
      <c r="BG390" s="24"/>
      <c r="BJ390" s="24"/>
    </row>
    <row r="391" spans="29:62" ht="15" customHeight="1" x14ac:dyDescent="0.2">
      <c r="AC391" s="237" t="str">
        <f t="shared" si="30"/>
        <v/>
      </c>
      <c r="AD391" s="237" t="str">
        <f t="shared" si="31"/>
        <v/>
      </c>
      <c r="AF391" s="151"/>
      <c r="AG391" s="75"/>
      <c r="AH391" s="75"/>
      <c r="AI391" s="75"/>
      <c r="AJ391" s="75"/>
      <c r="AK391" s="75"/>
      <c r="AL391" s="75"/>
      <c r="AM391" s="75"/>
      <c r="AN391" s="75"/>
      <c r="AO391" s="75"/>
      <c r="AP391" s="75"/>
      <c r="AQ391" s="71"/>
      <c r="AR391" s="75"/>
      <c r="AS391" s="75"/>
      <c r="AT391" s="75"/>
      <c r="AU391" s="71"/>
      <c r="AV391" s="71"/>
      <c r="AW391" s="71"/>
      <c r="AX391" s="71"/>
      <c r="AY391" s="71"/>
      <c r="AZ391" s="71"/>
      <c r="BB391" s="71"/>
      <c r="BD391" s="24"/>
      <c r="BG391" s="24"/>
      <c r="BJ391" s="24"/>
    </row>
    <row r="392" spans="29:62" ht="15" customHeight="1" x14ac:dyDescent="0.2">
      <c r="AC392" s="237" t="str">
        <f t="shared" si="30"/>
        <v/>
      </c>
      <c r="AD392" s="237" t="str">
        <f t="shared" si="31"/>
        <v/>
      </c>
      <c r="AF392" s="151"/>
      <c r="AG392" s="75"/>
      <c r="AH392" s="75"/>
      <c r="AI392" s="75"/>
      <c r="AJ392" s="75"/>
      <c r="AK392" s="75"/>
      <c r="AL392" s="75"/>
      <c r="AM392" s="75"/>
      <c r="AN392" s="75"/>
      <c r="AO392" s="75"/>
      <c r="AP392" s="75"/>
      <c r="AQ392" s="71"/>
      <c r="AR392" s="75"/>
      <c r="AS392" s="75"/>
      <c r="AT392" s="75"/>
      <c r="AU392" s="71"/>
      <c r="AV392" s="71"/>
      <c r="AW392" s="71"/>
      <c r="AX392" s="71"/>
      <c r="AY392" s="71"/>
      <c r="AZ392" s="71"/>
      <c r="BB392" s="71"/>
      <c r="BD392" s="24"/>
      <c r="BG392" s="24"/>
      <c r="BJ392" s="24"/>
    </row>
    <row r="393" spans="29:62" ht="15" customHeight="1" x14ac:dyDescent="0.2">
      <c r="AC393" s="237" t="str">
        <f t="shared" si="30"/>
        <v/>
      </c>
      <c r="AD393" s="237" t="str">
        <f t="shared" si="31"/>
        <v/>
      </c>
      <c r="AF393" s="151"/>
      <c r="AG393" s="75"/>
      <c r="AH393" s="75"/>
      <c r="AI393" s="75"/>
      <c r="AJ393" s="75"/>
      <c r="AK393" s="75"/>
      <c r="AL393" s="75"/>
      <c r="AM393" s="75"/>
      <c r="AN393" s="75"/>
      <c r="AO393" s="75"/>
      <c r="AP393" s="75"/>
      <c r="AQ393" s="71"/>
      <c r="AR393" s="75"/>
      <c r="AS393" s="75"/>
      <c r="AT393" s="75"/>
      <c r="AU393" s="71"/>
      <c r="AV393" s="71"/>
      <c r="AW393" s="71"/>
      <c r="AX393" s="71"/>
      <c r="AY393" s="71"/>
      <c r="AZ393" s="71"/>
      <c r="BB393" s="71"/>
      <c r="BD393" s="24"/>
      <c r="BG393" s="24"/>
      <c r="BJ393" s="24"/>
    </row>
    <row r="394" spans="29:62" ht="15" customHeight="1" x14ac:dyDescent="0.2">
      <c r="AC394" s="237" t="str">
        <f t="shared" si="30"/>
        <v/>
      </c>
      <c r="AD394" s="237" t="str">
        <f t="shared" si="31"/>
        <v/>
      </c>
      <c r="AF394" s="151"/>
      <c r="AG394" s="75"/>
      <c r="AH394" s="75"/>
      <c r="AI394" s="75"/>
      <c r="AJ394" s="75"/>
      <c r="AK394" s="75"/>
      <c r="AL394" s="75"/>
      <c r="AM394" s="75"/>
      <c r="AN394" s="75"/>
      <c r="AO394" s="75"/>
      <c r="AP394" s="75"/>
      <c r="AQ394" s="71"/>
      <c r="AR394" s="75"/>
      <c r="AS394" s="75"/>
      <c r="AT394" s="75"/>
      <c r="AU394" s="71"/>
      <c r="AV394" s="71"/>
      <c r="AW394" s="71"/>
      <c r="AX394" s="71"/>
      <c r="AY394" s="71"/>
      <c r="AZ394" s="71"/>
      <c r="BB394" s="71"/>
      <c r="BD394" s="24"/>
      <c r="BG394" s="24"/>
      <c r="BJ394" s="24"/>
    </row>
    <row r="395" spans="29:62" ht="15" customHeight="1" x14ac:dyDescent="0.2">
      <c r="AC395" s="237" t="str">
        <f t="shared" si="30"/>
        <v/>
      </c>
      <c r="AD395" s="237" t="str">
        <f t="shared" si="31"/>
        <v/>
      </c>
      <c r="AF395" s="151"/>
      <c r="AG395" s="75"/>
      <c r="AH395" s="75"/>
      <c r="AI395" s="75"/>
      <c r="AJ395" s="75"/>
      <c r="AK395" s="75"/>
      <c r="AL395" s="75"/>
      <c r="AM395" s="75"/>
      <c r="AN395" s="75"/>
      <c r="AO395" s="75"/>
      <c r="AP395" s="75"/>
      <c r="AQ395" s="71"/>
      <c r="AR395" s="75"/>
      <c r="AS395" s="75"/>
      <c r="AT395" s="75"/>
      <c r="AU395" s="71"/>
      <c r="AV395" s="71"/>
      <c r="AW395" s="71"/>
      <c r="AX395" s="71"/>
      <c r="AY395" s="71"/>
      <c r="AZ395" s="71"/>
      <c r="BB395" s="71"/>
      <c r="BD395" s="24"/>
      <c r="BG395" s="24"/>
      <c r="BJ395" s="24"/>
    </row>
    <row r="396" spans="29:62" ht="15" customHeight="1" x14ac:dyDescent="0.2">
      <c r="AC396" s="237" t="str">
        <f t="shared" si="30"/>
        <v/>
      </c>
      <c r="AD396" s="237" t="str">
        <f t="shared" si="31"/>
        <v/>
      </c>
      <c r="AF396" s="151"/>
      <c r="AG396" s="75"/>
      <c r="AH396" s="75"/>
      <c r="AI396" s="75"/>
      <c r="AJ396" s="75"/>
      <c r="AK396" s="75"/>
      <c r="AL396" s="75"/>
      <c r="AM396" s="75"/>
      <c r="AN396" s="75"/>
      <c r="AO396" s="75"/>
      <c r="AP396" s="75"/>
      <c r="AQ396" s="71"/>
      <c r="AR396" s="75"/>
      <c r="AS396" s="75"/>
      <c r="AT396" s="75"/>
      <c r="AU396" s="71"/>
      <c r="AV396" s="71"/>
      <c r="AW396" s="71"/>
      <c r="AX396" s="71"/>
      <c r="AY396" s="71"/>
      <c r="AZ396" s="71"/>
      <c r="BB396" s="71"/>
      <c r="BD396" s="24"/>
      <c r="BG396" s="24"/>
      <c r="BJ396" s="24"/>
    </row>
    <row r="397" spans="29:62" ht="15" customHeight="1" x14ac:dyDescent="0.2">
      <c r="AC397" s="237" t="str">
        <f t="shared" si="30"/>
        <v/>
      </c>
      <c r="AD397" s="237" t="str">
        <f t="shared" si="31"/>
        <v/>
      </c>
      <c r="AF397" s="151"/>
      <c r="AG397" s="75"/>
      <c r="AH397" s="75"/>
      <c r="AI397" s="75"/>
      <c r="AJ397" s="75"/>
      <c r="AK397" s="75"/>
      <c r="AL397" s="75"/>
      <c r="AM397" s="75"/>
      <c r="AN397" s="75"/>
      <c r="AO397" s="75"/>
      <c r="AP397" s="75"/>
      <c r="AQ397" s="71"/>
      <c r="AR397" s="75"/>
      <c r="AS397" s="75"/>
      <c r="AT397" s="75"/>
      <c r="AU397" s="71"/>
      <c r="AV397" s="71"/>
      <c r="AW397" s="71"/>
      <c r="AX397" s="71"/>
      <c r="AY397" s="71"/>
      <c r="AZ397" s="71"/>
      <c r="BB397" s="71"/>
      <c r="BD397" s="24"/>
      <c r="BG397" s="24"/>
      <c r="BJ397" s="24"/>
    </row>
    <row r="398" spans="29:62" ht="15" customHeight="1" x14ac:dyDescent="0.2">
      <c r="AC398" s="237" t="str">
        <f t="shared" si="30"/>
        <v/>
      </c>
      <c r="AD398" s="237" t="str">
        <f t="shared" si="31"/>
        <v/>
      </c>
      <c r="AF398" s="151"/>
      <c r="AG398" s="75"/>
      <c r="AH398" s="75"/>
      <c r="AI398" s="75"/>
      <c r="AJ398" s="75"/>
      <c r="AK398" s="75"/>
      <c r="AL398" s="75"/>
      <c r="AM398" s="75"/>
      <c r="AN398" s="75"/>
      <c r="AO398" s="75"/>
      <c r="AP398" s="75"/>
      <c r="AQ398" s="71"/>
      <c r="AR398" s="75"/>
      <c r="AS398" s="75"/>
      <c r="AT398" s="75"/>
      <c r="AU398" s="71"/>
      <c r="AV398" s="71"/>
      <c r="AW398" s="71"/>
      <c r="AX398" s="71"/>
      <c r="AY398" s="71"/>
      <c r="AZ398" s="71"/>
      <c r="BB398" s="71"/>
      <c r="BD398" s="24"/>
      <c r="BG398" s="24"/>
      <c r="BJ398" s="24"/>
    </row>
    <row r="399" spans="29:62" ht="15" customHeight="1" x14ac:dyDescent="0.2">
      <c r="AC399" s="237" t="str">
        <f t="shared" si="30"/>
        <v/>
      </c>
      <c r="AD399" s="237" t="str">
        <f t="shared" si="31"/>
        <v/>
      </c>
      <c r="AF399" s="151"/>
      <c r="AG399" s="75"/>
      <c r="AH399" s="75"/>
      <c r="AI399" s="75"/>
      <c r="AJ399" s="75"/>
      <c r="AK399" s="75"/>
      <c r="AL399" s="75"/>
      <c r="AM399" s="75"/>
      <c r="AN399" s="75"/>
      <c r="AO399" s="75"/>
      <c r="AP399" s="75"/>
      <c r="AQ399" s="71"/>
      <c r="AR399" s="75"/>
      <c r="AS399" s="75"/>
      <c r="AT399" s="75"/>
      <c r="AU399" s="71"/>
      <c r="AV399" s="71"/>
      <c r="AW399" s="71"/>
      <c r="AX399" s="71"/>
      <c r="AY399" s="71"/>
      <c r="AZ399" s="71"/>
      <c r="BB399" s="71"/>
      <c r="BD399" s="24"/>
      <c r="BG399" s="24"/>
      <c r="BJ399" s="24"/>
    </row>
    <row r="400" spans="29:62" ht="15" customHeight="1" x14ac:dyDescent="0.2">
      <c r="AC400" s="237" t="str">
        <f t="shared" si="30"/>
        <v/>
      </c>
      <c r="AD400" s="237" t="str">
        <f t="shared" si="31"/>
        <v/>
      </c>
      <c r="AF400" s="151"/>
      <c r="AG400" s="75"/>
      <c r="AH400" s="75"/>
      <c r="AI400" s="75"/>
      <c r="AJ400" s="75"/>
      <c r="AK400" s="75"/>
      <c r="AL400" s="75"/>
      <c r="AM400" s="75"/>
      <c r="AN400" s="75"/>
      <c r="AO400" s="75"/>
      <c r="AP400" s="75"/>
      <c r="AQ400" s="71"/>
      <c r="AR400" s="75"/>
      <c r="AS400" s="75"/>
      <c r="AT400" s="75"/>
      <c r="AU400" s="71"/>
      <c r="AV400" s="71"/>
      <c r="AW400" s="71"/>
      <c r="AX400" s="71"/>
      <c r="AY400" s="71"/>
      <c r="AZ400" s="71"/>
      <c r="BB400" s="71"/>
      <c r="BD400" s="24"/>
      <c r="BG400" s="24"/>
      <c r="BJ400" s="24"/>
    </row>
    <row r="401" spans="29:62" ht="15" customHeight="1" x14ac:dyDescent="0.2">
      <c r="AC401" s="237" t="str">
        <f t="shared" si="30"/>
        <v/>
      </c>
      <c r="AD401" s="237" t="str">
        <f t="shared" si="31"/>
        <v/>
      </c>
      <c r="AF401" s="151"/>
      <c r="AG401" s="75"/>
      <c r="AH401" s="75"/>
      <c r="AI401" s="75"/>
      <c r="AJ401" s="75"/>
      <c r="AK401" s="75"/>
      <c r="AL401" s="75"/>
      <c r="AM401" s="75"/>
      <c r="AN401" s="75"/>
      <c r="AO401" s="75"/>
      <c r="AP401" s="75"/>
      <c r="AQ401" s="71"/>
      <c r="AR401" s="75"/>
      <c r="AS401" s="75"/>
      <c r="AT401" s="75"/>
      <c r="AU401" s="71"/>
      <c r="AV401" s="71"/>
      <c r="AW401" s="71"/>
      <c r="AX401" s="71"/>
      <c r="AY401" s="71"/>
      <c r="AZ401" s="71"/>
      <c r="BB401" s="71"/>
      <c r="BD401" s="24"/>
      <c r="BG401" s="24"/>
      <c r="BJ401" s="24"/>
    </row>
    <row r="402" spans="29:62" ht="15" customHeight="1" x14ac:dyDescent="0.2">
      <c r="AC402" s="237" t="str">
        <f t="shared" si="30"/>
        <v/>
      </c>
      <c r="AD402" s="237" t="str">
        <f t="shared" si="31"/>
        <v/>
      </c>
      <c r="AF402" s="151"/>
      <c r="AG402" s="75"/>
      <c r="AH402" s="75"/>
      <c r="AI402" s="75"/>
      <c r="AJ402" s="75"/>
      <c r="AK402" s="75"/>
      <c r="AL402" s="75"/>
      <c r="AM402" s="75"/>
      <c r="AN402" s="75"/>
      <c r="AO402" s="75"/>
      <c r="AP402" s="75"/>
      <c r="AQ402" s="71"/>
      <c r="AR402" s="75"/>
      <c r="AS402" s="75"/>
      <c r="AT402" s="75"/>
      <c r="AU402" s="71"/>
      <c r="AV402" s="71"/>
      <c r="AW402" s="71"/>
      <c r="AX402" s="71"/>
      <c r="AY402" s="71"/>
      <c r="AZ402" s="71"/>
      <c r="BB402" s="71"/>
      <c r="BD402" s="24"/>
      <c r="BG402" s="24"/>
      <c r="BJ402" s="24"/>
    </row>
    <row r="403" spans="29:62" ht="15" customHeight="1" x14ac:dyDescent="0.2">
      <c r="AC403" s="237" t="str">
        <f t="shared" si="30"/>
        <v/>
      </c>
      <c r="AD403" s="237" t="str">
        <f t="shared" si="31"/>
        <v/>
      </c>
      <c r="AF403" s="151"/>
      <c r="AG403" s="75"/>
      <c r="AH403" s="75"/>
      <c r="AI403" s="75"/>
      <c r="AJ403" s="75"/>
      <c r="AK403" s="75"/>
      <c r="AL403" s="75"/>
      <c r="AM403" s="75"/>
      <c r="AN403" s="75"/>
      <c r="AO403" s="75"/>
      <c r="AP403" s="75"/>
      <c r="AQ403" s="71"/>
      <c r="AR403" s="75"/>
      <c r="AS403" s="75"/>
      <c r="AT403" s="75"/>
      <c r="AU403" s="71"/>
      <c r="AV403" s="71"/>
      <c r="AW403" s="71"/>
      <c r="AX403" s="71"/>
      <c r="AY403" s="71"/>
      <c r="AZ403" s="71"/>
      <c r="BB403" s="71"/>
      <c r="BD403" s="24"/>
      <c r="BG403" s="24"/>
      <c r="BJ403" s="24"/>
    </row>
    <row r="404" spans="29:62" ht="15" customHeight="1" x14ac:dyDescent="0.2">
      <c r="AC404" s="237" t="str">
        <f t="shared" si="30"/>
        <v/>
      </c>
      <c r="AD404" s="237" t="str">
        <f t="shared" si="31"/>
        <v/>
      </c>
      <c r="AF404" s="151"/>
      <c r="AG404" s="75"/>
      <c r="AH404" s="75"/>
      <c r="AI404" s="75"/>
      <c r="AJ404" s="75"/>
      <c r="AK404" s="75"/>
      <c r="AL404" s="75"/>
      <c r="AM404" s="75"/>
      <c r="AN404" s="75"/>
      <c r="AO404" s="75"/>
      <c r="AP404" s="75"/>
      <c r="AQ404" s="71"/>
      <c r="AR404" s="75"/>
      <c r="AS404" s="75"/>
      <c r="AT404" s="75"/>
      <c r="AU404" s="71"/>
      <c r="AV404" s="71"/>
      <c r="AW404" s="71"/>
      <c r="AX404" s="71"/>
      <c r="AY404" s="71"/>
      <c r="AZ404" s="71"/>
      <c r="BB404" s="71"/>
      <c r="BD404" s="24"/>
      <c r="BG404" s="24"/>
      <c r="BJ404" s="24"/>
    </row>
    <row r="405" spans="29:62" ht="15" customHeight="1" x14ac:dyDescent="0.2">
      <c r="AC405" s="237" t="str">
        <f t="shared" si="30"/>
        <v/>
      </c>
      <c r="AD405" s="237" t="str">
        <f t="shared" si="31"/>
        <v/>
      </c>
      <c r="AF405" s="151"/>
      <c r="AG405" s="75"/>
      <c r="AH405" s="75"/>
      <c r="AI405" s="75"/>
      <c r="AJ405" s="75"/>
      <c r="AK405" s="75"/>
      <c r="AL405" s="75"/>
      <c r="AM405" s="75"/>
      <c r="AN405" s="75"/>
      <c r="AO405" s="75"/>
      <c r="AP405" s="75"/>
      <c r="AQ405" s="71"/>
      <c r="AR405" s="75"/>
      <c r="AS405" s="75"/>
      <c r="AT405" s="75"/>
      <c r="AU405" s="71"/>
      <c r="AV405" s="71"/>
      <c r="AW405" s="71"/>
      <c r="AX405" s="71"/>
      <c r="AY405" s="71"/>
      <c r="AZ405" s="71"/>
      <c r="BB405" s="71"/>
      <c r="BD405" s="24"/>
      <c r="BG405" s="24"/>
      <c r="BJ405" s="24"/>
    </row>
    <row r="406" spans="29:62" ht="15" customHeight="1" x14ac:dyDescent="0.2">
      <c r="AC406" s="237" t="str">
        <f t="shared" si="30"/>
        <v/>
      </c>
      <c r="AD406" s="237" t="str">
        <f t="shared" si="31"/>
        <v/>
      </c>
      <c r="AF406" s="151"/>
      <c r="AG406" s="75"/>
      <c r="AH406" s="75"/>
      <c r="AI406" s="75"/>
      <c r="AJ406" s="75"/>
      <c r="AK406" s="75"/>
      <c r="AL406" s="75"/>
      <c r="AM406" s="75"/>
      <c r="AN406" s="75"/>
      <c r="AO406" s="75"/>
      <c r="AP406" s="75"/>
      <c r="AQ406" s="71"/>
      <c r="AR406" s="75"/>
      <c r="AS406" s="75"/>
      <c r="AT406" s="75"/>
      <c r="AU406" s="71"/>
      <c r="AV406" s="71"/>
      <c r="AW406" s="71"/>
      <c r="AX406" s="71"/>
      <c r="AY406" s="71"/>
      <c r="AZ406" s="71"/>
      <c r="BB406" s="71"/>
      <c r="BD406" s="24"/>
      <c r="BG406" s="24"/>
      <c r="BJ406" s="24"/>
    </row>
    <row r="407" spans="29:62" ht="15" customHeight="1" x14ac:dyDescent="0.2">
      <c r="AC407" s="237" t="str">
        <f t="shared" si="30"/>
        <v/>
      </c>
      <c r="AD407" s="237" t="str">
        <f t="shared" si="31"/>
        <v/>
      </c>
      <c r="AF407" s="151"/>
      <c r="AG407" s="75"/>
      <c r="AH407" s="75"/>
      <c r="AI407" s="75"/>
      <c r="AJ407" s="75"/>
      <c r="AK407" s="75"/>
      <c r="AL407" s="75"/>
      <c r="AM407" s="75"/>
      <c r="AN407" s="75"/>
      <c r="AO407" s="75"/>
      <c r="AP407" s="75"/>
      <c r="AQ407" s="71"/>
      <c r="AR407" s="75"/>
      <c r="AS407" s="75"/>
      <c r="AT407" s="75"/>
      <c r="AU407" s="71"/>
      <c r="AV407" s="71"/>
      <c r="AW407" s="71"/>
      <c r="AX407" s="71"/>
      <c r="AY407" s="71"/>
      <c r="AZ407" s="71"/>
      <c r="BB407" s="71"/>
      <c r="BD407" s="24"/>
      <c r="BG407" s="24"/>
      <c r="BJ407" s="24"/>
    </row>
    <row r="408" spans="29:62" ht="15" customHeight="1" x14ac:dyDescent="0.2">
      <c r="AC408" s="237" t="str">
        <f t="shared" si="30"/>
        <v/>
      </c>
      <c r="AD408" s="237" t="str">
        <f t="shared" si="31"/>
        <v/>
      </c>
      <c r="AF408" s="151"/>
      <c r="AG408" s="75"/>
      <c r="AH408" s="75"/>
      <c r="AI408" s="75"/>
      <c r="AJ408" s="75"/>
      <c r="AK408" s="75"/>
      <c r="AL408" s="75"/>
      <c r="AM408" s="75"/>
      <c r="AN408" s="75"/>
      <c r="AO408" s="75"/>
      <c r="AP408" s="75"/>
      <c r="AQ408" s="71"/>
      <c r="AR408" s="75"/>
      <c r="AS408" s="75"/>
      <c r="AT408" s="75"/>
      <c r="AU408" s="71"/>
      <c r="AV408" s="71"/>
      <c r="AW408" s="71"/>
      <c r="AX408" s="71"/>
      <c r="AY408" s="71"/>
      <c r="AZ408" s="71"/>
      <c r="BB408" s="71"/>
      <c r="BD408" s="24"/>
      <c r="BG408" s="24"/>
      <c r="BJ408" s="24"/>
    </row>
    <row r="409" spans="29:62" ht="15" customHeight="1" x14ac:dyDescent="0.2">
      <c r="AC409" s="237" t="str">
        <f t="shared" si="30"/>
        <v/>
      </c>
      <c r="AD409" s="237" t="str">
        <f t="shared" si="31"/>
        <v/>
      </c>
      <c r="AF409" s="151"/>
      <c r="AG409" s="75"/>
      <c r="AH409" s="75"/>
      <c r="AI409" s="75"/>
      <c r="AJ409" s="75"/>
      <c r="AK409" s="75"/>
      <c r="AL409" s="75"/>
      <c r="AM409" s="75"/>
      <c r="AN409" s="75"/>
      <c r="AO409" s="75"/>
      <c r="AP409" s="75"/>
      <c r="AQ409" s="71"/>
      <c r="AR409" s="75"/>
      <c r="AS409" s="75"/>
      <c r="AT409" s="75"/>
      <c r="AU409" s="71"/>
      <c r="AV409" s="71"/>
      <c r="AW409" s="71"/>
      <c r="AX409" s="71"/>
      <c r="AY409" s="71"/>
      <c r="AZ409" s="71"/>
      <c r="BB409" s="71"/>
      <c r="BD409" s="24"/>
      <c r="BG409" s="24"/>
      <c r="BJ409" s="24"/>
    </row>
    <row r="410" spans="29:62" ht="15" customHeight="1" x14ac:dyDescent="0.2">
      <c r="AC410" s="237" t="str">
        <f t="shared" si="30"/>
        <v/>
      </c>
      <c r="AD410" s="237" t="str">
        <f t="shared" si="31"/>
        <v/>
      </c>
      <c r="AF410" s="151"/>
      <c r="AG410" s="75"/>
      <c r="AH410" s="75"/>
      <c r="AI410" s="75"/>
      <c r="AJ410" s="75"/>
      <c r="AK410" s="75"/>
      <c r="AL410" s="75"/>
      <c r="AM410" s="75"/>
      <c r="AN410" s="75"/>
      <c r="AO410" s="75"/>
      <c r="AP410" s="75"/>
      <c r="AQ410" s="71"/>
      <c r="AR410" s="75"/>
      <c r="AS410" s="75"/>
      <c r="AT410" s="75"/>
      <c r="AU410" s="71"/>
      <c r="AV410" s="71"/>
      <c r="AW410" s="71"/>
      <c r="AX410" s="71"/>
      <c r="AY410" s="71"/>
      <c r="AZ410" s="71"/>
      <c r="BB410" s="71"/>
      <c r="BD410" s="24"/>
      <c r="BG410" s="24"/>
      <c r="BJ410" s="24"/>
    </row>
    <row r="411" spans="29:62" ht="15" customHeight="1" x14ac:dyDescent="0.2">
      <c r="AC411" s="237" t="str">
        <f t="shared" si="30"/>
        <v/>
      </c>
      <c r="AD411" s="237" t="str">
        <f t="shared" si="31"/>
        <v/>
      </c>
      <c r="AF411" s="151"/>
      <c r="AG411" s="75"/>
      <c r="AH411" s="75"/>
      <c r="AI411" s="75"/>
      <c r="AJ411" s="75"/>
      <c r="AK411" s="75"/>
      <c r="AL411" s="75"/>
      <c r="AM411" s="75"/>
      <c r="AN411" s="75"/>
      <c r="AO411" s="75"/>
      <c r="AP411" s="75"/>
      <c r="AQ411" s="71"/>
      <c r="AR411" s="75"/>
      <c r="AS411" s="75"/>
      <c r="AT411" s="75"/>
      <c r="AU411" s="71"/>
      <c r="AV411" s="71"/>
      <c r="AW411" s="71"/>
      <c r="AX411" s="71"/>
      <c r="AY411" s="71"/>
      <c r="AZ411" s="71"/>
      <c r="BB411" s="71"/>
      <c r="BD411" s="24"/>
      <c r="BG411" s="24"/>
      <c r="BJ411" s="24"/>
    </row>
    <row r="412" spans="29:62" ht="15" customHeight="1" x14ac:dyDescent="0.2">
      <c r="AC412" s="237" t="str">
        <f t="shared" si="30"/>
        <v/>
      </c>
      <c r="AD412" s="237" t="str">
        <f t="shared" si="31"/>
        <v/>
      </c>
      <c r="AF412" s="151"/>
      <c r="AG412" s="75"/>
      <c r="AH412" s="75"/>
      <c r="AI412" s="75"/>
      <c r="AJ412" s="75"/>
      <c r="AK412" s="75"/>
      <c r="AL412" s="75"/>
      <c r="AM412" s="75"/>
      <c r="AN412" s="75"/>
      <c r="AO412" s="75"/>
      <c r="AP412" s="75"/>
      <c r="AQ412" s="71"/>
      <c r="AR412" s="75"/>
      <c r="AS412" s="75"/>
      <c r="AT412" s="75"/>
      <c r="AU412" s="71"/>
      <c r="AV412" s="71"/>
      <c r="AW412" s="71"/>
      <c r="AX412" s="71"/>
      <c r="AY412" s="71"/>
      <c r="AZ412" s="71"/>
      <c r="BB412" s="71"/>
      <c r="BD412" s="24"/>
      <c r="BG412" s="24"/>
      <c r="BJ412" s="24"/>
    </row>
    <row r="413" spans="29:62" ht="15" customHeight="1" x14ac:dyDescent="0.2">
      <c r="AC413" s="237" t="str">
        <f t="shared" si="30"/>
        <v/>
      </c>
      <c r="AD413" s="237" t="str">
        <f t="shared" si="31"/>
        <v/>
      </c>
      <c r="AF413" s="151"/>
      <c r="AG413" s="75"/>
      <c r="AH413" s="75"/>
      <c r="AI413" s="75"/>
      <c r="AJ413" s="75"/>
      <c r="AK413" s="75"/>
      <c r="AL413" s="75"/>
      <c r="AM413" s="75"/>
      <c r="AN413" s="75"/>
      <c r="AO413" s="75"/>
      <c r="AP413" s="75"/>
      <c r="AQ413" s="71"/>
      <c r="AR413" s="75"/>
      <c r="AS413" s="75"/>
      <c r="AT413" s="75"/>
      <c r="AU413" s="71"/>
      <c r="AV413" s="71"/>
      <c r="AW413" s="71"/>
      <c r="AX413" s="71"/>
      <c r="AY413" s="71"/>
      <c r="AZ413" s="71"/>
      <c r="BB413" s="71"/>
      <c r="BD413" s="24"/>
      <c r="BG413" s="24"/>
      <c r="BJ413" s="24"/>
    </row>
    <row r="414" spans="29:62" ht="15" customHeight="1" x14ac:dyDescent="0.2">
      <c r="AC414" s="237" t="str">
        <f t="shared" si="30"/>
        <v/>
      </c>
      <c r="AD414" s="237" t="str">
        <f t="shared" si="31"/>
        <v/>
      </c>
      <c r="AF414" s="151"/>
      <c r="AG414" s="75"/>
      <c r="AH414" s="75"/>
      <c r="AI414" s="75"/>
      <c r="AJ414" s="75"/>
      <c r="AK414" s="75"/>
      <c r="AL414" s="75"/>
      <c r="AM414" s="75"/>
      <c r="AN414" s="75"/>
      <c r="AO414" s="75"/>
      <c r="AP414" s="75"/>
      <c r="AQ414" s="71"/>
      <c r="AR414" s="75"/>
      <c r="AS414" s="75"/>
      <c r="AT414" s="75"/>
      <c r="AU414" s="71"/>
      <c r="AV414" s="71"/>
      <c r="AW414" s="71"/>
      <c r="AX414" s="71"/>
      <c r="AY414" s="71"/>
      <c r="AZ414" s="71"/>
      <c r="BB414" s="71"/>
      <c r="BD414" s="24"/>
      <c r="BG414" s="24"/>
      <c r="BJ414" s="24"/>
    </row>
    <row r="415" spans="29:62" ht="15" customHeight="1" x14ac:dyDescent="0.2">
      <c r="AC415" s="237" t="str">
        <f t="shared" si="30"/>
        <v/>
      </c>
      <c r="AD415" s="237" t="str">
        <f t="shared" si="31"/>
        <v/>
      </c>
      <c r="AF415" s="151"/>
      <c r="AG415" s="75"/>
      <c r="AH415" s="75"/>
      <c r="AI415" s="75"/>
      <c r="AJ415" s="75"/>
      <c r="AK415" s="75"/>
      <c r="AL415" s="75"/>
      <c r="AM415" s="75"/>
      <c r="AN415" s="75"/>
      <c r="AO415" s="75"/>
      <c r="AP415" s="75"/>
      <c r="AQ415" s="71"/>
      <c r="AR415" s="75"/>
      <c r="AS415" s="75"/>
      <c r="AT415" s="75"/>
      <c r="AU415" s="71"/>
      <c r="AV415" s="71"/>
      <c r="AW415" s="71"/>
      <c r="AX415" s="71"/>
      <c r="AY415" s="71"/>
      <c r="AZ415" s="71"/>
      <c r="BB415" s="71"/>
      <c r="BD415" s="24"/>
      <c r="BG415" s="24"/>
      <c r="BJ415" s="24"/>
    </row>
    <row r="416" spans="29:62" ht="15" customHeight="1" x14ac:dyDescent="0.2">
      <c r="AC416" s="237" t="str">
        <f t="shared" si="30"/>
        <v/>
      </c>
      <c r="AD416" s="237" t="str">
        <f t="shared" si="31"/>
        <v/>
      </c>
      <c r="AF416" s="151"/>
      <c r="AG416" s="75"/>
      <c r="AH416" s="75"/>
      <c r="AI416" s="75"/>
      <c r="AJ416" s="75"/>
      <c r="AK416" s="75"/>
      <c r="AL416" s="75"/>
      <c r="AM416" s="75"/>
      <c r="AN416" s="75"/>
      <c r="AO416" s="75"/>
      <c r="AP416" s="75"/>
      <c r="AQ416" s="71"/>
      <c r="AR416" s="75"/>
      <c r="AS416" s="75"/>
      <c r="AT416" s="75"/>
      <c r="AU416" s="71"/>
      <c r="AV416" s="71"/>
      <c r="AW416" s="71"/>
      <c r="AX416" s="71"/>
      <c r="AY416" s="71"/>
      <c r="AZ416" s="71"/>
      <c r="BB416" s="71"/>
      <c r="BD416" s="24"/>
      <c r="BG416" s="24"/>
      <c r="BJ416" s="24"/>
    </row>
    <row r="417" spans="29:62" ht="15" customHeight="1" x14ac:dyDescent="0.2">
      <c r="AC417" s="237" t="str">
        <f t="shared" si="30"/>
        <v/>
      </c>
      <c r="AD417" s="237" t="str">
        <f t="shared" si="31"/>
        <v/>
      </c>
      <c r="AF417" s="151"/>
      <c r="AG417" s="75"/>
      <c r="AH417" s="75"/>
      <c r="AI417" s="75"/>
      <c r="AJ417" s="75"/>
      <c r="AK417" s="75"/>
      <c r="AL417" s="75"/>
      <c r="AM417" s="75"/>
      <c r="AN417" s="75"/>
      <c r="AO417" s="75"/>
      <c r="AP417" s="75"/>
      <c r="AQ417" s="71"/>
      <c r="AR417" s="75"/>
      <c r="AS417" s="75"/>
      <c r="AT417" s="75"/>
      <c r="AU417" s="71"/>
      <c r="AV417" s="71"/>
      <c r="AW417" s="71"/>
      <c r="AX417" s="71"/>
      <c r="AY417" s="71"/>
      <c r="AZ417" s="71"/>
      <c r="BB417" s="71"/>
      <c r="BD417" s="24"/>
      <c r="BG417" s="24"/>
      <c r="BJ417" s="24"/>
    </row>
    <row r="418" spans="29:62" ht="15" customHeight="1" x14ac:dyDescent="0.2">
      <c r="AC418" s="237" t="str">
        <f t="shared" si="30"/>
        <v/>
      </c>
      <c r="AD418" s="237" t="str">
        <f t="shared" si="31"/>
        <v/>
      </c>
      <c r="AF418" s="151"/>
      <c r="AG418" s="75"/>
      <c r="AH418" s="75"/>
      <c r="AI418" s="75"/>
      <c r="AJ418" s="75"/>
      <c r="AK418" s="75"/>
      <c r="AL418" s="75"/>
      <c r="AM418" s="75"/>
      <c r="AN418" s="75"/>
      <c r="AO418" s="75"/>
      <c r="AP418" s="75"/>
      <c r="AQ418" s="71"/>
      <c r="AR418" s="75"/>
      <c r="AS418" s="75"/>
      <c r="AT418" s="75"/>
      <c r="AU418" s="71"/>
      <c r="AV418" s="71"/>
      <c r="AW418" s="71"/>
      <c r="AX418" s="71"/>
      <c r="AY418" s="71"/>
      <c r="AZ418" s="71"/>
      <c r="BB418" s="71"/>
      <c r="BD418" s="24"/>
      <c r="BG418" s="24"/>
      <c r="BJ418" s="24"/>
    </row>
    <row r="419" spans="29:62" ht="15" customHeight="1" x14ac:dyDescent="0.2">
      <c r="AC419" s="237" t="str">
        <f t="shared" si="30"/>
        <v/>
      </c>
      <c r="AD419" s="237" t="str">
        <f t="shared" si="31"/>
        <v/>
      </c>
      <c r="AF419" s="151"/>
      <c r="AG419" s="75"/>
      <c r="AH419" s="75"/>
      <c r="AI419" s="75"/>
      <c r="AJ419" s="75"/>
      <c r="AK419" s="75"/>
      <c r="AL419" s="75"/>
      <c r="AM419" s="75"/>
      <c r="AN419" s="75"/>
      <c r="AO419" s="75"/>
      <c r="AP419" s="75"/>
      <c r="AQ419" s="71"/>
      <c r="AR419" s="75"/>
      <c r="AS419" s="75"/>
      <c r="AT419" s="75"/>
      <c r="AU419" s="71"/>
      <c r="AV419" s="71"/>
      <c r="AW419" s="71"/>
      <c r="AX419" s="71"/>
      <c r="AY419" s="71"/>
      <c r="AZ419" s="71"/>
      <c r="BB419" s="71"/>
      <c r="BD419" s="24"/>
      <c r="BG419" s="24"/>
      <c r="BJ419" s="24"/>
    </row>
    <row r="420" spans="29:62" ht="15" customHeight="1" x14ac:dyDescent="0.2">
      <c r="AC420" s="237" t="str">
        <f t="shared" si="30"/>
        <v/>
      </c>
      <c r="AD420" s="237" t="str">
        <f t="shared" si="31"/>
        <v/>
      </c>
      <c r="AF420" s="151"/>
      <c r="AG420" s="75"/>
      <c r="AH420" s="75"/>
      <c r="AI420" s="75"/>
      <c r="AJ420" s="75"/>
      <c r="AK420" s="75"/>
      <c r="AL420" s="75"/>
      <c r="AM420" s="75"/>
      <c r="AN420" s="75"/>
      <c r="AO420" s="75"/>
      <c r="AP420" s="75"/>
      <c r="AQ420" s="71"/>
      <c r="AR420" s="75"/>
      <c r="AS420" s="75"/>
      <c r="AT420" s="75"/>
      <c r="AU420" s="71"/>
      <c r="AV420" s="71"/>
      <c r="AW420" s="71"/>
      <c r="AX420" s="71"/>
      <c r="AY420" s="71"/>
      <c r="AZ420" s="71"/>
      <c r="BB420" s="71"/>
      <c r="BD420" s="24"/>
      <c r="BG420" s="24"/>
      <c r="BJ420" s="24"/>
    </row>
    <row r="421" spans="29:62" ht="15" customHeight="1" x14ac:dyDescent="0.2">
      <c r="AC421" s="237" t="str">
        <f t="shared" si="30"/>
        <v/>
      </c>
      <c r="AD421" s="237" t="str">
        <f t="shared" si="31"/>
        <v/>
      </c>
      <c r="AF421" s="151"/>
      <c r="AG421" s="75"/>
      <c r="AH421" s="75"/>
      <c r="AI421" s="75"/>
      <c r="AJ421" s="75"/>
      <c r="AK421" s="75"/>
      <c r="AL421" s="75"/>
      <c r="AM421" s="75"/>
      <c r="AN421" s="75"/>
      <c r="AO421" s="75"/>
      <c r="AP421" s="75"/>
      <c r="AQ421" s="71"/>
      <c r="AR421" s="75"/>
      <c r="AS421" s="75"/>
      <c r="AT421" s="75"/>
      <c r="AU421" s="71"/>
      <c r="AV421" s="71"/>
      <c r="AW421" s="71"/>
      <c r="AX421" s="71"/>
      <c r="AY421" s="71"/>
      <c r="AZ421" s="71"/>
      <c r="BB421" s="71"/>
      <c r="BD421" s="24"/>
      <c r="BG421" s="24"/>
      <c r="BJ421" s="24"/>
    </row>
    <row r="422" spans="29:62" ht="15" customHeight="1" x14ac:dyDescent="0.2">
      <c r="AC422" s="237" t="str">
        <f t="shared" si="30"/>
        <v/>
      </c>
      <c r="AD422" s="237" t="str">
        <f t="shared" si="31"/>
        <v/>
      </c>
      <c r="AF422" s="151"/>
      <c r="AG422" s="75"/>
      <c r="AH422" s="75"/>
      <c r="AI422" s="75"/>
      <c r="AJ422" s="75"/>
      <c r="AK422" s="75"/>
      <c r="AL422" s="75"/>
      <c r="AM422" s="75"/>
      <c r="AN422" s="75"/>
      <c r="AO422" s="75"/>
      <c r="AP422" s="75"/>
      <c r="AQ422" s="71"/>
      <c r="AR422" s="75"/>
      <c r="AS422" s="75"/>
      <c r="AT422" s="75"/>
      <c r="AU422" s="71"/>
      <c r="AV422" s="71"/>
      <c r="AW422" s="71"/>
      <c r="AX422" s="71"/>
      <c r="AY422" s="71"/>
      <c r="AZ422" s="71"/>
      <c r="BB422" s="71"/>
      <c r="BD422" s="24"/>
      <c r="BG422" s="24"/>
      <c r="BJ422" s="24"/>
    </row>
    <row r="423" spans="29:62" ht="15" customHeight="1" x14ac:dyDescent="0.2">
      <c r="AC423" s="237" t="str">
        <f t="shared" si="30"/>
        <v/>
      </c>
      <c r="AD423" s="237" t="str">
        <f t="shared" si="31"/>
        <v/>
      </c>
      <c r="AF423" s="151"/>
      <c r="AG423" s="75"/>
      <c r="AH423" s="75"/>
      <c r="AI423" s="75"/>
      <c r="AJ423" s="75"/>
      <c r="AK423" s="75"/>
      <c r="AL423" s="75"/>
      <c r="AM423" s="75"/>
      <c r="AN423" s="75"/>
      <c r="AO423" s="75"/>
      <c r="AP423" s="75"/>
      <c r="AQ423" s="71"/>
      <c r="AR423" s="75"/>
      <c r="AS423" s="75"/>
      <c r="AT423" s="75"/>
      <c r="AU423" s="71"/>
      <c r="AV423" s="71"/>
      <c r="AW423" s="71"/>
      <c r="AX423" s="71"/>
      <c r="AY423" s="71"/>
      <c r="AZ423" s="71"/>
      <c r="BB423" s="71"/>
      <c r="BD423" s="24"/>
      <c r="BG423" s="24"/>
      <c r="BJ423" s="24"/>
    </row>
    <row r="424" spans="29:62" ht="15" customHeight="1" x14ac:dyDescent="0.2">
      <c r="AC424" s="237" t="str">
        <f t="shared" si="30"/>
        <v/>
      </c>
      <c r="AD424" s="237" t="str">
        <f t="shared" si="31"/>
        <v/>
      </c>
      <c r="AF424" s="151"/>
      <c r="AG424" s="75"/>
      <c r="AH424" s="75"/>
      <c r="AI424" s="75"/>
      <c r="AJ424" s="75"/>
      <c r="AK424" s="75"/>
      <c r="AL424" s="75"/>
      <c r="AM424" s="75"/>
      <c r="AN424" s="75"/>
      <c r="AO424" s="75"/>
      <c r="AP424" s="75"/>
      <c r="AQ424" s="71"/>
      <c r="AR424" s="75"/>
      <c r="AS424" s="75"/>
      <c r="AT424" s="75"/>
      <c r="AU424" s="71"/>
      <c r="AV424" s="71"/>
      <c r="AW424" s="71"/>
      <c r="AX424" s="71"/>
      <c r="AY424" s="71"/>
      <c r="AZ424" s="71"/>
      <c r="BB424" s="71"/>
      <c r="BD424" s="24"/>
      <c r="BG424" s="24"/>
      <c r="BJ424" s="24"/>
    </row>
    <row r="425" spans="29:62" ht="15" customHeight="1" x14ac:dyDescent="0.2">
      <c r="AC425" s="237" t="str">
        <f t="shared" si="30"/>
        <v/>
      </c>
      <c r="AD425" s="237" t="str">
        <f t="shared" si="31"/>
        <v/>
      </c>
      <c r="AF425" s="151"/>
      <c r="AG425" s="75"/>
      <c r="AH425" s="75"/>
      <c r="AI425" s="75"/>
      <c r="AJ425" s="75"/>
      <c r="AK425" s="75"/>
      <c r="AL425" s="75"/>
      <c r="AM425" s="75"/>
      <c r="AN425" s="75"/>
      <c r="AO425" s="75"/>
      <c r="AP425" s="75"/>
      <c r="AQ425" s="71"/>
      <c r="AR425" s="75"/>
      <c r="AS425" s="75"/>
      <c r="AT425" s="75"/>
      <c r="AU425" s="71"/>
      <c r="AV425" s="71"/>
      <c r="AW425" s="71"/>
      <c r="AX425" s="71"/>
      <c r="AY425" s="71"/>
      <c r="AZ425" s="71"/>
      <c r="BB425" s="71"/>
      <c r="BD425" s="24"/>
      <c r="BG425" s="24"/>
      <c r="BJ425" s="24"/>
    </row>
    <row r="426" spans="29:62" ht="15" customHeight="1" x14ac:dyDescent="0.2">
      <c r="AC426" s="237" t="str">
        <f t="shared" si="30"/>
        <v/>
      </c>
      <c r="AD426" s="237" t="str">
        <f t="shared" si="31"/>
        <v/>
      </c>
      <c r="AF426" s="151"/>
      <c r="AG426" s="75"/>
      <c r="AH426" s="75"/>
      <c r="AI426" s="75"/>
      <c r="AJ426" s="75"/>
      <c r="AK426" s="75"/>
      <c r="AL426" s="75"/>
      <c r="AM426" s="75"/>
      <c r="AN426" s="75"/>
      <c r="AO426" s="75"/>
      <c r="AP426" s="75"/>
      <c r="AQ426" s="71"/>
      <c r="AR426" s="75"/>
      <c r="AS426" s="75"/>
      <c r="AT426" s="75"/>
      <c r="AU426" s="71"/>
      <c r="AV426" s="71"/>
      <c r="AW426" s="71"/>
      <c r="AX426" s="71"/>
      <c r="AY426" s="71"/>
      <c r="AZ426" s="71"/>
      <c r="BB426" s="71"/>
      <c r="BD426" s="24"/>
      <c r="BG426" s="24"/>
      <c r="BJ426" s="24"/>
    </row>
    <row r="427" spans="29:62" ht="15" customHeight="1" x14ac:dyDescent="0.2">
      <c r="AC427" s="237" t="str">
        <f t="shared" si="30"/>
        <v/>
      </c>
      <c r="AD427" s="237" t="str">
        <f t="shared" si="31"/>
        <v/>
      </c>
      <c r="AF427" s="151"/>
      <c r="AG427" s="75"/>
      <c r="AH427" s="75"/>
      <c r="AI427" s="75"/>
      <c r="AJ427" s="75"/>
      <c r="AK427" s="75"/>
      <c r="AL427" s="75"/>
      <c r="AM427" s="75"/>
      <c r="AN427" s="75"/>
      <c r="AO427" s="75"/>
      <c r="AP427" s="75"/>
      <c r="AQ427" s="71"/>
      <c r="AR427" s="75"/>
      <c r="AS427" s="75"/>
      <c r="AT427" s="75"/>
      <c r="AU427" s="71"/>
      <c r="AV427" s="71"/>
      <c r="AW427" s="71"/>
      <c r="AX427" s="71"/>
      <c r="AY427" s="71"/>
      <c r="AZ427" s="71"/>
      <c r="BB427" s="71"/>
      <c r="BD427" s="24"/>
      <c r="BG427" s="24"/>
      <c r="BJ427" s="24"/>
    </row>
    <row r="428" spans="29:62" ht="15" customHeight="1" x14ac:dyDescent="0.2">
      <c r="AC428" s="237" t="str">
        <f t="shared" si="30"/>
        <v/>
      </c>
      <c r="AD428" s="237" t="str">
        <f t="shared" si="31"/>
        <v/>
      </c>
      <c r="AF428" s="151"/>
      <c r="AG428" s="75"/>
      <c r="AH428" s="75"/>
      <c r="AI428" s="75"/>
      <c r="AJ428" s="75"/>
      <c r="AK428" s="75"/>
      <c r="AL428" s="75"/>
      <c r="AM428" s="75"/>
      <c r="AN428" s="75"/>
      <c r="AO428" s="75"/>
      <c r="AP428" s="75"/>
      <c r="AQ428" s="71"/>
      <c r="AR428" s="75"/>
      <c r="AS428" s="75"/>
      <c r="AT428" s="75"/>
      <c r="AU428" s="71"/>
      <c r="AV428" s="71"/>
      <c r="AW428" s="71"/>
      <c r="AX428" s="71"/>
      <c r="AY428" s="71"/>
      <c r="AZ428" s="71"/>
      <c r="BB428" s="71"/>
      <c r="BD428" s="24"/>
      <c r="BG428" s="24"/>
      <c r="BJ428" s="24"/>
    </row>
    <row r="429" spans="29:62" ht="15" customHeight="1" x14ac:dyDescent="0.2">
      <c r="AC429" s="237" t="str">
        <f t="shared" si="30"/>
        <v/>
      </c>
      <c r="AD429" s="237" t="str">
        <f t="shared" si="31"/>
        <v/>
      </c>
      <c r="AF429" s="151"/>
      <c r="AG429" s="75"/>
      <c r="AH429" s="75"/>
      <c r="AI429" s="75"/>
      <c r="AJ429" s="75"/>
      <c r="AK429" s="75"/>
      <c r="AL429" s="75"/>
      <c r="AM429" s="75"/>
      <c r="AN429" s="75"/>
      <c r="AO429" s="75"/>
      <c r="AP429" s="75"/>
      <c r="AQ429" s="71"/>
      <c r="AR429" s="75"/>
      <c r="AS429" s="75"/>
      <c r="AT429" s="75"/>
      <c r="AU429" s="71"/>
      <c r="AV429" s="71"/>
      <c r="AW429" s="71"/>
      <c r="AX429" s="71"/>
      <c r="AY429" s="71"/>
      <c r="AZ429" s="71"/>
      <c r="BB429" s="71"/>
      <c r="BD429" s="24"/>
      <c r="BG429" s="24"/>
      <c r="BJ429" s="24"/>
    </row>
    <row r="430" spans="29:62" ht="15" customHeight="1" x14ac:dyDescent="0.2">
      <c r="AC430" s="237" t="str">
        <f t="shared" si="30"/>
        <v/>
      </c>
      <c r="AD430" s="237" t="str">
        <f t="shared" si="31"/>
        <v/>
      </c>
      <c r="AF430" s="151"/>
      <c r="AG430" s="75"/>
      <c r="AH430" s="75"/>
      <c r="AI430" s="75"/>
      <c r="AJ430" s="75"/>
      <c r="AK430" s="75"/>
      <c r="AL430" s="75"/>
      <c r="AM430" s="75"/>
      <c r="AN430" s="75"/>
      <c r="AO430" s="75"/>
      <c r="AP430" s="75"/>
      <c r="AQ430" s="71"/>
      <c r="AR430" s="75"/>
      <c r="AS430" s="75"/>
      <c r="AT430" s="75"/>
      <c r="AU430" s="71"/>
      <c r="AV430" s="71"/>
      <c r="AW430" s="71"/>
      <c r="AX430" s="71"/>
      <c r="AY430" s="71"/>
      <c r="AZ430" s="71"/>
      <c r="BB430" s="71"/>
      <c r="BD430" s="24"/>
      <c r="BG430" s="24"/>
      <c r="BJ430" s="24"/>
    </row>
    <row r="431" spans="29:62" ht="15" customHeight="1" x14ac:dyDescent="0.2">
      <c r="AC431" s="237" t="str">
        <f t="shared" si="30"/>
        <v/>
      </c>
      <c r="AD431" s="237" t="str">
        <f t="shared" si="31"/>
        <v/>
      </c>
      <c r="AF431" s="151"/>
      <c r="AG431" s="75"/>
      <c r="AH431" s="75"/>
      <c r="AI431" s="75"/>
      <c r="AJ431" s="75"/>
      <c r="AK431" s="75"/>
      <c r="AL431" s="75"/>
      <c r="AM431" s="75"/>
      <c r="AN431" s="75"/>
      <c r="AO431" s="75"/>
      <c r="AP431" s="75"/>
      <c r="AQ431" s="71"/>
      <c r="AR431" s="75"/>
      <c r="AS431" s="75"/>
      <c r="AT431" s="75"/>
      <c r="AU431" s="71"/>
      <c r="AV431" s="71"/>
      <c r="AW431" s="71"/>
      <c r="AX431" s="71"/>
      <c r="AY431" s="71"/>
      <c r="AZ431" s="71"/>
      <c r="BB431" s="71"/>
      <c r="BD431" s="24"/>
      <c r="BG431" s="24"/>
      <c r="BJ431" s="24"/>
    </row>
    <row r="432" spans="29:62" ht="15" customHeight="1" x14ac:dyDescent="0.2">
      <c r="AC432" s="237" t="str">
        <f t="shared" si="30"/>
        <v/>
      </c>
      <c r="AD432" s="237" t="str">
        <f t="shared" si="31"/>
        <v/>
      </c>
      <c r="AF432" s="151"/>
      <c r="AG432" s="75"/>
      <c r="AH432" s="75"/>
      <c r="AI432" s="75"/>
      <c r="AJ432" s="75"/>
      <c r="AK432" s="75"/>
      <c r="AL432" s="75"/>
      <c r="AM432" s="75"/>
      <c r="AN432" s="75"/>
      <c r="AO432" s="75"/>
      <c r="AP432" s="75"/>
      <c r="AQ432" s="71"/>
      <c r="AR432" s="75"/>
      <c r="AS432" s="75"/>
      <c r="AT432" s="75"/>
      <c r="AU432" s="71"/>
      <c r="AV432" s="71"/>
      <c r="AW432" s="71"/>
      <c r="AX432" s="71"/>
      <c r="AY432" s="71"/>
      <c r="AZ432" s="71"/>
      <c r="BB432" s="71"/>
      <c r="BD432" s="24"/>
      <c r="BG432" s="24"/>
      <c r="BJ432" s="24"/>
    </row>
    <row r="433" spans="29:62" ht="15" customHeight="1" x14ac:dyDescent="0.2">
      <c r="AC433" s="237" t="str">
        <f t="shared" si="30"/>
        <v/>
      </c>
      <c r="AD433" s="237" t="str">
        <f t="shared" si="31"/>
        <v/>
      </c>
      <c r="AF433" s="151"/>
      <c r="AG433" s="75"/>
      <c r="AH433" s="75"/>
      <c r="AI433" s="75"/>
      <c r="AJ433" s="75"/>
      <c r="AK433" s="75"/>
      <c r="AL433" s="75"/>
      <c r="AM433" s="75"/>
      <c r="AN433" s="75"/>
      <c r="AO433" s="75"/>
      <c r="AP433" s="75"/>
      <c r="AQ433" s="71"/>
      <c r="AR433" s="75"/>
      <c r="AS433" s="75"/>
      <c r="AT433" s="75"/>
      <c r="AU433" s="71"/>
      <c r="AV433" s="71"/>
      <c r="AW433" s="71"/>
      <c r="AX433" s="71"/>
      <c r="AY433" s="71"/>
      <c r="AZ433" s="71"/>
      <c r="BB433" s="71"/>
      <c r="BD433" s="24"/>
      <c r="BG433" s="24"/>
      <c r="BJ433" s="24"/>
    </row>
    <row r="434" spans="29:62" ht="15" customHeight="1" x14ac:dyDescent="0.2">
      <c r="AC434" s="237" t="str">
        <f t="shared" si="30"/>
        <v/>
      </c>
      <c r="AD434" s="237" t="str">
        <f t="shared" si="31"/>
        <v/>
      </c>
      <c r="AF434" s="151"/>
      <c r="AG434" s="75"/>
      <c r="AH434" s="75"/>
      <c r="AI434" s="75"/>
      <c r="AJ434" s="75"/>
      <c r="AK434" s="75"/>
      <c r="AL434" s="75"/>
      <c r="AM434" s="75"/>
      <c r="AN434" s="75"/>
      <c r="AO434" s="75"/>
      <c r="AP434" s="75"/>
      <c r="AQ434" s="71"/>
      <c r="AR434" s="75"/>
      <c r="AS434" s="75"/>
      <c r="AT434" s="75"/>
      <c r="AU434" s="71"/>
      <c r="AV434" s="71"/>
      <c r="AW434" s="71"/>
      <c r="AX434" s="71"/>
      <c r="AY434" s="71"/>
      <c r="AZ434" s="71"/>
      <c r="BB434" s="71"/>
      <c r="BD434" s="24"/>
      <c r="BG434" s="24"/>
      <c r="BJ434" s="24"/>
    </row>
    <row r="435" spans="29:62" ht="15" customHeight="1" x14ac:dyDescent="0.2">
      <c r="AC435" s="237" t="str">
        <f t="shared" si="30"/>
        <v/>
      </c>
      <c r="AD435" s="237" t="str">
        <f t="shared" si="31"/>
        <v/>
      </c>
      <c r="AF435" s="151"/>
      <c r="AG435" s="75"/>
      <c r="AH435" s="75"/>
      <c r="AI435" s="75"/>
      <c r="AJ435" s="75"/>
      <c r="AK435" s="75"/>
      <c r="AL435" s="75"/>
      <c r="AM435" s="75"/>
      <c r="AN435" s="75"/>
      <c r="AO435" s="75"/>
      <c r="AP435" s="75"/>
      <c r="AQ435" s="71"/>
      <c r="AR435" s="75"/>
      <c r="AS435" s="75"/>
      <c r="AT435" s="75"/>
      <c r="AU435" s="71"/>
      <c r="AV435" s="71"/>
      <c r="AW435" s="71"/>
      <c r="AX435" s="71"/>
      <c r="AY435" s="71"/>
      <c r="AZ435" s="71"/>
      <c r="BB435" s="71"/>
      <c r="BD435" s="24"/>
      <c r="BG435" s="24"/>
      <c r="BJ435" s="24"/>
    </row>
    <row r="436" spans="29:62" ht="15" customHeight="1" x14ac:dyDescent="0.2">
      <c r="AC436" s="237" t="str">
        <f t="shared" si="30"/>
        <v/>
      </c>
      <c r="AD436" s="237" t="str">
        <f t="shared" si="31"/>
        <v/>
      </c>
      <c r="AF436" s="151"/>
      <c r="AG436" s="75"/>
      <c r="AH436" s="75"/>
      <c r="AI436" s="75"/>
      <c r="AJ436" s="75"/>
      <c r="AK436" s="75"/>
      <c r="AL436" s="75"/>
      <c r="AM436" s="75"/>
      <c r="AN436" s="75"/>
      <c r="AO436" s="75"/>
      <c r="AP436" s="75"/>
      <c r="AQ436" s="71"/>
      <c r="AR436" s="75"/>
      <c r="AS436" s="75"/>
      <c r="AT436" s="75"/>
      <c r="AU436" s="71"/>
      <c r="AV436" s="71"/>
      <c r="AW436" s="71"/>
      <c r="AX436" s="71"/>
      <c r="AY436" s="71"/>
      <c r="AZ436" s="71"/>
      <c r="BB436" s="71"/>
      <c r="BD436" s="24"/>
      <c r="BG436" s="24"/>
      <c r="BJ436" s="24"/>
    </row>
    <row r="437" spans="29:62" ht="15" customHeight="1" x14ac:dyDescent="0.2">
      <c r="AC437" s="237" t="str">
        <f t="shared" si="30"/>
        <v/>
      </c>
      <c r="AD437" s="237" t="str">
        <f t="shared" si="31"/>
        <v/>
      </c>
      <c r="AF437" s="151"/>
      <c r="AG437" s="75"/>
      <c r="AH437" s="75"/>
      <c r="AI437" s="75"/>
      <c r="AJ437" s="75"/>
      <c r="AK437" s="75"/>
      <c r="AL437" s="75"/>
      <c r="AM437" s="75"/>
      <c r="AN437" s="75"/>
      <c r="AO437" s="75"/>
      <c r="AP437" s="75"/>
      <c r="AQ437" s="71"/>
      <c r="AR437" s="75"/>
      <c r="AS437" s="75"/>
      <c r="AT437" s="75"/>
      <c r="AU437" s="71"/>
      <c r="AV437" s="71"/>
      <c r="AW437" s="71"/>
      <c r="AX437" s="71"/>
      <c r="AY437" s="71"/>
      <c r="AZ437" s="71"/>
      <c r="BB437" s="71"/>
      <c r="BD437" s="24"/>
      <c r="BG437" s="24"/>
      <c r="BJ437" s="24"/>
    </row>
    <row r="438" spans="29:62" ht="15" customHeight="1" x14ac:dyDescent="0.2">
      <c r="AC438" s="237" t="str">
        <f t="shared" si="30"/>
        <v/>
      </c>
      <c r="AD438" s="237" t="str">
        <f t="shared" si="31"/>
        <v/>
      </c>
      <c r="AF438" s="151"/>
      <c r="AG438" s="75"/>
      <c r="AH438" s="75"/>
      <c r="AI438" s="75"/>
      <c r="AJ438" s="75"/>
      <c r="AK438" s="75"/>
      <c r="AL438" s="75"/>
      <c r="AM438" s="75"/>
      <c r="AN438" s="75"/>
      <c r="AO438" s="75"/>
      <c r="AP438" s="75"/>
      <c r="AQ438" s="71"/>
      <c r="AR438" s="75"/>
      <c r="AS438" s="75"/>
      <c r="AT438" s="75"/>
      <c r="AU438" s="71"/>
      <c r="AV438" s="71"/>
      <c r="AW438" s="71"/>
      <c r="AX438" s="71"/>
      <c r="AY438" s="71"/>
      <c r="AZ438" s="71"/>
      <c r="BB438" s="71"/>
      <c r="BD438" s="24"/>
      <c r="BG438" s="24"/>
      <c r="BJ438" s="24"/>
    </row>
    <row r="439" spans="29:62" ht="15" customHeight="1" x14ac:dyDescent="0.2">
      <c r="AC439" s="237" t="str">
        <f t="shared" si="30"/>
        <v/>
      </c>
      <c r="AD439" s="237" t="str">
        <f t="shared" si="31"/>
        <v/>
      </c>
      <c r="AF439" s="151"/>
      <c r="AG439" s="75"/>
      <c r="AH439" s="75"/>
      <c r="AI439" s="75"/>
      <c r="AJ439" s="75"/>
      <c r="AK439" s="75"/>
      <c r="AL439" s="75"/>
      <c r="AM439" s="75"/>
      <c r="AN439" s="75"/>
      <c r="AO439" s="75"/>
      <c r="AP439" s="75"/>
      <c r="AQ439" s="71"/>
      <c r="AR439" s="75"/>
      <c r="AS439" s="75"/>
      <c r="AT439" s="75"/>
      <c r="AU439" s="71"/>
      <c r="AV439" s="71"/>
      <c r="AW439" s="71"/>
      <c r="AX439" s="71"/>
      <c r="AY439" s="71"/>
      <c r="AZ439" s="71"/>
      <c r="BB439" s="71"/>
      <c r="BD439" s="24"/>
      <c r="BG439" s="24"/>
      <c r="BJ439" s="24"/>
    </row>
    <row r="440" spans="29:62" ht="15" customHeight="1" x14ac:dyDescent="0.2">
      <c r="AC440" s="237" t="str">
        <f t="shared" si="30"/>
        <v/>
      </c>
      <c r="AD440" s="237" t="str">
        <f t="shared" si="31"/>
        <v/>
      </c>
      <c r="AF440" s="151"/>
      <c r="AG440" s="75"/>
      <c r="AH440" s="75"/>
      <c r="AI440" s="75"/>
      <c r="AJ440" s="75"/>
      <c r="AK440" s="75"/>
      <c r="AL440" s="75"/>
      <c r="AM440" s="75"/>
      <c r="AN440" s="75"/>
      <c r="AO440" s="75"/>
      <c r="AP440" s="75"/>
      <c r="AQ440" s="71"/>
      <c r="AR440" s="75"/>
      <c r="AS440" s="75"/>
      <c r="AT440" s="75"/>
      <c r="AU440" s="71"/>
      <c r="AV440" s="71"/>
      <c r="AW440" s="71"/>
      <c r="AX440" s="71"/>
      <c r="AY440" s="71"/>
      <c r="AZ440" s="71"/>
      <c r="BB440" s="71"/>
      <c r="BD440" s="24"/>
      <c r="BG440" s="24"/>
      <c r="BJ440" s="24"/>
    </row>
    <row r="441" spans="29:62" ht="15" customHeight="1" x14ac:dyDescent="0.2">
      <c r="AC441" s="237" t="str">
        <f t="shared" si="30"/>
        <v/>
      </c>
      <c r="AD441" s="237" t="str">
        <f t="shared" si="31"/>
        <v/>
      </c>
      <c r="AF441" s="151"/>
      <c r="AG441" s="75"/>
      <c r="AH441" s="75"/>
      <c r="AI441" s="75"/>
      <c r="AJ441" s="75"/>
      <c r="AK441" s="75"/>
      <c r="AL441" s="75"/>
      <c r="AM441" s="75"/>
      <c r="AN441" s="75"/>
      <c r="AO441" s="75"/>
      <c r="AP441" s="75"/>
      <c r="AQ441" s="71"/>
      <c r="AR441" s="75"/>
      <c r="AS441" s="75"/>
      <c r="AT441" s="75"/>
      <c r="AU441" s="71"/>
      <c r="AV441" s="71"/>
      <c r="AW441" s="71"/>
      <c r="AX441" s="71"/>
      <c r="AY441" s="71"/>
      <c r="AZ441" s="71"/>
      <c r="BB441" s="71"/>
      <c r="BD441" s="24"/>
      <c r="BG441" s="24"/>
      <c r="BJ441" s="24"/>
    </row>
    <row r="442" spans="29:62" ht="15" customHeight="1" x14ac:dyDescent="0.2">
      <c r="AC442" s="237" t="str">
        <f t="shared" si="30"/>
        <v/>
      </c>
      <c r="AD442" s="237" t="str">
        <f t="shared" si="31"/>
        <v/>
      </c>
      <c r="AF442" s="151"/>
      <c r="AG442" s="75"/>
      <c r="AH442" s="75"/>
      <c r="AI442" s="75"/>
      <c r="AJ442" s="75"/>
      <c r="AK442" s="75"/>
      <c r="AL442" s="75"/>
      <c r="AM442" s="75"/>
      <c r="AN442" s="75"/>
      <c r="AO442" s="75"/>
      <c r="AP442" s="75"/>
      <c r="AQ442" s="71"/>
      <c r="AR442" s="75"/>
      <c r="AS442" s="75"/>
      <c r="AT442" s="75"/>
      <c r="AU442" s="71"/>
      <c r="AV442" s="71"/>
      <c r="AW442" s="71"/>
      <c r="AX442" s="71"/>
      <c r="AY442" s="71"/>
      <c r="AZ442" s="71"/>
      <c r="BB442" s="71"/>
      <c r="BD442" s="24"/>
      <c r="BG442" s="24"/>
      <c r="BJ442" s="24"/>
    </row>
    <row r="443" spans="29:62" ht="15" customHeight="1" x14ac:dyDescent="0.2">
      <c r="AC443" s="237" t="str">
        <f t="shared" si="30"/>
        <v/>
      </c>
      <c r="AD443" s="237" t="str">
        <f t="shared" si="31"/>
        <v/>
      </c>
      <c r="AF443" s="151"/>
      <c r="AG443" s="75"/>
      <c r="AH443" s="75"/>
      <c r="AI443" s="75"/>
      <c r="AJ443" s="75"/>
      <c r="AK443" s="75"/>
      <c r="AL443" s="75"/>
      <c r="AM443" s="75"/>
      <c r="AN443" s="75"/>
      <c r="AO443" s="75"/>
      <c r="AP443" s="75"/>
      <c r="AQ443" s="71"/>
      <c r="AR443" s="75"/>
      <c r="AS443" s="75"/>
      <c r="AT443" s="75"/>
      <c r="AU443" s="71"/>
      <c r="AV443" s="71"/>
      <c r="AW443" s="71"/>
      <c r="AX443" s="71"/>
      <c r="AY443" s="71"/>
      <c r="AZ443" s="71"/>
      <c r="BB443" s="71"/>
      <c r="BD443" s="24"/>
      <c r="BG443" s="24"/>
      <c r="BJ443" s="24"/>
    </row>
    <row r="444" spans="29:62" ht="15" customHeight="1" x14ac:dyDescent="0.2">
      <c r="AC444" s="237" t="str">
        <f t="shared" si="30"/>
        <v/>
      </c>
      <c r="AD444" s="237" t="str">
        <f t="shared" si="31"/>
        <v/>
      </c>
      <c r="AF444" s="151"/>
      <c r="AG444" s="75"/>
      <c r="AH444" s="75"/>
      <c r="AI444" s="75"/>
      <c r="AJ444" s="75"/>
      <c r="AK444" s="75"/>
      <c r="AL444" s="75"/>
      <c r="AM444" s="75"/>
      <c r="AN444" s="75"/>
      <c r="AO444" s="75"/>
      <c r="AP444" s="75"/>
      <c r="AQ444" s="71"/>
      <c r="AR444" s="75"/>
      <c r="AS444" s="75"/>
      <c r="AT444" s="75"/>
      <c r="AU444" s="71"/>
      <c r="AV444" s="71"/>
      <c r="AW444" s="71"/>
      <c r="AX444" s="71"/>
      <c r="AY444" s="71"/>
      <c r="AZ444" s="71"/>
      <c r="BB444" s="71"/>
      <c r="BD444" s="24"/>
      <c r="BG444" s="24"/>
      <c r="BJ444" s="24"/>
    </row>
    <row r="445" spans="29:62" ht="15" customHeight="1" x14ac:dyDescent="0.2">
      <c r="AC445" s="237" t="str">
        <f t="shared" ref="AC445:AC460" si="32">IF(Q445="","",SQRT(($R445-$AR$61)^2+($S445-$AS$61)^2))</f>
        <v/>
      </c>
      <c r="AD445" s="237" t="str">
        <f t="shared" ref="AD445:AD460" si="33">IF(Q445="","",SQRT(($R445-$AT$61)^2+($S445-$AU$61)^2))</f>
        <v/>
      </c>
      <c r="AF445" s="151"/>
      <c r="AG445" s="75"/>
      <c r="AH445" s="75"/>
      <c r="AI445" s="75"/>
      <c r="AJ445" s="75"/>
      <c r="AK445" s="75"/>
      <c r="AL445" s="75"/>
      <c r="AM445" s="75"/>
      <c r="AN445" s="75"/>
      <c r="AO445" s="75"/>
      <c r="AP445" s="75"/>
      <c r="AQ445" s="71"/>
      <c r="AR445" s="75"/>
      <c r="AS445" s="75"/>
      <c r="AT445" s="75"/>
      <c r="AU445" s="71"/>
      <c r="AV445" s="71"/>
      <c r="AW445" s="71"/>
      <c r="AX445" s="71"/>
      <c r="AY445" s="71"/>
      <c r="AZ445" s="71"/>
      <c r="BB445" s="71"/>
      <c r="BD445" s="24"/>
      <c r="BG445" s="24"/>
      <c r="BJ445" s="24"/>
    </row>
    <row r="446" spans="29:62" ht="15" customHeight="1" x14ac:dyDescent="0.2">
      <c r="AC446" s="237" t="str">
        <f t="shared" si="32"/>
        <v/>
      </c>
      <c r="AD446" s="237" t="str">
        <f t="shared" si="33"/>
        <v/>
      </c>
      <c r="AF446" s="151"/>
      <c r="AG446" s="75"/>
      <c r="AH446" s="75"/>
      <c r="AI446" s="75"/>
      <c r="AJ446" s="75"/>
      <c r="AK446" s="75"/>
      <c r="AL446" s="75"/>
      <c r="AM446" s="75"/>
      <c r="AN446" s="75"/>
      <c r="AO446" s="75"/>
      <c r="AP446" s="75"/>
      <c r="AQ446" s="71"/>
      <c r="AR446" s="75"/>
      <c r="AS446" s="75"/>
      <c r="AT446" s="75"/>
      <c r="AU446" s="71"/>
      <c r="AV446" s="71"/>
      <c r="AW446" s="71"/>
      <c r="AX446" s="71"/>
      <c r="AY446" s="71"/>
      <c r="AZ446" s="71"/>
      <c r="BB446" s="71"/>
      <c r="BD446" s="24"/>
      <c r="BG446" s="24"/>
      <c r="BJ446" s="24"/>
    </row>
    <row r="447" spans="29:62" ht="15" customHeight="1" x14ac:dyDescent="0.2">
      <c r="AC447" s="237" t="str">
        <f t="shared" si="32"/>
        <v/>
      </c>
      <c r="AD447" s="237" t="str">
        <f t="shared" si="33"/>
        <v/>
      </c>
      <c r="AF447" s="151"/>
      <c r="AG447" s="75"/>
      <c r="AH447" s="75"/>
      <c r="AI447" s="75"/>
      <c r="AJ447" s="75"/>
      <c r="AK447" s="75"/>
      <c r="AL447" s="75"/>
      <c r="AM447" s="75"/>
      <c r="AN447" s="75"/>
      <c r="AO447" s="75"/>
      <c r="AP447" s="75"/>
      <c r="AQ447" s="71"/>
      <c r="AR447" s="75"/>
      <c r="AS447" s="75"/>
      <c r="AT447" s="75"/>
      <c r="AU447" s="71"/>
      <c r="AV447" s="71"/>
      <c r="AW447" s="71"/>
      <c r="AX447" s="71"/>
      <c r="AY447" s="71"/>
      <c r="AZ447" s="71"/>
      <c r="BB447" s="71"/>
      <c r="BD447" s="24"/>
      <c r="BG447" s="24"/>
      <c r="BJ447" s="24"/>
    </row>
    <row r="448" spans="29:62" ht="15" customHeight="1" x14ac:dyDescent="0.2">
      <c r="AC448" s="237" t="str">
        <f t="shared" si="32"/>
        <v/>
      </c>
      <c r="AD448" s="237" t="str">
        <f t="shared" si="33"/>
        <v/>
      </c>
      <c r="AF448" s="151"/>
      <c r="AG448" s="75"/>
      <c r="AH448" s="75"/>
      <c r="AI448" s="75"/>
      <c r="AJ448" s="75"/>
      <c r="AK448" s="75"/>
      <c r="AL448" s="75"/>
      <c r="AM448" s="75"/>
      <c r="AN448" s="75"/>
      <c r="AO448" s="75"/>
      <c r="AP448" s="75"/>
      <c r="AQ448" s="71"/>
      <c r="AR448" s="75"/>
      <c r="AS448" s="75"/>
      <c r="AT448" s="75"/>
      <c r="AU448" s="71"/>
      <c r="AV448" s="71"/>
      <c r="AW448" s="71"/>
      <c r="AX448" s="71"/>
      <c r="AY448" s="71"/>
      <c r="AZ448" s="71"/>
      <c r="BB448" s="71"/>
      <c r="BD448" s="24"/>
      <c r="BG448" s="24"/>
      <c r="BJ448" s="24"/>
    </row>
    <row r="449" spans="29:62" ht="15" customHeight="1" x14ac:dyDescent="0.2">
      <c r="AC449" s="237" t="str">
        <f t="shared" si="32"/>
        <v/>
      </c>
      <c r="AD449" s="237" t="str">
        <f t="shared" si="33"/>
        <v/>
      </c>
      <c r="AF449" s="151"/>
      <c r="AG449" s="75"/>
      <c r="AH449" s="75"/>
      <c r="AI449" s="75"/>
      <c r="AJ449" s="75"/>
      <c r="AK449" s="75"/>
      <c r="AL449" s="75"/>
      <c r="AM449" s="75"/>
      <c r="AN449" s="75"/>
      <c r="AO449" s="75"/>
      <c r="AP449" s="75"/>
      <c r="AQ449" s="71"/>
      <c r="AR449" s="75"/>
      <c r="AS449" s="75"/>
      <c r="AT449" s="75"/>
      <c r="AU449" s="71"/>
      <c r="AV449" s="71"/>
      <c r="AW449" s="71"/>
      <c r="AX449" s="71"/>
      <c r="AY449" s="71"/>
      <c r="AZ449" s="71"/>
      <c r="BB449" s="71"/>
      <c r="BD449" s="24"/>
      <c r="BG449" s="24"/>
      <c r="BJ449" s="24"/>
    </row>
    <row r="450" spans="29:62" ht="15" customHeight="1" x14ac:dyDescent="0.2">
      <c r="AC450" s="237" t="str">
        <f t="shared" si="32"/>
        <v/>
      </c>
      <c r="AD450" s="237" t="str">
        <f t="shared" si="33"/>
        <v/>
      </c>
      <c r="AF450" s="151"/>
      <c r="AG450" s="75"/>
      <c r="AH450" s="75"/>
      <c r="AI450" s="75"/>
      <c r="AJ450" s="75"/>
      <c r="AK450" s="75"/>
      <c r="AL450" s="75"/>
      <c r="AM450" s="75"/>
      <c r="AN450" s="75"/>
      <c r="AO450" s="75"/>
      <c r="AP450" s="75"/>
      <c r="AQ450" s="71"/>
      <c r="AR450" s="75"/>
      <c r="AS450" s="75"/>
      <c r="AT450" s="75"/>
      <c r="AU450" s="71"/>
      <c r="AV450" s="71"/>
      <c r="AW450" s="71"/>
      <c r="AX450" s="71"/>
      <c r="AY450" s="71"/>
      <c r="AZ450" s="71"/>
      <c r="BB450" s="71"/>
      <c r="BD450" s="24"/>
      <c r="BG450" s="24"/>
      <c r="BJ450" s="24"/>
    </row>
    <row r="451" spans="29:62" ht="15" customHeight="1" x14ac:dyDescent="0.2">
      <c r="AC451" s="237" t="str">
        <f t="shared" si="32"/>
        <v/>
      </c>
      <c r="AD451" s="237" t="str">
        <f t="shared" si="33"/>
        <v/>
      </c>
      <c r="AF451" s="151"/>
      <c r="AG451" s="75"/>
      <c r="AH451" s="75"/>
      <c r="AI451" s="75"/>
      <c r="AJ451" s="75"/>
      <c r="AK451" s="75"/>
      <c r="AL451" s="75"/>
      <c r="AM451" s="75"/>
      <c r="AN451" s="75"/>
      <c r="AO451" s="75"/>
      <c r="AP451" s="75"/>
      <c r="AQ451" s="71"/>
      <c r="AR451" s="75"/>
      <c r="AS451" s="75"/>
      <c r="AT451" s="75"/>
      <c r="AU451" s="71"/>
      <c r="AV451" s="71"/>
      <c r="AW451" s="71"/>
      <c r="AX451" s="71"/>
      <c r="AY451" s="71"/>
      <c r="AZ451" s="71"/>
      <c r="BB451" s="71"/>
      <c r="BD451" s="24"/>
      <c r="BG451" s="24"/>
      <c r="BJ451" s="24"/>
    </row>
    <row r="452" spans="29:62" ht="15" customHeight="1" x14ac:dyDescent="0.2">
      <c r="AC452" s="237" t="str">
        <f t="shared" si="32"/>
        <v/>
      </c>
      <c r="AD452" s="237" t="str">
        <f t="shared" si="33"/>
        <v/>
      </c>
      <c r="AF452" s="151"/>
      <c r="AG452" s="75"/>
      <c r="AH452" s="75"/>
      <c r="AI452" s="75"/>
      <c r="AJ452" s="75"/>
      <c r="AK452" s="75"/>
      <c r="AL452" s="75"/>
      <c r="AM452" s="75"/>
      <c r="AN452" s="75"/>
      <c r="AO452" s="75"/>
      <c r="AP452" s="75"/>
      <c r="AQ452" s="71"/>
      <c r="AR452" s="75"/>
      <c r="AS452" s="75"/>
      <c r="AT452" s="75"/>
      <c r="AU452" s="71"/>
      <c r="AV452" s="71"/>
      <c r="AW452" s="71"/>
      <c r="AX452" s="71"/>
      <c r="AY452" s="71"/>
      <c r="AZ452" s="71"/>
      <c r="BB452" s="71"/>
      <c r="BD452" s="24"/>
      <c r="BG452" s="24"/>
      <c r="BJ452" s="24"/>
    </row>
    <row r="453" spans="29:62" ht="15" customHeight="1" x14ac:dyDescent="0.2">
      <c r="AC453" s="237" t="str">
        <f t="shared" si="32"/>
        <v/>
      </c>
      <c r="AD453" s="237" t="str">
        <f t="shared" si="33"/>
        <v/>
      </c>
      <c r="AF453" s="151"/>
      <c r="AG453" s="75"/>
      <c r="AH453" s="75"/>
      <c r="AI453" s="75"/>
      <c r="AJ453" s="75"/>
      <c r="AK453" s="75"/>
      <c r="AL453" s="75"/>
      <c r="AM453" s="75"/>
      <c r="AN453" s="75"/>
      <c r="AO453" s="75"/>
      <c r="AP453" s="75"/>
      <c r="AQ453" s="71"/>
      <c r="AR453" s="75"/>
      <c r="AS453" s="75"/>
      <c r="AT453" s="75"/>
      <c r="AU453" s="71"/>
      <c r="AV453" s="71"/>
      <c r="AW453" s="71"/>
      <c r="AX453" s="71"/>
      <c r="AY453" s="71"/>
      <c r="AZ453" s="71"/>
      <c r="BB453" s="71"/>
      <c r="BD453" s="24"/>
      <c r="BG453" s="24"/>
      <c r="BJ453" s="24"/>
    </row>
    <row r="454" spans="29:62" ht="15" customHeight="1" x14ac:dyDescent="0.2">
      <c r="AC454" s="237" t="str">
        <f t="shared" si="32"/>
        <v/>
      </c>
      <c r="AD454" s="237" t="str">
        <f t="shared" si="33"/>
        <v/>
      </c>
      <c r="AF454" s="151"/>
      <c r="AG454" s="75"/>
      <c r="AH454" s="75"/>
      <c r="AI454" s="75"/>
      <c r="AJ454" s="75"/>
      <c r="AK454" s="75"/>
      <c r="AL454" s="75"/>
      <c r="AM454" s="75"/>
      <c r="AN454" s="75"/>
      <c r="AO454" s="75"/>
      <c r="AP454" s="75"/>
      <c r="AQ454" s="71"/>
      <c r="AR454" s="75"/>
      <c r="AS454" s="75"/>
      <c r="AT454" s="75"/>
      <c r="AU454" s="71"/>
      <c r="AV454" s="71"/>
      <c r="AW454" s="71"/>
      <c r="AX454" s="71"/>
      <c r="AY454" s="71"/>
      <c r="AZ454" s="71"/>
      <c r="BB454" s="71"/>
      <c r="BD454" s="24"/>
      <c r="BG454" s="24"/>
      <c r="BJ454" s="24"/>
    </row>
    <row r="455" spans="29:62" ht="15" customHeight="1" x14ac:dyDescent="0.2">
      <c r="AC455" s="237" t="str">
        <f t="shared" si="32"/>
        <v/>
      </c>
      <c r="AD455" s="237" t="str">
        <f t="shared" si="33"/>
        <v/>
      </c>
      <c r="AF455" s="151"/>
      <c r="AG455" s="75"/>
      <c r="AH455" s="75"/>
      <c r="AI455" s="75"/>
      <c r="AJ455" s="75"/>
      <c r="AK455" s="75"/>
      <c r="AL455" s="75"/>
      <c r="AM455" s="75"/>
      <c r="AN455" s="75"/>
      <c r="AO455" s="75"/>
      <c r="AP455" s="75"/>
      <c r="AQ455" s="71"/>
      <c r="AR455" s="75"/>
      <c r="AS455" s="75"/>
      <c r="AT455" s="75"/>
      <c r="AU455" s="71"/>
      <c r="AV455" s="71"/>
      <c r="AW455" s="71"/>
      <c r="AX455" s="71"/>
      <c r="AY455" s="71"/>
      <c r="AZ455" s="71"/>
      <c r="BB455" s="71"/>
      <c r="BD455" s="24"/>
      <c r="BG455" s="24"/>
      <c r="BJ455" s="24"/>
    </row>
    <row r="456" spans="29:62" ht="15" customHeight="1" x14ac:dyDescent="0.2">
      <c r="AC456" s="237" t="str">
        <f t="shared" si="32"/>
        <v/>
      </c>
      <c r="AD456" s="237" t="str">
        <f t="shared" si="33"/>
        <v/>
      </c>
      <c r="AF456" s="151"/>
      <c r="AG456" s="75"/>
      <c r="AH456" s="75"/>
      <c r="AI456" s="75"/>
      <c r="AJ456" s="75"/>
      <c r="AK456" s="75"/>
      <c r="AL456" s="75"/>
      <c r="AM456" s="75"/>
      <c r="AN456" s="75"/>
      <c r="AO456" s="75"/>
      <c r="AP456" s="75"/>
      <c r="AQ456" s="71"/>
      <c r="AR456" s="75"/>
      <c r="AS456" s="75"/>
      <c r="AT456" s="75"/>
      <c r="AU456" s="71"/>
      <c r="AV456" s="71"/>
      <c r="AW456" s="71"/>
      <c r="AX456" s="71"/>
      <c r="AY456" s="71"/>
      <c r="AZ456" s="71"/>
      <c r="BB456" s="71"/>
      <c r="BD456" s="24"/>
      <c r="BG456" s="24"/>
      <c r="BJ456" s="24"/>
    </row>
    <row r="457" spans="29:62" ht="15" customHeight="1" x14ac:dyDescent="0.2">
      <c r="AC457" s="237" t="str">
        <f t="shared" si="32"/>
        <v/>
      </c>
      <c r="AD457" s="237" t="str">
        <f t="shared" si="33"/>
        <v/>
      </c>
      <c r="AF457" s="151"/>
      <c r="AG457" s="75"/>
      <c r="AH457" s="75"/>
      <c r="AI457" s="75"/>
      <c r="AJ457" s="75"/>
      <c r="AK457" s="75"/>
      <c r="AL457" s="75"/>
      <c r="AM457" s="75"/>
      <c r="AN457" s="75"/>
      <c r="AO457" s="75"/>
      <c r="AP457" s="75"/>
      <c r="AQ457" s="71"/>
      <c r="AR457" s="75"/>
      <c r="AS457" s="75"/>
      <c r="AT457" s="75"/>
      <c r="AU457" s="71"/>
      <c r="AV457" s="71"/>
      <c r="AW457" s="71"/>
      <c r="AX457" s="71"/>
      <c r="AY457" s="71"/>
      <c r="AZ457" s="71"/>
      <c r="BB457" s="71"/>
      <c r="BD457" s="24"/>
      <c r="BG457" s="24"/>
      <c r="BJ457" s="24"/>
    </row>
    <row r="458" spans="29:62" ht="15" customHeight="1" x14ac:dyDescent="0.2">
      <c r="AC458" s="237" t="str">
        <f t="shared" si="32"/>
        <v/>
      </c>
      <c r="AD458" s="237" t="str">
        <f t="shared" si="33"/>
        <v/>
      </c>
      <c r="AF458" s="151"/>
      <c r="AG458" s="75"/>
      <c r="AH458" s="75"/>
      <c r="AI458" s="75"/>
      <c r="AJ458" s="75"/>
      <c r="AK458" s="75"/>
      <c r="AL458" s="75"/>
      <c r="AM458" s="75"/>
      <c r="AN458" s="75"/>
      <c r="AO458" s="75"/>
      <c r="AP458" s="75"/>
      <c r="AQ458" s="71"/>
      <c r="AR458" s="75"/>
      <c r="AS458" s="75"/>
      <c r="AT458" s="75"/>
      <c r="AU458" s="71"/>
      <c r="AV458" s="71"/>
      <c r="AW458" s="71"/>
      <c r="AX458" s="71"/>
      <c r="AY458" s="71"/>
      <c r="AZ458" s="71"/>
      <c r="BB458" s="71"/>
      <c r="BD458" s="24"/>
      <c r="BG458" s="24"/>
      <c r="BJ458" s="24"/>
    </row>
    <row r="459" spans="29:62" ht="15" customHeight="1" x14ac:dyDescent="0.2">
      <c r="AC459" s="237" t="str">
        <f t="shared" si="32"/>
        <v/>
      </c>
      <c r="AD459" s="237" t="str">
        <f t="shared" si="33"/>
        <v/>
      </c>
      <c r="AF459" s="151"/>
      <c r="AG459" s="75"/>
      <c r="AH459" s="75"/>
      <c r="AI459" s="75"/>
      <c r="AJ459" s="75"/>
      <c r="AK459" s="75"/>
      <c r="AL459" s="75"/>
      <c r="AM459" s="75"/>
      <c r="AN459" s="75"/>
      <c r="AO459" s="75"/>
      <c r="AP459" s="75"/>
      <c r="AQ459" s="71"/>
      <c r="AR459" s="75"/>
      <c r="AS459" s="75"/>
      <c r="AT459" s="75"/>
      <c r="AU459" s="71"/>
      <c r="AV459" s="71"/>
      <c r="AW459" s="71"/>
      <c r="AX459" s="71"/>
      <c r="AY459" s="71"/>
      <c r="AZ459" s="71"/>
      <c r="BB459" s="71"/>
      <c r="BD459" s="24"/>
      <c r="BG459" s="24"/>
      <c r="BJ459" s="24"/>
    </row>
    <row r="460" spans="29:62" ht="15" customHeight="1" x14ac:dyDescent="0.2">
      <c r="AC460" s="237" t="str">
        <f t="shared" si="32"/>
        <v/>
      </c>
      <c r="AD460" s="237" t="str">
        <f t="shared" si="33"/>
        <v/>
      </c>
      <c r="AF460" s="151"/>
      <c r="AG460" s="75"/>
      <c r="AH460" s="75"/>
      <c r="AI460" s="75"/>
      <c r="AJ460" s="75"/>
      <c r="AK460" s="75"/>
      <c r="AL460" s="75"/>
      <c r="AM460" s="75"/>
      <c r="AN460" s="75"/>
      <c r="AO460" s="75"/>
      <c r="AP460" s="75"/>
      <c r="AQ460" s="71"/>
      <c r="AR460" s="75"/>
      <c r="AS460" s="75"/>
      <c r="AT460" s="75"/>
      <c r="AU460" s="71"/>
      <c r="AV460" s="71"/>
      <c r="AW460" s="71"/>
      <c r="AX460" s="71"/>
      <c r="AY460" s="71"/>
      <c r="AZ460" s="71"/>
      <c r="BB460" s="71"/>
      <c r="BD460" s="24"/>
      <c r="BG460" s="24"/>
      <c r="BJ460" s="24"/>
    </row>
    <row r="461" spans="29:62" ht="15" customHeight="1" x14ac:dyDescent="0.2">
      <c r="AF461" s="151"/>
      <c r="AG461" s="75"/>
      <c r="AH461" s="75"/>
      <c r="AI461" s="75"/>
      <c r="AJ461" s="75"/>
      <c r="AK461" s="75"/>
      <c r="AL461" s="75"/>
      <c r="AM461" s="75"/>
      <c r="AN461" s="75"/>
      <c r="AO461" s="75"/>
      <c r="AP461" s="75"/>
      <c r="AQ461" s="71"/>
      <c r="AR461" s="75"/>
      <c r="AS461" s="75"/>
      <c r="AT461" s="75"/>
      <c r="AU461" s="71"/>
      <c r="AV461" s="71"/>
      <c r="AW461" s="71"/>
      <c r="AX461" s="71"/>
      <c r="AY461" s="71"/>
      <c r="AZ461" s="71"/>
      <c r="BB461" s="71"/>
      <c r="BD461" s="24"/>
      <c r="BG461" s="24"/>
      <c r="BJ461" s="24"/>
    </row>
    <row r="462" spans="29:62" ht="15" customHeight="1" x14ac:dyDescent="0.2">
      <c r="AF462" s="151"/>
      <c r="AG462" s="75"/>
      <c r="AH462" s="75"/>
      <c r="AI462" s="75"/>
      <c r="AJ462" s="75"/>
      <c r="AK462" s="75"/>
      <c r="AL462" s="75"/>
      <c r="AM462" s="75"/>
      <c r="AN462" s="75"/>
      <c r="AO462" s="75"/>
      <c r="AP462" s="75"/>
      <c r="AQ462" s="71"/>
      <c r="AR462" s="75"/>
      <c r="AS462" s="75"/>
      <c r="AT462" s="75"/>
      <c r="AU462" s="71"/>
      <c r="AV462" s="71"/>
      <c r="AW462" s="71"/>
      <c r="AX462" s="71"/>
      <c r="AY462" s="71"/>
      <c r="AZ462" s="71"/>
      <c r="BB462" s="71"/>
      <c r="BD462" s="24"/>
      <c r="BG462" s="24"/>
      <c r="BJ462" s="24"/>
    </row>
    <row r="463" spans="29:62" ht="15" customHeight="1" x14ac:dyDescent="0.2">
      <c r="AF463" s="151"/>
      <c r="AG463" s="75"/>
      <c r="AH463" s="75"/>
      <c r="AI463" s="75"/>
      <c r="AJ463" s="75"/>
      <c r="AK463" s="75"/>
      <c r="AL463" s="75"/>
      <c r="AM463" s="75"/>
      <c r="AN463" s="75"/>
      <c r="AO463" s="75"/>
      <c r="AP463" s="75"/>
      <c r="AQ463" s="71"/>
      <c r="AR463" s="75"/>
      <c r="AS463" s="75"/>
      <c r="AT463" s="75"/>
      <c r="AU463" s="71"/>
      <c r="AV463" s="71"/>
      <c r="AW463" s="71"/>
      <c r="AX463" s="71"/>
      <c r="AY463" s="71"/>
      <c r="AZ463" s="71"/>
      <c r="BB463" s="71"/>
      <c r="BD463" s="24"/>
      <c r="BG463" s="24"/>
      <c r="BJ463" s="24"/>
    </row>
    <row r="464" spans="29:62" ht="15" customHeight="1" x14ac:dyDescent="0.2">
      <c r="AF464" s="151"/>
      <c r="AG464" s="75"/>
      <c r="AH464" s="75"/>
      <c r="AI464" s="75"/>
      <c r="AJ464" s="75"/>
      <c r="AK464" s="75"/>
      <c r="AL464" s="75"/>
      <c r="AM464" s="75"/>
      <c r="AN464" s="75"/>
      <c r="AO464" s="75"/>
      <c r="AP464" s="75"/>
      <c r="AQ464" s="71"/>
      <c r="AR464" s="75"/>
      <c r="AS464" s="75"/>
      <c r="AT464" s="75"/>
      <c r="AU464" s="71"/>
      <c r="AV464" s="71"/>
      <c r="AW464" s="71"/>
      <c r="AX464" s="71"/>
      <c r="AY464" s="71"/>
      <c r="AZ464" s="71"/>
      <c r="BB464" s="71"/>
      <c r="BD464" s="24"/>
      <c r="BG464" s="24"/>
      <c r="BJ464" s="24"/>
    </row>
    <row r="465" spans="32:62" ht="15" customHeight="1" x14ac:dyDescent="0.2">
      <c r="AF465" s="151"/>
      <c r="AG465" s="75"/>
      <c r="AH465" s="75"/>
      <c r="AI465" s="75"/>
      <c r="AJ465" s="75"/>
      <c r="AK465" s="75"/>
      <c r="AL465" s="75"/>
      <c r="AM465" s="75"/>
      <c r="AN465" s="75"/>
      <c r="AO465" s="75"/>
      <c r="AP465" s="75"/>
      <c r="AQ465" s="71"/>
      <c r="AR465" s="75"/>
      <c r="AS465" s="75"/>
      <c r="AT465" s="75"/>
      <c r="AU465" s="71"/>
      <c r="AV465" s="71"/>
      <c r="AW465" s="71"/>
      <c r="AX465" s="71"/>
      <c r="AY465" s="71"/>
      <c r="AZ465" s="71"/>
      <c r="BB465" s="71"/>
      <c r="BD465" s="24"/>
      <c r="BG465" s="24"/>
      <c r="BJ465" s="24"/>
    </row>
    <row r="466" spans="32:62" ht="15" customHeight="1" x14ac:dyDescent="0.2">
      <c r="AF466" s="151"/>
      <c r="AG466" s="75"/>
      <c r="AH466" s="75"/>
      <c r="AI466" s="75"/>
      <c r="AJ466" s="75"/>
      <c r="AK466" s="75"/>
      <c r="AL466" s="75"/>
      <c r="AM466" s="75"/>
      <c r="AN466" s="75"/>
      <c r="AO466" s="75"/>
      <c r="AP466" s="75"/>
      <c r="AQ466" s="71"/>
      <c r="AR466" s="75"/>
      <c r="AS466" s="75"/>
      <c r="AT466" s="75"/>
      <c r="AU466" s="71"/>
      <c r="AV466" s="71"/>
      <c r="AW466" s="71"/>
      <c r="AX466" s="71"/>
      <c r="AY466" s="71"/>
      <c r="AZ466" s="71"/>
      <c r="BB466" s="71"/>
      <c r="BD466" s="24"/>
      <c r="BG466" s="24"/>
      <c r="BJ466" s="24"/>
    </row>
    <row r="467" spans="32:62" ht="15" customHeight="1" x14ac:dyDescent="0.2">
      <c r="AF467" s="151"/>
      <c r="AG467" s="75"/>
      <c r="AH467" s="75"/>
      <c r="AI467" s="75"/>
      <c r="AJ467" s="75"/>
      <c r="AK467" s="75"/>
      <c r="AL467" s="75"/>
      <c r="AM467" s="75"/>
      <c r="AN467" s="75"/>
      <c r="AO467" s="75"/>
      <c r="AP467" s="75"/>
      <c r="AQ467" s="71"/>
      <c r="AR467" s="75"/>
      <c r="AS467" s="75"/>
      <c r="AT467" s="75"/>
      <c r="AU467" s="71"/>
      <c r="AV467" s="71"/>
      <c r="AW467" s="71"/>
      <c r="AX467" s="71"/>
      <c r="AY467" s="71"/>
      <c r="AZ467" s="71"/>
      <c r="BB467" s="71"/>
      <c r="BD467" s="24"/>
      <c r="BG467" s="24"/>
      <c r="BJ467" s="24"/>
    </row>
    <row r="468" spans="32:62" ht="15" customHeight="1" x14ac:dyDescent="0.2">
      <c r="AF468" s="151"/>
      <c r="AG468" s="75"/>
      <c r="AH468" s="75"/>
      <c r="AI468" s="75"/>
      <c r="AJ468" s="75"/>
      <c r="AK468" s="75"/>
      <c r="AL468" s="75"/>
      <c r="AM468" s="75"/>
      <c r="AN468" s="75"/>
      <c r="AO468" s="75"/>
      <c r="AP468" s="75"/>
      <c r="AQ468" s="71"/>
      <c r="AR468" s="75"/>
      <c r="AS468" s="75"/>
      <c r="AT468" s="75"/>
      <c r="AU468" s="71"/>
      <c r="AV468" s="71"/>
      <c r="AW468" s="71"/>
      <c r="AX468" s="71"/>
      <c r="AY468" s="71"/>
      <c r="AZ468" s="71"/>
      <c r="BB468" s="71"/>
      <c r="BD468" s="24"/>
      <c r="BG468" s="24"/>
      <c r="BJ468" s="24"/>
    </row>
    <row r="469" spans="32:62" ht="15" customHeight="1" x14ac:dyDescent="0.2">
      <c r="AF469" s="151"/>
      <c r="AG469" s="75"/>
      <c r="AH469" s="75"/>
      <c r="AI469" s="75"/>
      <c r="AJ469" s="75"/>
      <c r="AK469" s="75"/>
      <c r="AL469" s="75"/>
      <c r="AM469" s="75"/>
      <c r="AN469" s="75"/>
      <c r="AO469" s="75"/>
      <c r="AP469" s="75"/>
      <c r="AQ469" s="71"/>
      <c r="AR469" s="75"/>
      <c r="AS469" s="75"/>
      <c r="AT469" s="75"/>
      <c r="AU469" s="71"/>
      <c r="AV469" s="71"/>
      <c r="AW469" s="71"/>
      <c r="AX469" s="71"/>
      <c r="AY469" s="71"/>
      <c r="AZ469" s="71"/>
      <c r="BB469" s="71"/>
      <c r="BD469" s="24"/>
      <c r="BG469" s="24"/>
      <c r="BJ469" s="24"/>
    </row>
    <row r="470" spans="32:62" ht="15" customHeight="1" x14ac:dyDescent="0.2">
      <c r="AF470" s="151"/>
      <c r="AG470" s="75"/>
      <c r="AH470" s="75"/>
      <c r="AI470" s="75"/>
      <c r="AJ470" s="75"/>
      <c r="AK470" s="75"/>
      <c r="AL470" s="75"/>
      <c r="AM470" s="75"/>
      <c r="AN470" s="75"/>
      <c r="AO470" s="75"/>
      <c r="AP470" s="75"/>
      <c r="AQ470" s="71"/>
      <c r="AR470" s="75"/>
      <c r="AS470" s="75"/>
      <c r="AT470" s="75"/>
      <c r="AU470" s="71"/>
      <c r="AV470" s="71"/>
      <c r="AW470" s="71"/>
      <c r="AX470" s="71"/>
      <c r="AY470" s="71"/>
      <c r="AZ470" s="71"/>
      <c r="BB470" s="71"/>
      <c r="BD470" s="24"/>
      <c r="BG470" s="24"/>
      <c r="BJ470" s="24"/>
    </row>
    <row r="471" spans="32:62" ht="15" customHeight="1" x14ac:dyDescent="0.2">
      <c r="AF471" s="151"/>
      <c r="AG471" s="75"/>
      <c r="AH471" s="75"/>
      <c r="AI471" s="75"/>
      <c r="AJ471" s="75"/>
      <c r="AK471" s="75"/>
      <c r="AL471" s="75"/>
      <c r="AM471" s="75"/>
      <c r="AN471" s="75"/>
      <c r="AO471" s="75"/>
      <c r="AP471" s="75"/>
      <c r="AQ471" s="71"/>
      <c r="AR471" s="75"/>
      <c r="AS471" s="75"/>
      <c r="AT471" s="75"/>
      <c r="AU471" s="71"/>
      <c r="AV471" s="71"/>
      <c r="AW471" s="71"/>
      <c r="AX471" s="71"/>
      <c r="AY471" s="71"/>
      <c r="AZ471" s="71"/>
      <c r="BB471" s="71"/>
      <c r="BD471" s="24"/>
      <c r="BG471" s="24"/>
      <c r="BJ471" s="24"/>
    </row>
    <row r="472" spans="32:62" ht="15" customHeight="1" x14ac:dyDescent="0.2">
      <c r="AF472" s="151"/>
      <c r="AG472" s="75"/>
      <c r="AH472" s="75"/>
      <c r="AI472" s="75"/>
      <c r="AJ472" s="75"/>
      <c r="AK472" s="75"/>
      <c r="AL472" s="75"/>
      <c r="AM472" s="75"/>
      <c r="AN472" s="75"/>
      <c r="AO472" s="75"/>
      <c r="AP472" s="75"/>
      <c r="AQ472" s="71"/>
      <c r="AR472" s="75"/>
      <c r="AS472" s="75"/>
      <c r="AT472" s="75"/>
      <c r="AU472" s="71"/>
      <c r="AV472" s="71"/>
      <c r="AW472" s="71"/>
      <c r="AX472" s="71"/>
      <c r="AY472" s="71"/>
      <c r="AZ472" s="71"/>
      <c r="BB472" s="71"/>
      <c r="BD472" s="24"/>
      <c r="BG472" s="24"/>
      <c r="BJ472" s="24"/>
    </row>
    <row r="473" spans="32:62" ht="15" customHeight="1" x14ac:dyDescent="0.2">
      <c r="AF473" s="151"/>
      <c r="AG473" s="75"/>
      <c r="AH473" s="75"/>
      <c r="AI473" s="75"/>
      <c r="AJ473" s="75"/>
      <c r="AK473" s="75"/>
      <c r="AL473" s="75"/>
      <c r="AM473" s="75"/>
      <c r="AN473" s="75"/>
      <c r="AO473" s="75"/>
      <c r="AP473" s="75"/>
      <c r="AQ473" s="71"/>
      <c r="AR473" s="75"/>
      <c r="AS473" s="75"/>
      <c r="AT473" s="75"/>
      <c r="AU473" s="71"/>
      <c r="AV473" s="71"/>
      <c r="AW473" s="71"/>
      <c r="AX473" s="71"/>
      <c r="BD473" s="24"/>
      <c r="BG473" s="24"/>
      <c r="BJ473" s="24"/>
    </row>
    <row r="474" spans="32:62" ht="15" customHeight="1" x14ac:dyDescent="0.2">
      <c r="AF474" s="151"/>
      <c r="AG474" s="75"/>
      <c r="AH474" s="75"/>
      <c r="AI474" s="75"/>
      <c r="AJ474" s="75"/>
      <c r="AK474" s="75"/>
      <c r="AL474" s="75"/>
      <c r="AM474" s="75"/>
      <c r="AN474" s="75"/>
      <c r="AO474" s="75"/>
      <c r="AP474" s="75"/>
      <c r="AQ474" s="71"/>
      <c r="AR474" s="75"/>
      <c r="AS474" s="75"/>
      <c r="AT474" s="75"/>
      <c r="AU474" s="71"/>
      <c r="AV474" s="71"/>
      <c r="AW474" s="71"/>
      <c r="AX474" s="71"/>
      <c r="BD474" s="24"/>
      <c r="BG474" s="24"/>
      <c r="BJ474" s="24"/>
    </row>
    <row r="475" spans="32:62" ht="15" customHeight="1" x14ac:dyDescent="0.2">
      <c r="AF475" s="151"/>
      <c r="AG475" s="75"/>
      <c r="AH475" s="75"/>
      <c r="AI475" s="75"/>
      <c r="AJ475" s="75"/>
      <c r="AK475" s="75"/>
      <c r="AL475" s="75"/>
      <c r="AM475" s="75"/>
      <c r="AN475" s="75"/>
      <c r="AO475" s="75"/>
      <c r="AP475" s="75"/>
      <c r="AQ475" s="71"/>
      <c r="AR475" s="75"/>
      <c r="AS475" s="75"/>
      <c r="AT475" s="75"/>
      <c r="AU475" s="71"/>
      <c r="AV475" s="71"/>
      <c r="AW475" s="71"/>
      <c r="AX475" s="71"/>
      <c r="BD475" s="24"/>
      <c r="BG475" s="24"/>
      <c r="BJ475" s="24"/>
    </row>
    <row r="476" spans="32:62" ht="15" customHeight="1" x14ac:dyDescent="0.2">
      <c r="AF476" s="151"/>
      <c r="AG476" s="75"/>
      <c r="AH476" s="75"/>
      <c r="AI476" s="75"/>
      <c r="AJ476" s="75"/>
      <c r="AK476" s="75"/>
      <c r="AL476" s="75"/>
      <c r="AM476" s="75"/>
      <c r="AN476" s="75"/>
      <c r="AO476" s="75"/>
      <c r="AP476" s="75"/>
      <c r="AQ476" s="71"/>
      <c r="AR476" s="75"/>
      <c r="AS476" s="75"/>
      <c r="AT476" s="75"/>
      <c r="AU476" s="71"/>
      <c r="AV476" s="71"/>
      <c r="AW476" s="71"/>
      <c r="AX476" s="71"/>
      <c r="BD476" s="24"/>
      <c r="BG476" s="24"/>
      <c r="BJ476" s="24"/>
    </row>
    <row r="477" spans="32:62" ht="15" customHeight="1" x14ac:dyDescent="0.2">
      <c r="AF477" s="151"/>
      <c r="AG477" s="75"/>
      <c r="AH477" s="75"/>
      <c r="AI477" s="75"/>
      <c r="AJ477" s="75"/>
      <c r="AK477" s="75"/>
      <c r="AL477" s="75"/>
      <c r="AM477" s="75"/>
      <c r="AN477" s="75"/>
      <c r="AO477" s="75"/>
      <c r="AP477" s="75"/>
      <c r="AQ477" s="71"/>
      <c r="AR477" s="75"/>
      <c r="AS477" s="75"/>
      <c r="AT477" s="75"/>
      <c r="AU477" s="71"/>
      <c r="AV477" s="71"/>
      <c r="AW477" s="71"/>
      <c r="AX477" s="71"/>
      <c r="BD477" s="24"/>
      <c r="BG477" s="24"/>
      <c r="BJ477" s="24"/>
    </row>
    <row r="478" spans="32:62" ht="15" customHeight="1" x14ac:dyDescent="0.2">
      <c r="AF478" s="151"/>
      <c r="AG478" s="75"/>
      <c r="AH478" s="75"/>
      <c r="AI478" s="75"/>
      <c r="AJ478" s="75"/>
      <c r="AK478" s="75"/>
      <c r="AL478" s="75"/>
      <c r="AM478" s="75"/>
      <c r="AN478" s="75"/>
      <c r="AO478" s="75"/>
      <c r="AP478" s="75"/>
      <c r="AQ478" s="71"/>
      <c r="AR478" s="75"/>
      <c r="AS478" s="75"/>
      <c r="AT478" s="75"/>
      <c r="AU478" s="71"/>
      <c r="AV478" s="71"/>
      <c r="AW478" s="71"/>
      <c r="AX478" s="71"/>
      <c r="BD478" s="24"/>
      <c r="BG478" s="24"/>
      <c r="BJ478" s="24"/>
    </row>
    <row r="479" spans="32:62" ht="15" customHeight="1" x14ac:dyDescent="0.2">
      <c r="AF479" s="151"/>
      <c r="AG479" s="75"/>
      <c r="AH479" s="75"/>
      <c r="AI479" s="75"/>
      <c r="AJ479" s="75"/>
      <c r="AK479" s="75"/>
      <c r="AL479" s="75"/>
      <c r="AM479" s="75"/>
      <c r="AN479" s="75"/>
      <c r="AO479" s="75"/>
      <c r="AP479" s="75"/>
      <c r="AQ479" s="71"/>
      <c r="AR479" s="75"/>
      <c r="AS479" s="75"/>
      <c r="AT479" s="75"/>
      <c r="AU479" s="71"/>
      <c r="AV479" s="71"/>
      <c r="AW479" s="71"/>
      <c r="AX479" s="71"/>
      <c r="BD479" s="24"/>
      <c r="BG479" s="24"/>
      <c r="BJ479" s="24"/>
    </row>
    <row r="480" spans="32:62" ht="15" customHeight="1" x14ac:dyDescent="0.2">
      <c r="AF480" s="151"/>
      <c r="AG480" s="75"/>
      <c r="AH480" s="75"/>
      <c r="AI480" s="75"/>
      <c r="AJ480" s="75"/>
      <c r="AK480" s="75"/>
      <c r="AL480" s="75"/>
      <c r="AM480" s="75"/>
      <c r="AN480" s="75"/>
      <c r="AO480" s="75"/>
      <c r="AP480" s="75"/>
      <c r="AQ480" s="71"/>
      <c r="AR480" s="75"/>
      <c r="AS480" s="75"/>
      <c r="AT480" s="75"/>
      <c r="AU480" s="71"/>
      <c r="AV480" s="71"/>
      <c r="AW480" s="71"/>
      <c r="AX480" s="71"/>
      <c r="BD480" s="24"/>
      <c r="BG480" s="24"/>
      <c r="BJ480" s="24"/>
    </row>
    <row r="481" spans="32:62" ht="15" customHeight="1" x14ac:dyDescent="0.2">
      <c r="AF481" s="151"/>
      <c r="AG481" s="75"/>
      <c r="AH481" s="75"/>
      <c r="AI481" s="75"/>
      <c r="AJ481" s="75"/>
      <c r="AK481" s="75"/>
      <c r="AL481" s="75"/>
      <c r="AM481" s="75"/>
      <c r="AN481" s="75"/>
      <c r="AO481" s="75"/>
      <c r="AP481" s="75"/>
      <c r="AQ481" s="71"/>
      <c r="AR481" s="75"/>
      <c r="AS481" s="75"/>
      <c r="AT481" s="75"/>
      <c r="AU481" s="71"/>
      <c r="AV481" s="71"/>
      <c r="AW481" s="71"/>
      <c r="AX481" s="71"/>
      <c r="BD481" s="24"/>
      <c r="BG481" s="24"/>
      <c r="BJ481" s="24"/>
    </row>
    <row r="482" spans="32:62" ht="15" customHeight="1" x14ac:dyDescent="0.2">
      <c r="AF482" s="151"/>
      <c r="AG482" s="75"/>
      <c r="AH482" s="75"/>
      <c r="AI482" s="75"/>
      <c r="AJ482" s="75"/>
      <c r="AK482" s="75"/>
      <c r="AL482" s="75"/>
      <c r="AM482" s="75"/>
      <c r="AN482" s="75"/>
      <c r="AO482" s="75"/>
      <c r="AP482" s="75"/>
      <c r="AQ482" s="71"/>
      <c r="AR482" s="75"/>
      <c r="AS482" s="75"/>
      <c r="AT482" s="75"/>
      <c r="AU482" s="71"/>
      <c r="AV482" s="71"/>
      <c r="AW482" s="71"/>
      <c r="AX482" s="71"/>
      <c r="BD482" s="24"/>
      <c r="BG482" s="24"/>
      <c r="BJ482" s="24"/>
    </row>
    <row r="483" spans="32:62" ht="15" customHeight="1" x14ac:dyDescent="0.2">
      <c r="AF483" s="151"/>
      <c r="AG483" s="75"/>
      <c r="AH483" s="75"/>
      <c r="AI483" s="75"/>
      <c r="AJ483" s="75"/>
      <c r="AK483" s="75"/>
      <c r="AL483" s="75"/>
      <c r="AM483" s="75"/>
      <c r="AN483" s="75"/>
      <c r="AO483" s="75"/>
      <c r="AP483" s="75"/>
      <c r="AQ483" s="71"/>
      <c r="AR483" s="75"/>
      <c r="AS483" s="75"/>
      <c r="AT483" s="75"/>
      <c r="AU483" s="71"/>
      <c r="AV483" s="71"/>
      <c r="AW483" s="71"/>
      <c r="AX483" s="71"/>
      <c r="BD483" s="24"/>
      <c r="BG483" s="24"/>
      <c r="BJ483" s="24"/>
    </row>
    <row r="484" spans="32:62" ht="15" customHeight="1" x14ac:dyDescent="0.2">
      <c r="AF484" s="151"/>
      <c r="AG484" s="75"/>
      <c r="AH484" s="75"/>
      <c r="AI484" s="75"/>
      <c r="AJ484" s="75"/>
      <c r="AK484" s="75"/>
      <c r="AL484" s="75"/>
      <c r="AM484" s="75"/>
      <c r="AN484" s="75"/>
      <c r="AO484" s="75"/>
      <c r="AP484" s="75"/>
      <c r="AQ484" s="71"/>
      <c r="AR484" s="75"/>
      <c r="AS484" s="75"/>
      <c r="AT484" s="75"/>
      <c r="AU484" s="71"/>
      <c r="AV484" s="71"/>
      <c r="AW484" s="71"/>
      <c r="AX484" s="71"/>
      <c r="BD484" s="24"/>
      <c r="BG484" s="24"/>
      <c r="BJ484" s="24"/>
    </row>
    <row r="485" spans="32:62" ht="15" customHeight="1" x14ac:dyDescent="0.2">
      <c r="AF485" s="151"/>
      <c r="AG485" s="75"/>
      <c r="AH485" s="75"/>
      <c r="AI485" s="75"/>
      <c r="AJ485" s="75"/>
      <c r="AK485" s="75"/>
      <c r="AL485" s="75"/>
      <c r="AM485" s="75"/>
      <c r="AN485" s="75"/>
      <c r="AO485" s="75"/>
      <c r="AP485" s="75"/>
      <c r="AQ485" s="71"/>
      <c r="AR485" s="75"/>
      <c r="AS485" s="75"/>
      <c r="AT485" s="75"/>
      <c r="AU485" s="71"/>
      <c r="AV485" s="71"/>
      <c r="AW485" s="71"/>
      <c r="AX485" s="71"/>
      <c r="BD485" s="24"/>
      <c r="BG485" s="24"/>
      <c r="BJ485" s="24"/>
    </row>
    <row r="486" spans="32:62" ht="15" customHeight="1" x14ac:dyDescent="0.2">
      <c r="AF486" s="151"/>
      <c r="AG486" s="75"/>
      <c r="AH486" s="75"/>
      <c r="AI486" s="75"/>
      <c r="AJ486" s="75"/>
      <c r="AK486" s="75"/>
      <c r="AL486" s="75"/>
      <c r="AM486" s="75"/>
      <c r="AN486" s="75"/>
      <c r="AO486" s="75"/>
      <c r="AP486" s="75"/>
      <c r="AQ486" s="71"/>
      <c r="AR486" s="75"/>
      <c r="AS486" s="75"/>
      <c r="AT486" s="75"/>
      <c r="AU486" s="71"/>
      <c r="AV486" s="71"/>
      <c r="AW486" s="71"/>
      <c r="AX486" s="71"/>
      <c r="BD486" s="24"/>
      <c r="BG486" s="24"/>
      <c r="BJ486" s="24"/>
    </row>
    <row r="487" spans="32:62" ht="15" customHeight="1" x14ac:dyDescent="0.2">
      <c r="AF487" s="151"/>
      <c r="AG487" s="75"/>
      <c r="AH487" s="75"/>
      <c r="AI487" s="75"/>
      <c r="AJ487" s="75"/>
      <c r="AK487" s="75"/>
      <c r="AL487" s="75"/>
      <c r="AM487" s="75"/>
      <c r="AN487" s="75"/>
      <c r="AO487" s="75"/>
      <c r="AP487" s="75"/>
      <c r="AQ487" s="71"/>
      <c r="AR487" s="75"/>
      <c r="AS487" s="75"/>
      <c r="AT487" s="75"/>
      <c r="AU487" s="71"/>
      <c r="AV487" s="71"/>
      <c r="AW487" s="71"/>
      <c r="AX487" s="71"/>
      <c r="BD487" s="24"/>
      <c r="BG487" s="24"/>
      <c r="BJ487" s="24"/>
    </row>
    <row r="488" spans="32:62" ht="15" customHeight="1" x14ac:dyDescent="0.2">
      <c r="AF488" s="151"/>
      <c r="AG488" s="75"/>
      <c r="AH488" s="75"/>
      <c r="AI488" s="75"/>
      <c r="AJ488" s="75"/>
      <c r="AK488" s="75"/>
      <c r="AL488" s="75"/>
      <c r="AM488" s="75"/>
      <c r="AN488" s="75"/>
      <c r="AO488" s="75"/>
      <c r="AP488" s="75"/>
      <c r="AQ488" s="71"/>
      <c r="AR488" s="75"/>
      <c r="AS488" s="75"/>
      <c r="AT488" s="75"/>
      <c r="AU488" s="71"/>
      <c r="AV488" s="71"/>
      <c r="AW488" s="71"/>
      <c r="AX488" s="71"/>
      <c r="BD488" s="24"/>
      <c r="BG488" s="24"/>
      <c r="BJ488" s="24"/>
    </row>
    <row r="489" spans="32:62" ht="15" customHeight="1" x14ac:dyDescent="0.2">
      <c r="AF489" s="151"/>
      <c r="AG489" s="75"/>
      <c r="AH489" s="75"/>
      <c r="AI489" s="75"/>
      <c r="AJ489" s="75"/>
      <c r="AK489" s="75"/>
      <c r="AL489" s="75"/>
      <c r="AM489" s="75"/>
      <c r="AN489" s="75"/>
      <c r="AO489" s="75"/>
      <c r="AP489" s="75"/>
      <c r="AQ489" s="71"/>
      <c r="AR489" s="75"/>
      <c r="AS489" s="75"/>
      <c r="AT489" s="75"/>
      <c r="AU489" s="71"/>
      <c r="AV489" s="71"/>
      <c r="AW489" s="71"/>
      <c r="AX489" s="71"/>
      <c r="BD489" s="24"/>
      <c r="BG489" s="24"/>
      <c r="BJ489" s="24"/>
    </row>
    <row r="490" spans="32:62" ht="15" customHeight="1" x14ac:dyDescent="0.2">
      <c r="AF490" s="151"/>
      <c r="AG490" s="75"/>
      <c r="AH490" s="75"/>
      <c r="AI490" s="75"/>
      <c r="AJ490" s="75"/>
      <c r="AK490" s="75"/>
      <c r="AL490" s="75"/>
      <c r="AM490" s="75"/>
      <c r="AN490" s="75"/>
      <c r="AO490" s="75"/>
      <c r="AP490" s="75"/>
      <c r="AQ490" s="71"/>
      <c r="AR490" s="75"/>
      <c r="AS490" s="75"/>
      <c r="AT490" s="75"/>
      <c r="AU490" s="71"/>
      <c r="AV490" s="71"/>
      <c r="AW490" s="71"/>
      <c r="AX490" s="71"/>
      <c r="BD490" s="24"/>
      <c r="BG490" s="24"/>
      <c r="BJ490" s="24"/>
    </row>
    <row r="491" spans="32:62" ht="15" customHeight="1" x14ac:dyDescent="0.2">
      <c r="AF491" s="151"/>
      <c r="AG491" s="75"/>
      <c r="AH491" s="75"/>
      <c r="AI491" s="75"/>
      <c r="AJ491" s="75"/>
      <c r="AK491" s="75"/>
      <c r="AL491" s="75"/>
      <c r="AM491" s="75"/>
      <c r="AN491" s="75"/>
      <c r="AO491" s="75"/>
      <c r="AP491" s="75"/>
      <c r="AQ491" s="71"/>
      <c r="AR491" s="75"/>
      <c r="AS491" s="75"/>
      <c r="AT491" s="75"/>
      <c r="AU491" s="71"/>
      <c r="AV491" s="71"/>
      <c r="AW491" s="71"/>
      <c r="AX491" s="71"/>
      <c r="BD491" s="24"/>
      <c r="BG491" s="24"/>
      <c r="BJ491" s="24"/>
    </row>
    <row r="492" spans="32:62" ht="15" customHeight="1" x14ac:dyDescent="0.2">
      <c r="AF492" s="151"/>
      <c r="AG492" s="75"/>
      <c r="AH492" s="75"/>
      <c r="AI492" s="75"/>
      <c r="AJ492" s="75"/>
      <c r="AK492" s="75"/>
      <c r="AL492" s="75"/>
      <c r="AM492" s="75"/>
      <c r="AN492" s="75"/>
      <c r="AO492" s="75"/>
      <c r="AP492" s="75"/>
      <c r="AQ492" s="71"/>
      <c r="AR492" s="75"/>
      <c r="AS492" s="75"/>
      <c r="AT492" s="75"/>
      <c r="AU492" s="71"/>
      <c r="AV492" s="71"/>
      <c r="AW492" s="71"/>
      <c r="AX492" s="71"/>
      <c r="BD492" s="24"/>
      <c r="BG492" s="24"/>
      <c r="BJ492" s="24"/>
    </row>
    <row r="493" spans="32:62" ht="15" customHeight="1" x14ac:dyDescent="0.2">
      <c r="AF493" s="151"/>
      <c r="AG493" s="75"/>
      <c r="AH493" s="75"/>
      <c r="AI493" s="75"/>
      <c r="AJ493" s="75"/>
      <c r="AK493" s="75"/>
      <c r="AL493" s="75"/>
      <c r="AM493" s="75"/>
      <c r="AN493" s="75"/>
      <c r="AO493" s="75"/>
      <c r="AP493" s="75"/>
      <c r="AQ493" s="71"/>
      <c r="AR493" s="75"/>
      <c r="AS493" s="75"/>
      <c r="AT493" s="75"/>
      <c r="AU493" s="71"/>
      <c r="AV493" s="71"/>
      <c r="AW493" s="71"/>
      <c r="AX493" s="71"/>
      <c r="BD493" s="24"/>
      <c r="BG493" s="24"/>
      <c r="BJ493" s="24"/>
    </row>
    <row r="494" spans="32:62" ht="15" customHeight="1" x14ac:dyDescent="0.2">
      <c r="AF494" s="151"/>
      <c r="AG494" s="75"/>
      <c r="AH494" s="75"/>
      <c r="AI494" s="75"/>
      <c r="AJ494" s="75"/>
      <c r="AK494" s="75"/>
      <c r="AL494" s="75"/>
      <c r="AM494" s="75"/>
      <c r="AN494" s="75"/>
      <c r="AO494" s="75"/>
      <c r="AP494" s="75"/>
      <c r="AQ494" s="71"/>
      <c r="AR494" s="75"/>
      <c r="AS494" s="75"/>
      <c r="AT494" s="75"/>
      <c r="AU494" s="71"/>
      <c r="AV494" s="71"/>
      <c r="AW494" s="71"/>
      <c r="AX494" s="71"/>
      <c r="BD494" s="24"/>
      <c r="BG494" s="24"/>
      <c r="BJ494" s="24"/>
    </row>
    <row r="495" spans="32:62" ht="15" customHeight="1" x14ac:dyDescent="0.2">
      <c r="AF495" s="151"/>
      <c r="AG495" s="75"/>
      <c r="AH495" s="75"/>
      <c r="AI495" s="75"/>
      <c r="AJ495" s="75"/>
      <c r="AK495" s="75"/>
      <c r="AL495" s="75"/>
      <c r="AM495" s="75"/>
      <c r="AN495" s="75"/>
      <c r="AO495" s="75"/>
      <c r="AP495" s="75"/>
      <c r="AQ495" s="71"/>
      <c r="AR495" s="75"/>
      <c r="AS495" s="75"/>
      <c r="AT495" s="75"/>
      <c r="AU495" s="71"/>
      <c r="AV495" s="71"/>
      <c r="AW495" s="71"/>
      <c r="AX495" s="71"/>
      <c r="BD495" s="24"/>
      <c r="BG495" s="24"/>
      <c r="BJ495" s="24"/>
    </row>
    <row r="496" spans="32:62" ht="15" customHeight="1" x14ac:dyDescent="0.2">
      <c r="AF496" s="151"/>
      <c r="AG496" s="75"/>
      <c r="AH496" s="75"/>
      <c r="AI496" s="75"/>
      <c r="AJ496" s="75"/>
      <c r="AK496" s="75"/>
      <c r="AL496" s="75"/>
      <c r="AM496" s="75"/>
      <c r="AN496" s="75"/>
      <c r="AO496" s="75"/>
      <c r="AP496" s="75"/>
      <c r="AQ496" s="71"/>
      <c r="AR496" s="75"/>
      <c r="AS496" s="75"/>
      <c r="AT496" s="75"/>
      <c r="AU496" s="71"/>
      <c r="AV496" s="71"/>
      <c r="AW496" s="71"/>
      <c r="AX496" s="71"/>
      <c r="BD496" s="24"/>
      <c r="BG496" s="24"/>
      <c r="BJ496" s="24"/>
    </row>
    <row r="497" spans="32:62" ht="15" customHeight="1" x14ac:dyDescent="0.2">
      <c r="AF497" s="151"/>
      <c r="AG497" s="75"/>
      <c r="AH497" s="75"/>
      <c r="AI497" s="75"/>
      <c r="AJ497" s="75"/>
      <c r="AK497" s="75"/>
      <c r="AL497" s="75"/>
      <c r="AM497" s="75"/>
      <c r="AN497" s="75"/>
      <c r="AO497" s="75"/>
      <c r="AP497" s="75"/>
      <c r="AQ497" s="71"/>
      <c r="AR497" s="75"/>
      <c r="AS497" s="75"/>
      <c r="AT497" s="75"/>
      <c r="AU497" s="71"/>
      <c r="AV497" s="71"/>
      <c r="AW497" s="71"/>
      <c r="AX497" s="71"/>
      <c r="BD497" s="24"/>
      <c r="BG497" s="24"/>
      <c r="BJ497" s="24"/>
    </row>
    <row r="498" spans="32:62" ht="15" customHeight="1" x14ac:dyDescent="0.2">
      <c r="AF498" s="151"/>
      <c r="AG498" s="75"/>
      <c r="AH498" s="75"/>
      <c r="AI498" s="75"/>
      <c r="AJ498" s="75"/>
      <c r="AK498" s="75"/>
      <c r="AL498" s="75"/>
      <c r="AM498" s="75"/>
      <c r="AN498" s="75"/>
      <c r="AO498" s="75"/>
      <c r="AP498" s="75"/>
      <c r="AQ498" s="71"/>
      <c r="AR498" s="75"/>
      <c r="AS498" s="75"/>
      <c r="AT498" s="75"/>
      <c r="AU498" s="71"/>
      <c r="AV498" s="71"/>
      <c r="AW498" s="71"/>
      <c r="AX498" s="71"/>
      <c r="BD498" s="24"/>
      <c r="BG498" s="24"/>
      <c r="BJ498" s="24"/>
    </row>
    <row r="499" spans="32:62" ht="15" customHeight="1" x14ac:dyDescent="0.2">
      <c r="AF499" s="151"/>
      <c r="AG499" s="75"/>
      <c r="AH499" s="75"/>
      <c r="AI499" s="75"/>
      <c r="AJ499" s="75"/>
      <c r="AK499" s="75"/>
      <c r="AL499" s="75"/>
      <c r="AM499" s="75"/>
      <c r="AN499" s="75"/>
      <c r="AO499" s="75"/>
      <c r="AP499" s="75"/>
      <c r="AQ499" s="71"/>
      <c r="AR499" s="75"/>
      <c r="AS499" s="75"/>
      <c r="AT499" s="75"/>
      <c r="AU499" s="71"/>
      <c r="AV499" s="71"/>
      <c r="AW499" s="71"/>
      <c r="AX499" s="71"/>
      <c r="BD499" s="24"/>
      <c r="BG499" s="24"/>
      <c r="BJ499" s="24"/>
    </row>
    <row r="500" spans="32:62" ht="15" customHeight="1" x14ac:dyDescent="0.2">
      <c r="AF500" s="151"/>
      <c r="AG500" s="75"/>
      <c r="AH500" s="75"/>
      <c r="AI500" s="75"/>
      <c r="AJ500" s="75"/>
      <c r="AK500" s="75"/>
      <c r="AL500" s="75"/>
      <c r="AM500" s="75"/>
      <c r="AN500" s="75"/>
      <c r="AO500" s="75"/>
      <c r="AP500" s="75"/>
      <c r="AQ500" s="71"/>
      <c r="AR500" s="75"/>
      <c r="AS500" s="75"/>
      <c r="AT500" s="75"/>
      <c r="AU500" s="71"/>
      <c r="AV500" s="71"/>
      <c r="AW500" s="71"/>
      <c r="AX500" s="71"/>
      <c r="BD500" s="24"/>
      <c r="BG500" s="24"/>
      <c r="BJ500" s="24"/>
    </row>
    <row r="501" spans="32:62" ht="15" customHeight="1" x14ac:dyDescent="0.2">
      <c r="AF501" s="151"/>
      <c r="AG501" s="75"/>
      <c r="AH501" s="75"/>
      <c r="AI501" s="75"/>
      <c r="AJ501" s="75"/>
      <c r="AK501" s="75"/>
      <c r="AL501" s="75"/>
      <c r="AM501" s="75"/>
      <c r="AN501" s="75"/>
      <c r="AO501" s="75"/>
      <c r="AP501" s="75"/>
      <c r="AQ501" s="71"/>
      <c r="AR501" s="75"/>
      <c r="AS501" s="75"/>
      <c r="AT501" s="75"/>
      <c r="AU501" s="71"/>
      <c r="AV501" s="71"/>
      <c r="AW501" s="71"/>
      <c r="AX501" s="71"/>
      <c r="BD501" s="24"/>
      <c r="BG501" s="24"/>
      <c r="BJ501" s="24"/>
    </row>
    <row r="502" spans="32:62" ht="15" customHeight="1" x14ac:dyDescent="0.2">
      <c r="AF502" s="151"/>
      <c r="AG502" s="75"/>
      <c r="AH502" s="75"/>
      <c r="AI502" s="75"/>
      <c r="AJ502" s="75"/>
      <c r="AK502" s="75"/>
      <c r="AL502" s="75"/>
      <c r="AM502" s="75"/>
      <c r="AN502" s="75"/>
      <c r="AO502" s="75"/>
      <c r="AP502" s="75"/>
      <c r="AQ502" s="71"/>
      <c r="AR502" s="75"/>
      <c r="AS502" s="75"/>
      <c r="AT502" s="75"/>
      <c r="AU502" s="71"/>
      <c r="AV502" s="71"/>
      <c r="AW502" s="71"/>
      <c r="AX502" s="71"/>
      <c r="BD502" s="24"/>
      <c r="BG502" s="24"/>
      <c r="BJ502" s="24"/>
    </row>
    <row r="503" spans="32:62" ht="15" customHeight="1" x14ac:dyDescent="0.2">
      <c r="AF503" s="151"/>
      <c r="AG503" s="75"/>
      <c r="AH503" s="75"/>
      <c r="AI503" s="75"/>
      <c r="AJ503" s="75"/>
      <c r="AK503" s="75"/>
      <c r="AL503" s="75"/>
      <c r="AM503" s="75"/>
      <c r="AN503" s="75"/>
      <c r="AO503" s="75"/>
      <c r="AP503" s="75"/>
      <c r="AQ503" s="71"/>
      <c r="AR503" s="75"/>
      <c r="AS503" s="152"/>
      <c r="AT503" s="152"/>
      <c r="AU503" s="73"/>
      <c r="AV503" s="73"/>
      <c r="AW503" s="73"/>
      <c r="AX503" s="73"/>
      <c r="BD503" s="24"/>
      <c r="BG503" s="24"/>
      <c r="BJ503" s="24"/>
    </row>
    <row r="504" spans="32:62" ht="15" customHeight="1" x14ac:dyDescent="0.2">
      <c r="AF504" s="151"/>
      <c r="AG504" s="75"/>
      <c r="AH504" s="75"/>
      <c r="AI504" s="152"/>
      <c r="AJ504" s="152"/>
      <c r="AK504" s="75"/>
      <c r="AL504" s="75"/>
      <c r="AM504" s="75"/>
      <c r="AN504" s="75"/>
      <c r="AO504" s="75"/>
      <c r="AP504" s="75"/>
      <c r="AQ504" s="71"/>
      <c r="AR504" s="152"/>
      <c r="AS504" s="152"/>
      <c r="AT504" s="152"/>
      <c r="AU504" s="73"/>
      <c r="AV504" s="73"/>
      <c r="AW504" s="73"/>
      <c r="AX504" s="73"/>
      <c r="BD504" s="24"/>
      <c r="BG504" s="24"/>
      <c r="BJ504" s="24"/>
    </row>
    <row r="505" spans="32:62" ht="15" customHeight="1" x14ac:dyDescent="0.2">
      <c r="AF505" s="151"/>
      <c r="AG505" s="75"/>
      <c r="AH505" s="75"/>
      <c r="AI505" s="152"/>
      <c r="AJ505" s="152"/>
      <c r="AK505" s="75"/>
      <c r="AL505" s="75"/>
      <c r="AM505" s="75"/>
      <c r="AN505" s="75"/>
      <c r="AO505" s="75"/>
      <c r="AP505" s="75"/>
      <c r="AQ505" s="71"/>
      <c r="AR505" s="152"/>
      <c r="AS505" s="152"/>
      <c r="AT505" s="152"/>
      <c r="AU505" s="73"/>
      <c r="AV505" s="73"/>
      <c r="AW505" s="73"/>
      <c r="AX505" s="73"/>
      <c r="BD505" s="24"/>
      <c r="BG505" s="24"/>
      <c r="BJ505" s="24"/>
    </row>
    <row r="506" spans="32:62" ht="15" customHeight="1" x14ac:dyDescent="0.2">
      <c r="AF506" s="151"/>
      <c r="AG506" s="75"/>
      <c r="AH506" s="75"/>
      <c r="AI506" s="152"/>
      <c r="AJ506" s="152"/>
      <c r="AK506" s="75"/>
      <c r="AL506" s="75"/>
      <c r="AM506" s="75"/>
      <c r="AN506" s="75"/>
      <c r="AO506" s="75"/>
      <c r="AP506" s="75"/>
      <c r="AQ506" s="71"/>
      <c r="AR506" s="152"/>
      <c r="AS506" s="152"/>
      <c r="AT506" s="152"/>
      <c r="AU506" s="73"/>
      <c r="AV506" s="73"/>
      <c r="AW506" s="73"/>
      <c r="AX506" s="73"/>
      <c r="BD506" s="24"/>
      <c r="BG506" s="24"/>
      <c r="BJ506" s="24"/>
    </row>
    <row r="507" spans="32:62" ht="15" customHeight="1" x14ac:dyDescent="0.2">
      <c r="AF507" s="151"/>
      <c r="AG507" s="75"/>
      <c r="AH507" s="75"/>
      <c r="AI507" s="152"/>
      <c r="AJ507" s="152"/>
      <c r="AK507" s="75"/>
      <c r="AL507" s="75"/>
      <c r="AM507" s="75"/>
      <c r="AN507" s="75"/>
      <c r="AO507" s="75"/>
      <c r="AP507" s="75"/>
      <c r="AQ507" s="71"/>
      <c r="AR507" s="152"/>
      <c r="AS507" s="152"/>
      <c r="AT507" s="152"/>
      <c r="AU507" s="73"/>
      <c r="AV507" s="73"/>
      <c r="AW507" s="73"/>
      <c r="AX507" s="73"/>
      <c r="BD507" s="24"/>
      <c r="BG507" s="24"/>
      <c r="BJ507" s="24"/>
    </row>
    <row r="508" spans="32:62" ht="15" customHeight="1" x14ac:dyDescent="0.2">
      <c r="AF508" s="151"/>
      <c r="AG508" s="75"/>
      <c r="AH508" s="75"/>
      <c r="AI508" s="152"/>
      <c r="AJ508" s="152"/>
      <c r="AK508" s="75"/>
      <c r="AL508" s="75"/>
      <c r="AM508" s="75"/>
      <c r="AN508" s="152"/>
      <c r="AO508" s="152"/>
      <c r="AP508" s="152"/>
      <c r="AQ508" s="73"/>
      <c r="AR508" s="152"/>
      <c r="AS508" s="152"/>
      <c r="AT508" s="152"/>
      <c r="AU508" s="73"/>
      <c r="AV508" s="73"/>
      <c r="AW508" s="73"/>
      <c r="AX508" s="73"/>
      <c r="BD508" s="24"/>
      <c r="BG508" s="24"/>
      <c r="BJ508" s="24"/>
    </row>
    <row r="509" spans="32:62" ht="15" customHeight="1" x14ac:dyDescent="0.2">
      <c r="AF509" s="151"/>
      <c r="AG509" s="75"/>
      <c r="AH509" s="75"/>
      <c r="AI509" s="152"/>
      <c r="AJ509" s="152"/>
      <c r="AK509" s="75"/>
      <c r="AL509" s="75"/>
      <c r="AM509" s="75"/>
      <c r="AN509" s="152"/>
      <c r="AO509" s="152"/>
      <c r="AP509" s="152"/>
      <c r="AQ509" s="73"/>
      <c r="AR509" s="152"/>
      <c r="AS509" s="152"/>
      <c r="AT509" s="152"/>
      <c r="AU509" s="73"/>
      <c r="AV509" s="73"/>
      <c r="AW509" s="73"/>
      <c r="AX509" s="73"/>
      <c r="BD509" s="24"/>
      <c r="BG509" s="24"/>
      <c r="BJ509" s="24"/>
    </row>
    <row r="510" spans="32:62" ht="15" customHeight="1" x14ac:dyDescent="0.2">
      <c r="AF510" s="151"/>
      <c r="AG510" s="152"/>
      <c r="AH510" s="152"/>
      <c r="AI510" s="152"/>
      <c r="AJ510" s="152"/>
      <c r="AK510" s="75"/>
      <c r="AL510" s="75"/>
      <c r="AM510" s="75"/>
      <c r="AN510" s="152"/>
      <c r="AO510" s="152"/>
      <c r="AP510" s="152"/>
      <c r="AQ510" s="73"/>
      <c r="AR510" s="152"/>
      <c r="AS510" s="152"/>
      <c r="AT510" s="152"/>
      <c r="AU510" s="73"/>
      <c r="AV510" s="73"/>
      <c r="AW510" s="73"/>
      <c r="AX510" s="73"/>
      <c r="BD510" s="24"/>
      <c r="BG510" s="24"/>
      <c r="BJ510" s="24"/>
    </row>
    <row r="511" spans="32:62" ht="15" customHeight="1" x14ac:dyDescent="0.2">
      <c r="AF511" s="151"/>
      <c r="AG511" s="152"/>
      <c r="AH511" s="152"/>
      <c r="AI511" s="152"/>
      <c r="AJ511" s="152"/>
      <c r="AK511" s="75"/>
      <c r="AL511" s="75"/>
      <c r="AM511" s="75"/>
      <c r="AN511" s="152"/>
      <c r="AO511" s="152"/>
      <c r="AP511" s="152"/>
      <c r="AQ511" s="73"/>
      <c r="AR511" s="152"/>
      <c r="AS511" s="152"/>
      <c r="AT511" s="152"/>
      <c r="AU511" s="73"/>
      <c r="AV511" s="73"/>
      <c r="AW511" s="73"/>
      <c r="AX511" s="73"/>
      <c r="BD511" s="24"/>
      <c r="BG511" s="24"/>
      <c r="BJ511" s="24"/>
    </row>
    <row r="512" spans="32:62" ht="15" customHeight="1" x14ac:dyDescent="0.2">
      <c r="AF512" s="151"/>
      <c r="AG512" s="152"/>
      <c r="AH512" s="152"/>
      <c r="AI512" s="152"/>
      <c r="AJ512" s="152"/>
      <c r="AK512" s="75"/>
      <c r="AL512" s="75"/>
      <c r="AM512" s="75"/>
      <c r="AN512" s="152"/>
      <c r="AO512" s="152"/>
      <c r="AP512" s="152"/>
      <c r="AQ512" s="73"/>
      <c r="AR512" s="152"/>
      <c r="AS512" s="152"/>
      <c r="AT512" s="152"/>
      <c r="AU512" s="73"/>
      <c r="AV512" s="73"/>
      <c r="AW512" s="73"/>
      <c r="AX512" s="73"/>
      <c r="BD512" s="24"/>
      <c r="BG512" s="24"/>
      <c r="BJ512" s="24"/>
    </row>
    <row r="513" spans="32:62" ht="15" customHeight="1" x14ac:dyDescent="0.2">
      <c r="AF513" s="151"/>
      <c r="AG513" s="152"/>
      <c r="AH513" s="152"/>
      <c r="AI513" s="152"/>
      <c r="AJ513" s="152"/>
      <c r="AK513" s="75"/>
      <c r="AL513" s="75"/>
      <c r="AM513" s="75"/>
      <c r="AN513" s="152"/>
      <c r="AO513" s="152"/>
      <c r="AP513" s="152"/>
      <c r="AQ513" s="73"/>
      <c r="AR513" s="152"/>
      <c r="AS513" s="152"/>
      <c r="AT513" s="152"/>
      <c r="AU513" s="73"/>
      <c r="AV513" s="73"/>
      <c r="AW513" s="73"/>
      <c r="AX513" s="73"/>
      <c r="BD513" s="24"/>
      <c r="BG513" s="24"/>
      <c r="BJ513" s="24"/>
    </row>
    <row r="514" spans="32:62" ht="15" customHeight="1" x14ac:dyDescent="0.2">
      <c r="AF514" s="151"/>
      <c r="AG514" s="152"/>
      <c r="AH514" s="152"/>
      <c r="AI514" s="152"/>
      <c r="AJ514" s="152"/>
      <c r="AK514" s="75"/>
      <c r="AL514" s="75"/>
      <c r="AM514" s="75"/>
      <c r="AN514" s="152"/>
      <c r="AO514" s="152"/>
      <c r="AP514" s="152"/>
      <c r="AQ514" s="73"/>
      <c r="AR514" s="152"/>
      <c r="AS514" s="152"/>
      <c r="AT514" s="152"/>
      <c r="AU514" s="73"/>
      <c r="AV514" s="73"/>
      <c r="AW514" s="73"/>
      <c r="AX514" s="73"/>
      <c r="BD514" s="24"/>
      <c r="BG514" s="24"/>
      <c r="BJ514" s="24"/>
    </row>
    <row r="515" spans="32:62" ht="15" customHeight="1" x14ac:dyDescent="0.2">
      <c r="AF515" s="151"/>
      <c r="AG515" s="152"/>
      <c r="AH515" s="152"/>
      <c r="AI515" s="152"/>
      <c r="AJ515" s="152"/>
      <c r="AK515" s="75"/>
      <c r="AL515" s="75"/>
      <c r="AM515" s="75"/>
      <c r="AN515" s="152"/>
      <c r="AO515" s="152"/>
      <c r="AP515" s="152"/>
      <c r="AQ515" s="73"/>
      <c r="AR515" s="152"/>
      <c r="AS515" s="152"/>
      <c r="AT515" s="152"/>
      <c r="AU515" s="73"/>
      <c r="AV515" s="73"/>
      <c r="AW515" s="73"/>
      <c r="AX515" s="73"/>
      <c r="BD515" s="24"/>
      <c r="BG515" s="24"/>
      <c r="BJ515" s="24"/>
    </row>
    <row r="516" spans="32:62" ht="15" customHeight="1" x14ac:dyDescent="0.2">
      <c r="AF516" s="151"/>
      <c r="AG516" s="152"/>
      <c r="AH516" s="152"/>
      <c r="AI516" s="152"/>
      <c r="AJ516" s="152"/>
      <c r="AK516" s="75"/>
      <c r="AL516" s="75"/>
      <c r="AM516" s="75"/>
      <c r="AN516" s="152"/>
      <c r="AO516" s="152"/>
      <c r="AP516" s="152"/>
      <c r="AQ516" s="73"/>
      <c r="AR516" s="152"/>
      <c r="AS516" s="152"/>
      <c r="AT516" s="152"/>
      <c r="AU516" s="73"/>
      <c r="AV516" s="73"/>
      <c r="AW516" s="73"/>
      <c r="AX516" s="73"/>
      <c r="BD516" s="24"/>
      <c r="BG516" s="24"/>
      <c r="BJ516" s="24"/>
    </row>
    <row r="517" spans="32:62" ht="15" customHeight="1" x14ac:dyDescent="0.2">
      <c r="AF517" s="151"/>
      <c r="AG517" s="152"/>
      <c r="AH517" s="152"/>
      <c r="AI517" s="152"/>
      <c r="AJ517" s="152"/>
      <c r="AK517" s="75"/>
      <c r="AL517" s="75"/>
      <c r="AM517" s="75"/>
      <c r="AN517" s="152"/>
      <c r="AO517" s="152"/>
      <c r="AP517" s="152"/>
      <c r="AQ517" s="73"/>
      <c r="AR517" s="152"/>
      <c r="AS517" s="152"/>
      <c r="AT517" s="152"/>
      <c r="AU517" s="73"/>
      <c r="AV517" s="73"/>
      <c r="AW517" s="73"/>
      <c r="AX517" s="73"/>
      <c r="BD517" s="24"/>
      <c r="BG517" s="24"/>
      <c r="BJ517" s="24"/>
    </row>
    <row r="518" spans="32:62" ht="15" customHeight="1" x14ac:dyDescent="0.2">
      <c r="AF518" s="151"/>
      <c r="AG518" s="152"/>
      <c r="AH518" s="152"/>
      <c r="AI518" s="152"/>
      <c r="AJ518" s="152"/>
      <c r="AK518" s="75"/>
      <c r="AL518" s="75"/>
      <c r="AM518" s="75"/>
      <c r="AN518" s="152"/>
      <c r="AO518" s="152"/>
      <c r="AP518" s="152"/>
      <c r="AQ518" s="73"/>
      <c r="AR518" s="152"/>
      <c r="AS518" s="152"/>
      <c r="AT518" s="152"/>
      <c r="AU518" s="73"/>
      <c r="AV518" s="73"/>
      <c r="AW518" s="73"/>
      <c r="AX518" s="73"/>
      <c r="BD518" s="24"/>
      <c r="BG518" s="24"/>
      <c r="BJ518" s="24"/>
    </row>
    <row r="519" spans="32:62" ht="15" customHeight="1" x14ac:dyDescent="0.2">
      <c r="AF519" s="151"/>
      <c r="AG519" s="152"/>
      <c r="AH519" s="152"/>
      <c r="AI519" s="152"/>
      <c r="AJ519" s="152"/>
      <c r="AK519" s="75"/>
      <c r="AL519" s="75"/>
      <c r="AM519" s="75"/>
      <c r="AN519" s="152"/>
      <c r="AO519" s="152"/>
      <c r="AP519" s="152"/>
      <c r="AQ519" s="73"/>
      <c r="AR519" s="152"/>
      <c r="AS519" s="152"/>
      <c r="AT519" s="152"/>
      <c r="AU519" s="73"/>
      <c r="AV519" s="73"/>
      <c r="AW519" s="73"/>
      <c r="AX519" s="73"/>
      <c r="BD519" s="24"/>
      <c r="BG519" s="24"/>
      <c r="BJ519" s="24"/>
    </row>
    <row r="520" spans="32:62" ht="15" customHeight="1" x14ac:dyDescent="0.2">
      <c r="AF520" s="151"/>
      <c r="AG520" s="152"/>
      <c r="AH520" s="152"/>
      <c r="AI520" s="152"/>
      <c r="AJ520" s="152"/>
      <c r="AK520" s="75"/>
      <c r="AL520" s="75"/>
      <c r="AM520" s="75"/>
      <c r="AN520" s="152"/>
      <c r="AO520" s="152"/>
      <c r="AP520" s="152"/>
      <c r="AQ520" s="73"/>
      <c r="AR520" s="152"/>
      <c r="AS520" s="152"/>
      <c r="AT520" s="152"/>
      <c r="AU520" s="73"/>
      <c r="AV520" s="73"/>
      <c r="AW520" s="73"/>
      <c r="AX520" s="73"/>
      <c r="BD520" s="24"/>
      <c r="BG520" s="24"/>
      <c r="BJ520" s="24"/>
    </row>
    <row r="521" spans="32:62" ht="15" customHeight="1" x14ac:dyDescent="0.2">
      <c r="AF521" s="151"/>
      <c r="AG521" s="152"/>
      <c r="AH521" s="152"/>
      <c r="AI521" s="152"/>
      <c r="AJ521" s="152"/>
      <c r="AK521" s="75"/>
      <c r="AL521" s="75"/>
      <c r="AM521" s="75"/>
      <c r="AN521" s="152"/>
      <c r="AO521" s="152"/>
      <c r="AP521" s="152"/>
      <c r="AQ521" s="73"/>
      <c r="AR521" s="152"/>
      <c r="AS521" s="152"/>
      <c r="AT521" s="152"/>
      <c r="AU521" s="73"/>
      <c r="AV521" s="73"/>
      <c r="AW521" s="73"/>
      <c r="AX521" s="73"/>
      <c r="BD521" s="24"/>
      <c r="BG521" s="24"/>
      <c r="BJ521" s="24"/>
    </row>
    <row r="522" spans="32:62" ht="15" customHeight="1" x14ac:dyDescent="0.2">
      <c r="AF522" s="151"/>
      <c r="AG522" s="152"/>
      <c r="AH522" s="152"/>
      <c r="AI522" s="152"/>
      <c r="AJ522" s="152"/>
      <c r="AK522" s="75"/>
      <c r="AL522" s="75"/>
      <c r="AM522" s="75"/>
      <c r="AN522" s="152"/>
      <c r="AO522" s="152"/>
      <c r="AP522" s="152"/>
      <c r="AQ522" s="73"/>
      <c r="AR522" s="152"/>
      <c r="AS522" s="152"/>
      <c r="AT522" s="152"/>
      <c r="AU522" s="73"/>
      <c r="AV522" s="73"/>
      <c r="AW522" s="73"/>
      <c r="AX522" s="73"/>
      <c r="BD522" s="24"/>
      <c r="BG522" s="24"/>
      <c r="BJ522" s="24"/>
    </row>
    <row r="523" spans="32:62" ht="15" customHeight="1" x14ac:dyDescent="0.2">
      <c r="AF523" s="151"/>
      <c r="AG523" s="152"/>
      <c r="AH523" s="152"/>
      <c r="AI523" s="152"/>
      <c r="AJ523" s="152"/>
      <c r="AK523" s="75"/>
      <c r="AL523" s="75"/>
      <c r="AM523" s="75"/>
      <c r="AN523" s="152"/>
      <c r="AO523" s="152"/>
      <c r="AP523" s="152"/>
      <c r="AQ523" s="73"/>
      <c r="AR523" s="152"/>
      <c r="AS523" s="152"/>
      <c r="AT523" s="152"/>
      <c r="AU523" s="73"/>
      <c r="AV523" s="73"/>
      <c r="AW523" s="73"/>
      <c r="AX523" s="73"/>
      <c r="BD523" s="24"/>
      <c r="BG523" s="24"/>
      <c r="BJ523" s="24"/>
    </row>
    <row r="524" spans="32:62" ht="15" customHeight="1" x14ac:dyDescent="0.2">
      <c r="AF524" s="151"/>
      <c r="AG524" s="152"/>
      <c r="AH524" s="152"/>
      <c r="AI524" s="152"/>
      <c r="AJ524" s="152"/>
      <c r="AK524" s="75"/>
      <c r="AL524" s="75"/>
      <c r="AM524" s="75"/>
      <c r="AN524" s="152"/>
      <c r="AO524" s="152"/>
      <c r="AP524" s="152"/>
      <c r="AQ524" s="73"/>
      <c r="AR524" s="152"/>
      <c r="AS524" s="152"/>
      <c r="AT524" s="152"/>
      <c r="AU524" s="73"/>
      <c r="AV524" s="73"/>
      <c r="AW524" s="73"/>
      <c r="AX524" s="73"/>
      <c r="BD524" s="24"/>
      <c r="BG524" s="24"/>
      <c r="BJ524" s="24"/>
    </row>
    <row r="525" spans="32:62" ht="15" customHeight="1" x14ac:dyDescent="0.2">
      <c r="AF525" s="151"/>
      <c r="AG525" s="152"/>
      <c r="AH525" s="152"/>
      <c r="AI525" s="152"/>
      <c r="AJ525" s="152"/>
      <c r="AK525" s="75"/>
      <c r="AL525" s="75"/>
      <c r="AM525" s="75"/>
      <c r="AN525" s="152"/>
      <c r="AO525" s="152"/>
      <c r="AP525" s="152"/>
      <c r="AQ525" s="73"/>
      <c r="AR525" s="152"/>
      <c r="AS525" s="152"/>
      <c r="AT525" s="152"/>
      <c r="AU525" s="73"/>
      <c r="AV525" s="73"/>
      <c r="AW525" s="73"/>
      <c r="AX525" s="73"/>
      <c r="BD525" s="24"/>
      <c r="BG525" s="24"/>
      <c r="BJ525" s="24"/>
    </row>
    <row r="526" spans="32:62" ht="15" customHeight="1" x14ac:dyDescent="0.2">
      <c r="AF526" s="151"/>
      <c r="AG526" s="152"/>
      <c r="AH526" s="152"/>
      <c r="AI526" s="152"/>
      <c r="AJ526" s="152"/>
      <c r="AK526" s="75"/>
      <c r="AL526" s="75"/>
      <c r="AM526" s="75"/>
      <c r="AN526" s="152"/>
      <c r="AO526" s="152"/>
      <c r="AP526" s="152"/>
      <c r="AQ526" s="73"/>
      <c r="AR526" s="152"/>
      <c r="AS526" s="152"/>
      <c r="AT526" s="152"/>
      <c r="AU526" s="73"/>
      <c r="AV526" s="73"/>
      <c r="AW526" s="73"/>
      <c r="AX526" s="73"/>
      <c r="BD526" s="24"/>
      <c r="BG526" s="24"/>
      <c r="BJ526" s="24"/>
    </row>
    <row r="527" spans="32:62" ht="15" customHeight="1" x14ac:dyDescent="0.2">
      <c r="AF527" s="151"/>
      <c r="AG527" s="152"/>
      <c r="AH527" s="152"/>
      <c r="AI527" s="152"/>
      <c r="AJ527" s="152"/>
      <c r="AK527" s="75"/>
      <c r="AL527" s="75"/>
      <c r="AM527" s="75"/>
      <c r="AN527" s="152"/>
      <c r="AO527" s="152"/>
      <c r="AP527" s="152"/>
      <c r="AQ527" s="73"/>
      <c r="AR527" s="152"/>
      <c r="AS527" s="152"/>
      <c r="AT527" s="152"/>
      <c r="AU527" s="73"/>
      <c r="AV527" s="73"/>
      <c r="AW527" s="73"/>
      <c r="AX527" s="73"/>
      <c r="BD527" s="24"/>
      <c r="BG527" s="24"/>
      <c r="BJ527" s="24"/>
    </row>
    <row r="528" spans="32:62" ht="15" customHeight="1" x14ac:dyDescent="0.2">
      <c r="AF528" s="151"/>
      <c r="AG528" s="152"/>
      <c r="AH528" s="152"/>
      <c r="AI528" s="152"/>
      <c r="AJ528" s="152"/>
      <c r="AK528" s="75"/>
      <c r="AL528" s="75"/>
      <c r="AM528" s="75"/>
      <c r="AN528" s="152"/>
      <c r="AO528" s="152"/>
      <c r="AP528" s="152"/>
      <c r="AQ528" s="73"/>
      <c r="AR528" s="152"/>
      <c r="AS528" s="152"/>
      <c r="AT528" s="152"/>
      <c r="AU528" s="73"/>
      <c r="AV528" s="73"/>
      <c r="AW528" s="73"/>
      <c r="AX528" s="73"/>
      <c r="BD528" s="24"/>
      <c r="BG528" s="24"/>
      <c r="BJ528" s="24"/>
    </row>
    <row r="529" spans="32:62" ht="15" customHeight="1" x14ac:dyDescent="0.2">
      <c r="AF529" s="151"/>
      <c r="AG529" s="152"/>
      <c r="AH529" s="152"/>
      <c r="AI529" s="152"/>
      <c r="AJ529" s="152"/>
      <c r="AK529" s="75"/>
      <c r="AL529" s="75"/>
      <c r="AM529" s="75"/>
      <c r="AN529" s="152"/>
      <c r="AO529" s="152"/>
      <c r="AP529" s="152"/>
      <c r="AQ529" s="73"/>
      <c r="AR529" s="152"/>
      <c r="AS529" s="152"/>
      <c r="AT529" s="152"/>
      <c r="AU529" s="73"/>
      <c r="AV529" s="73"/>
      <c r="AW529" s="73"/>
      <c r="AX529" s="73"/>
      <c r="BD529" s="24"/>
      <c r="BG529" s="24"/>
      <c r="BJ529" s="24"/>
    </row>
    <row r="530" spans="32:62" ht="15" customHeight="1" x14ac:dyDescent="0.2">
      <c r="AF530" s="151"/>
      <c r="AG530" s="152"/>
      <c r="AH530" s="152"/>
      <c r="AI530" s="152"/>
      <c r="AJ530" s="152"/>
      <c r="AK530" s="75"/>
      <c r="AL530" s="75"/>
      <c r="AM530" s="75"/>
      <c r="AN530" s="152"/>
      <c r="AO530" s="152"/>
      <c r="AP530" s="152"/>
      <c r="AQ530" s="73"/>
      <c r="AR530" s="152"/>
      <c r="AS530" s="152"/>
      <c r="AT530" s="152"/>
      <c r="AU530" s="73"/>
      <c r="AV530" s="73"/>
      <c r="AW530" s="73"/>
      <c r="AX530" s="73"/>
      <c r="BD530" s="24"/>
      <c r="BG530" s="24"/>
      <c r="BJ530" s="24"/>
    </row>
    <row r="531" spans="32:62" ht="15" customHeight="1" x14ac:dyDescent="0.2">
      <c r="AF531" s="151"/>
      <c r="AG531" s="152"/>
      <c r="AH531" s="152"/>
      <c r="AI531" s="152"/>
      <c r="AJ531" s="152"/>
      <c r="AK531" s="75"/>
      <c r="AL531" s="75"/>
      <c r="AM531" s="75"/>
      <c r="AN531" s="152"/>
      <c r="AO531" s="152"/>
      <c r="AP531" s="152"/>
      <c r="AQ531" s="73"/>
      <c r="AR531" s="152"/>
      <c r="AS531" s="152"/>
      <c r="AT531" s="152"/>
      <c r="AU531" s="73"/>
      <c r="AV531" s="73"/>
      <c r="AW531" s="73"/>
      <c r="AX531" s="73"/>
      <c r="BD531" s="24"/>
      <c r="BG531" s="24"/>
      <c r="BJ531" s="24"/>
    </row>
    <row r="532" spans="32:62" ht="15" customHeight="1" x14ac:dyDescent="0.2">
      <c r="AF532" s="151"/>
      <c r="AG532" s="152"/>
      <c r="AH532" s="152"/>
      <c r="AI532" s="152"/>
      <c r="AJ532" s="152"/>
      <c r="AK532" s="75"/>
      <c r="AL532" s="75"/>
      <c r="AM532" s="75"/>
      <c r="AN532" s="152"/>
      <c r="AO532" s="152"/>
      <c r="AP532" s="152"/>
      <c r="AQ532" s="73"/>
      <c r="AR532" s="152"/>
      <c r="AS532" s="152"/>
      <c r="AT532" s="152"/>
      <c r="AU532" s="73"/>
      <c r="AV532" s="73"/>
      <c r="AW532" s="73"/>
      <c r="AX532" s="73"/>
      <c r="BD532" s="24"/>
      <c r="BG532" s="24"/>
      <c r="BJ532" s="24"/>
    </row>
    <row r="533" spans="32:62" ht="15" customHeight="1" x14ac:dyDescent="0.2">
      <c r="AF533" s="151"/>
      <c r="AG533" s="152"/>
      <c r="AH533" s="152"/>
      <c r="AI533" s="152"/>
      <c r="AJ533" s="152"/>
      <c r="AK533" s="75"/>
      <c r="AL533" s="75"/>
      <c r="AM533" s="75"/>
      <c r="AN533" s="152"/>
      <c r="AO533" s="152"/>
      <c r="AP533" s="152"/>
      <c r="AQ533" s="73"/>
      <c r="AR533" s="152"/>
      <c r="AS533" s="152"/>
      <c r="AT533" s="152"/>
      <c r="AU533" s="73"/>
      <c r="AV533" s="73"/>
      <c r="AW533" s="73"/>
      <c r="AX533" s="73"/>
      <c r="BD533" s="24"/>
      <c r="BG533" s="24"/>
      <c r="BJ533" s="24"/>
    </row>
    <row r="534" spans="32:62" ht="15" customHeight="1" x14ac:dyDescent="0.2">
      <c r="AF534" s="151"/>
      <c r="AG534" s="152"/>
      <c r="AH534" s="152"/>
      <c r="AI534" s="152"/>
      <c r="AJ534" s="152"/>
      <c r="AK534" s="75"/>
      <c r="AL534" s="75"/>
      <c r="AM534" s="75"/>
      <c r="AN534" s="152"/>
      <c r="AO534" s="152"/>
      <c r="AP534" s="152"/>
      <c r="AQ534" s="73"/>
      <c r="AR534" s="152"/>
      <c r="AS534" s="152"/>
      <c r="AT534" s="152"/>
      <c r="AU534" s="73"/>
      <c r="AV534" s="73"/>
      <c r="AW534" s="73"/>
      <c r="AX534" s="73"/>
      <c r="BD534" s="24"/>
      <c r="BG534" s="24"/>
      <c r="BJ534" s="24"/>
    </row>
    <row r="535" spans="32:62" ht="15" customHeight="1" x14ac:dyDescent="0.2">
      <c r="AF535" s="151"/>
      <c r="AG535" s="152"/>
      <c r="AH535" s="152"/>
      <c r="AI535" s="152"/>
      <c r="AJ535" s="152"/>
      <c r="AK535" s="75"/>
      <c r="AL535" s="75"/>
      <c r="AM535" s="75"/>
      <c r="AN535" s="152"/>
      <c r="AO535" s="152"/>
      <c r="AP535" s="152"/>
      <c r="AQ535" s="73"/>
      <c r="AR535" s="152"/>
      <c r="AS535" s="152"/>
      <c r="AT535" s="152"/>
      <c r="AU535" s="73"/>
      <c r="AV535" s="73"/>
      <c r="AW535" s="73"/>
      <c r="AX535" s="73"/>
      <c r="BD535" s="24"/>
      <c r="BG535" s="24"/>
      <c r="BJ535" s="24"/>
    </row>
    <row r="536" spans="32:62" ht="15" customHeight="1" x14ac:dyDescent="0.2">
      <c r="AF536" s="151"/>
      <c r="AG536" s="152"/>
      <c r="AH536" s="152"/>
      <c r="AI536" s="152"/>
      <c r="AJ536" s="152"/>
      <c r="AK536" s="75"/>
      <c r="AL536" s="75"/>
      <c r="AM536" s="75"/>
      <c r="AN536" s="152"/>
      <c r="AO536" s="152"/>
      <c r="AP536" s="152"/>
      <c r="AQ536" s="73"/>
      <c r="AR536" s="152"/>
      <c r="AS536" s="152"/>
      <c r="AT536" s="152"/>
      <c r="AU536" s="73"/>
      <c r="AV536" s="73"/>
      <c r="AW536" s="73"/>
      <c r="AX536" s="73"/>
      <c r="BD536" s="24"/>
      <c r="BG536" s="24"/>
      <c r="BJ536" s="24"/>
    </row>
    <row r="537" spans="32:62" ht="15" customHeight="1" x14ac:dyDescent="0.2">
      <c r="AF537" s="151"/>
      <c r="AG537" s="152"/>
      <c r="AH537" s="152"/>
      <c r="AI537" s="152"/>
      <c r="AJ537" s="152"/>
      <c r="AK537" s="75"/>
      <c r="AL537" s="75"/>
      <c r="AM537" s="75"/>
      <c r="AN537" s="152"/>
      <c r="AO537" s="152"/>
      <c r="AP537" s="152"/>
      <c r="AQ537" s="73"/>
      <c r="AR537" s="152"/>
      <c r="AS537" s="152"/>
      <c r="AT537" s="152"/>
      <c r="AU537" s="73"/>
      <c r="AV537" s="73"/>
      <c r="AW537" s="73"/>
      <c r="AX537" s="73"/>
      <c r="BD537" s="24"/>
      <c r="BG537" s="24"/>
      <c r="BJ537" s="24"/>
    </row>
    <row r="538" spans="32:62" ht="15" customHeight="1" x14ac:dyDescent="0.2">
      <c r="AF538" s="151"/>
      <c r="AG538" s="152"/>
      <c r="AH538" s="152"/>
      <c r="AI538" s="152"/>
      <c r="AJ538" s="152"/>
      <c r="AK538" s="75"/>
      <c r="AL538" s="75"/>
      <c r="AM538" s="75"/>
      <c r="AN538" s="152"/>
      <c r="AO538" s="152"/>
      <c r="AP538" s="152"/>
      <c r="AQ538" s="73"/>
      <c r="AR538" s="152"/>
      <c r="AS538" s="152"/>
      <c r="AT538" s="152"/>
      <c r="AU538" s="73"/>
      <c r="AV538" s="73"/>
      <c r="AW538" s="73"/>
      <c r="AX538" s="73"/>
      <c r="BD538" s="24"/>
      <c r="BG538" s="24"/>
      <c r="BJ538" s="24"/>
    </row>
    <row r="539" spans="32:62" ht="15" customHeight="1" x14ac:dyDescent="0.2">
      <c r="AF539" s="151"/>
      <c r="AG539" s="152"/>
      <c r="AH539" s="152"/>
      <c r="AI539" s="152"/>
      <c r="AJ539" s="152"/>
      <c r="AK539" s="75"/>
      <c r="AL539" s="75"/>
      <c r="AM539" s="75"/>
      <c r="AN539" s="152"/>
      <c r="AO539" s="152"/>
      <c r="AP539" s="152"/>
      <c r="AQ539" s="73"/>
      <c r="AR539" s="152"/>
      <c r="AS539" s="152"/>
      <c r="AT539" s="152"/>
      <c r="AU539" s="73"/>
      <c r="AV539" s="73"/>
      <c r="AW539" s="73"/>
      <c r="AX539" s="73"/>
      <c r="BD539" s="24"/>
      <c r="BG539" s="24"/>
      <c r="BJ539" s="24"/>
    </row>
    <row r="540" spans="32:62" ht="15" customHeight="1" x14ac:dyDescent="0.2">
      <c r="AF540" s="151"/>
      <c r="AG540" s="152"/>
      <c r="AH540" s="152"/>
      <c r="AI540" s="152"/>
      <c r="AJ540" s="152"/>
      <c r="AK540" s="75"/>
      <c r="AL540" s="75"/>
      <c r="AM540" s="75"/>
      <c r="AN540" s="152"/>
      <c r="AO540" s="152"/>
      <c r="AP540" s="152"/>
      <c r="AQ540" s="73"/>
      <c r="AR540" s="152"/>
      <c r="AS540" s="152"/>
      <c r="AT540" s="152"/>
      <c r="AU540" s="73"/>
      <c r="AV540" s="73"/>
      <c r="AW540" s="73"/>
      <c r="AX540" s="73"/>
      <c r="BD540" s="24"/>
      <c r="BG540" s="24"/>
      <c r="BJ540" s="24"/>
    </row>
    <row r="541" spans="32:62" ht="15" customHeight="1" x14ac:dyDescent="0.2">
      <c r="AF541" s="151"/>
      <c r="AG541" s="152"/>
      <c r="AH541" s="152"/>
      <c r="AI541" s="152"/>
      <c r="AJ541" s="152"/>
      <c r="AK541" s="75"/>
      <c r="AL541" s="75"/>
      <c r="AM541" s="75"/>
      <c r="AN541" s="152"/>
      <c r="AO541" s="152"/>
      <c r="AP541" s="152"/>
      <c r="AQ541" s="73"/>
      <c r="AR541" s="152"/>
      <c r="AS541" s="152"/>
      <c r="AT541" s="152"/>
      <c r="AU541" s="73"/>
      <c r="AV541" s="73"/>
      <c r="AW541" s="73"/>
      <c r="AX541" s="73"/>
      <c r="BD541" s="24"/>
      <c r="BG541" s="24"/>
      <c r="BJ541" s="24"/>
    </row>
    <row r="542" spans="32:62" ht="15" customHeight="1" x14ac:dyDescent="0.2">
      <c r="AF542" s="151"/>
      <c r="AG542" s="152"/>
      <c r="AH542" s="152"/>
      <c r="AI542" s="152"/>
      <c r="AJ542" s="152"/>
      <c r="AK542" s="75"/>
      <c r="AL542" s="75"/>
      <c r="AM542" s="75"/>
      <c r="AN542" s="152"/>
      <c r="AO542" s="152"/>
      <c r="AP542" s="152"/>
      <c r="AQ542" s="73"/>
      <c r="AR542" s="152"/>
      <c r="AS542" s="152"/>
      <c r="AT542" s="152"/>
      <c r="AU542" s="73"/>
      <c r="AV542" s="73"/>
      <c r="AW542" s="73"/>
      <c r="AX542" s="73"/>
      <c r="BD542" s="24"/>
      <c r="BG542" s="24"/>
      <c r="BJ542" s="24"/>
    </row>
    <row r="543" spans="32:62" ht="15" customHeight="1" x14ac:dyDescent="0.2">
      <c r="AF543" s="151"/>
      <c r="AG543" s="152"/>
      <c r="AH543" s="152"/>
      <c r="AI543" s="152"/>
      <c r="AJ543" s="152"/>
      <c r="AK543" s="75"/>
      <c r="AL543" s="75"/>
      <c r="AM543" s="75"/>
      <c r="AN543" s="152"/>
      <c r="AO543" s="152"/>
      <c r="AP543" s="152"/>
      <c r="AQ543" s="73"/>
      <c r="AR543" s="152"/>
      <c r="AS543" s="152"/>
      <c r="AT543" s="152"/>
      <c r="AU543" s="73"/>
      <c r="AV543" s="73"/>
      <c r="AW543" s="73"/>
      <c r="AX543" s="73"/>
      <c r="BD543" s="24"/>
      <c r="BG543" s="24"/>
      <c r="BJ543" s="24"/>
    </row>
    <row r="544" spans="32:62" ht="15" customHeight="1" x14ac:dyDescent="0.2">
      <c r="AF544" s="151"/>
      <c r="AG544" s="152"/>
      <c r="AH544" s="152"/>
      <c r="AI544" s="152"/>
      <c r="AJ544" s="152"/>
      <c r="AK544" s="75"/>
      <c r="AL544" s="75"/>
      <c r="AM544" s="75"/>
      <c r="AN544" s="152"/>
      <c r="AO544" s="152"/>
      <c r="AP544" s="152"/>
      <c r="AQ544" s="73"/>
      <c r="AR544" s="152"/>
      <c r="AS544" s="152"/>
      <c r="AT544" s="152"/>
      <c r="AU544" s="73"/>
      <c r="AV544" s="73"/>
      <c r="AW544" s="73"/>
      <c r="AX544" s="73"/>
      <c r="BD544" s="24"/>
      <c r="BG544" s="24"/>
      <c r="BJ544" s="24"/>
    </row>
    <row r="545" spans="32:62" ht="15" customHeight="1" x14ac:dyDescent="0.2">
      <c r="AF545" s="151"/>
      <c r="AG545" s="152"/>
      <c r="AH545" s="152"/>
      <c r="AI545" s="152"/>
      <c r="AJ545" s="152"/>
      <c r="AK545" s="75"/>
      <c r="AL545" s="75"/>
      <c r="AM545" s="75"/>
      <c r="AN545" s="152"/>
      <c r="AO545" s="152"/>
      <c r="AP545" s="152"/>
      <c r="AQ545" s="73"/>
      <c r="AR545" s="152"/>
      <c r="AS545" s="152"/>
      <c r="AT545" s="152"/>
      <c r="AU545" s="73"/>
      <c r="AV545" s="73"/>
      <c r="AW545" s="73"/>
      <c r="AX545" s="73"/>
      <c r="BD545" s="24"/>
      <c r="BG545" s="24"/>
      <c r="BJ545" s="24"/>
    </row>
    <row r="546" spans="32:62" ht="15" customHeight="1" x14ac:dyDescent="0.2">
      <c r="AF546" s="151"/>
      <c r="AG546" s="152"/>
      <c r="AH546" s="152"/>
      <c r="AI546" s="152"/>
      <c r="AJ546" s="152"/>
      <c r="AK546" s="75"/>
      <c r="AL546" s="75"/>
      <c r="AM546" s="75"/>
      <c r="AN546" s="152"/>
      <c r="AO546" s="152"/>
      <c r="AP546" s="152"/>
      <c r="AQ546" s="73"/>
      <c r="AR546" s="152"/>
      <c r="AS546" s="152"/>
      <c r="AT546" s="152"/>
      <c r="AU546" s="73"/>
      <c r="AV546" s="73"/>
      <c r="AW546" s="73"/>
      <c r="AX546" s="73"/>
      <c r="BD546" s="24"/>
      <c r="BG546" s="24"/>
      <c r="BJ546" s="24"/>
    </row>
    <row r="547" spans="32:62" ht="15" customHeight="1" x14ac:dyDescent="0.2">
      <c r="AF547" s="151"/>
      <c r="AG547" s="152"/>
      <c r="AH547" s="152"/>
      <c r="AI547" s="152"/>
      <c r="AJ547" s="152"/>
      <c r="AK547" s="75"/>
      <c r="AL547" s="75"/>
      <c r="AM547" s="75"/>
      <c r="AN547" s="152"/>
      <c r="AO547" s="152"/>
      <c r="AP547" s="152"/>
      <c r="AQ547" s="73"/>
      <c r="AR547" s="152"/>
      <c r="AS547" s="152"/>
      <c r="AT547" s="152"/>
      <c r="AU547" s="73"/>
      <c r="AV547" s="73"/>
      <c r="AW547" s="73"/>
      <c r="AX547" s="73"/>
      <c r="BD547" s="24"/>
      <c r="BG547" s="24"/>
      <c r="BJ547" s="24"/>
    </row>
    <row r="548" spans="32:62" ht="15" customHeight="1" x14ac:dyDescent="0.2">
      <c r="AF548" s="151"/>
      <c r="AG548" s="152"/>
      <c r="AH548" s="152"/>
      <c r="AI548" s="152"/>
      <c r="AJ548" s="152"/>
      <c r="AK548" s="75"/>
      <c r="AL548" s="75"/>
      <c r="AM548" s="75"/>
      <c r="AN548" s="152"/>
      <c r="AO548" s="152"/>
      <c r="AP548" s="152"/>
      <c r="AQ548" s="73"/>
      <c r="AR548" s="152"/>
      <c r="AS548" s="152"/>
      <c r="AT548" s="152"/>
      <c r="AU548" s="73"/>
      <c r="AV548" s="73"/>
      <c r="AW548" s="73"/>
      <c r="AX548" s="73"/>
      <c r="BD548" s="24"/>
      <c r="BG548" s="24"/>
      <c r="BJ548" s="24"/>
    </row>
    <row r="549" spans="32:62" ht="15" customHeight="1" x14ac:dyDescent="0.2">
      <c r="AF549" s="151"/>
      <c r="AG549" s="152"/>
      <c r="AH549" s="152"/>
      <c r="AI549" s="152"/>
      <c r="AJ549" s="152"/>
      <c r="AK549" s="75"/>
      <c r="AL549" s="75"/>
      <c r="AM549" s="75"/>
      <c r="AN549" s="152"/>
      <c r="AO549" s="152"/>
      <c r="AP549" s="152"/>
      <c r="AQ549" s="73"/>
      <c r="AR549" s="152"/>
      <c r="AS549" s="152"/>
      <c r="AT549" s="152"/>
      <c r="AU549" s="73"/>
      <c r="AV549" s="73"/>
      <c r="AW549" s="73"/>
      <c r="AX549" s="73"/>
      <c r="BD549" s="24"/>
      <c r="BG549" s="24"/>
      <c r="BJ549" s="24"/>
    </row>
    <row r="550" spans="32:62" ht="15" customHeight="1" x14ac:dyDescent="0.2">
      <c r="AF550" s="151"/>
      <c r="AG550" s="152"/>
      <c r="AH550" s="152"/>
      <c r="AI550" s="152"/>
      <c r="AJ550" s="152"/>
      <c r="AK550" s="75"/>
      <c r="AL550" s="75"/>
      <c r="AM550" s="75"/>
      <c r="AN550" s="152"/>
      <c r="AO550" s="152"/>
      <c r="AP550" s="152"/>
      <c r="AQ550" s="73"/>
      <c r="AR550" s="152"/>
      <c r="AS550" s="152"/>
      <c r="AT550" s="152"/>
      <c r="AU550" s="73"/>
      <c r="AV550" s="73"/>
      <c r="AW550" s="73"/>
      <c r="AX550" s="73"/>
      <c r="BD550" s="24"/>
      <c r="BG550" s="24"/>
      <c r="BJ550" s="24"/>
    </row>
    <row r="551" spans="32:62" ht="15" customHeight="1" x14ac:dyDescent="0.2">
      <c r="AF551" s="151"/>
      <c r="AG551" s="152"/>
      <c r="AH551" s="152"/>
      <c r="AI551" s="152"/>
      <c r="AJ551" s="152"/>
      <c r="AK551" s="75"/>
      <c r="AL551" s="75"/>
      <c r="AM551" s="75"/>
      <c r="AN551" s="152"/>
      <c r="AO551" s="152"/>
      <c r="AP551" s="152"/>
      <c r="AQ551" s="73"/>
      <c r="AR551" s="152"/>
      <c r="AS551" s="152"/>
      <c r="AT551" s="152"/>
      <c r="AU551" s="73"/>
      <c r="AV551" s="73"/>
      <c r="AW551" s="73"/>
      <c r="AX551" s="73"/>
      <c r="BD551" s="24"/>
      <c r="BG551" s="24"/>
      <c r="BJ551" s="24"/>
    </row>
    <row r="552" spans="32:62" ht="15" customHeight="1" x14ac:dyDescent="0.2">
      <c r="AF552" s="151"/>
      <c r="AG552" s="152"/>
      <c r="AH552" s="152"/>
      <c r="AI552" s="152"/>
      <c r="AJ552" s="152"/>
      <c r="AK552" s="75"/>
      <c r="AL552" s="75"/>
      <c r="AM552" s="75"/>
      <c r="AN552" s="152"/>
      <c r="AO552" s="152"/>
      <c r="AP552" s="152"/>
      <c r="AQ552" s="73"/>
      <c r="AR552" s="152"/>
      <c r="AS552" s="152"/>
      <c r="AT552" s="152"/>
      <c r="AU552" s="73"/>
      <c r="AV552" s="73"/>
      <c r="AW552" s="73"/>
      <c r="AX552" s="73"/>
      <c r="BD552" s="24"/>
      <c r="BG552" s="24"/>
      <c r="BJ552" s="24"/>
    </row>
    <row r="553" spans="32:62" ht="15" customHeight="1" x14ac:dyDescent="0.2">
      <c r="AF553" s="151"/>
      <c r="AG553" s="152"/>
      <c r="AH553" s="152"/>
      <c r="AI553" s="152"/>
      <c r="AJ553" s="152"/>
      <c r="AK553" s="75"/>
      <c r="AL553" s="75"/>
      <c r="AM553" s="75"/>
      <c r="AN553" s="152"/>
      <c r="AO553" s="152"/>
      <c r="AP553" s="152"/>
      <c r="AQ553" s="73"/>
      <c r="AR553" s="152"/>
      <c r="AS553" s="152"/>
      <c r="AT553" s="152"/>
      <c r="AU553" s="73"/>
      <c r="AV553" s="73"/>
      <c r="AW553" s="73"/>
      <c r="AX553" s="73"/>
      <c r="BD553" s="24"/>
      <c r="BG553" s="24"/>
      <c r="BJ553" s="24"/>
    </row>
    <row r="554" spans="32:62" ht="15" customHeight="1" x14ac:dyDescent="0.2">
      <c r="AF554" s="151"/>
      <c r="AG554" s="152"/>
      <c r="AH554" s="152"/>
      <c r="AI554" s="152"/>
      <c r="AJ554" s="152"/>
      <c r="AK554" s="75"/>
      <c r="AL554" s="75"/>
      <c r="AM554" s="75"/>
      <c r="AN554" s="152"/>
      <c r="AO554" s="152"/>
      <c r="AP554" s="152"/>
      <c r="AQ554" s="73"/>
      <c r="AR554" s="152"/>
      <c r="AS554" s="152"/>
      <c r="AT554" s="152"/>
      <c r="AU554" s="73"/>
      <c r="AV554" s="73"/>
      <c r="AW554" s="73"/>
      <c r="AX554" s="73"/>
      <c r="BD554" s="24"/>
      <c r="BG554" s="24"/>
      <c r="BJ554" s="24"/>
    </row>
    <row r="555" spans="32:62" ht="15" customHeight="1" x14ac:dyDescent="0.2">
      <c r="AF555" s="151"/>
      <c r="AG555" s="152"/>
      <c r="AH555" s="152"/>
      <c r="AI555" s="152"/>
      <c r="AJ555" s="152"/>
      <c r="AK555" s="75"/>
      <c r="AL555" s="75"/>
      <c r="AM555" s="75"/>
      <c r="AN555" s="152"/>
      <c r="AO555" s="152"/>
      <c r="AP555" s="152"/>
      <c r="AQ555" s="73"/>
      <c r="AR555" s="152"/>
      <c r="AS555" s="152"/>
      <c r="AT555" s="152"/>
      <c r="AU555" s="73"/>
      <c r="AV555" s="73"/>
      <c r="AW555" s="73"/>
      <c r="AX555" s="73"/>
      <c r="BD555" s="24"/>
      <c r="BG555" s="24"/>
      <c r="BJ555" s="24"/>
    </row>
    <row r="556" spans="32:62" ht="15" customHeight="1" x14ac:dyDescent="0.2">
      <c r="AF556" s="151"/>
      <c r="AG556" s="152"/>
      <c r="AH556" s="152"/>
      <c r="AI556" s="152"/>
      <c r="AJ556" s="152"/>
      <c r="AK556" s="75"/>
      <c r="AL556" s="75"/>
      <c r="AM556" s="75"/>
      <c r="AN556" s="152"/>
      <c r="AO556" s="152"/>
      <c r="AP556" s="152"/>
      <c r="AQ556" s="73"/>
      <c r="AR556" s="152"/>
      <c r="AS556" s="152"/>
      <c r="AT556" s="152"/>
      <c r="AU556" s="73"/>
      <c r="AV556" s="73"/>
      <c r="AW556" s="73"/>
      <c r="AX556" s="73"/>
      <c r="BD556" s="24"/>
      <c r="BG556" s="24"/>
      <c r="BJ556" s="24"/>
    </row>
    <row r="557" spans="32:62" ht="15" customHeight="1" x14ac:dyDescent="0.2">
      <c r="AF557" s="151"/>
      <c r="AG557" s="152"/>
      <c r="AH557" s="152"/>
      <c r="AI557" s="152"/>
      <c r="AJ557" s="152"/>
      <c r="AK557" s="75"/>
      <c r="AL557" s="75"/>
      <c r="AM557" s="75"/>
      <c r="AN557" s="152"/>
      <c r="AO557" s="152"/>
      <c r="AP557" s="152"/>
      <c r="AQ557" s="73"/>
      <c r="AR557" s="152"/>
      <c r="AS557" s="152"/>
      <c r="AT557" s="152"/>
      <c r="AU557" s="73"/>
      <c r="AV557" s="73"/>
      <c r="AW557" s="73"/>
      <c r="AX557" s="73"/>
      <c r="BD557" s="24"/>
      <c r="BG557" s="24"/>
      <c r="BJ557" s="24"/>
    </row>
    <row r="558" spans="32:62" ht="15" customHeight="1" x14ac:dyDescent="0.2">
      <c r="AF558" s="151"/>
      <c r="AG558" s="152"/>
      <c r="AH558" s="152"/>
      <c r="AI558" s="152"/>
      <c r="AJ558" s="152"/>
      <c r="AK558" s="75"/>
      <c r="AL558" s="75"/>
      <c r="AM558" s="75"/>
      <c r="AN558" s="152"/>
      <c r="AO558" s="152"/>
      <c r="AP558" s="152"/>
      <c r="AQ558" s="73"/>
      <c r="AR558" s="152"/>
      <c r="AS558" s="152"/>
      <c r="AT558" s="152"/>
      <c r="AU558" s="73"/>
      <c r="AV558" s="73"/>
      <c r="AW558" s="73"/>
      <c r="AX558" s="73"/>
      <c r="BD558" s="24"/>
      <c r="BG558" s="24"/>
      <c r="BJ558" s="24"/>
    </row>
    <row r="559" spans="32:62" ht="15" customHeight="1" x14ac:dyDescent="0.2">
      <c r="AF559" s="151"/>
      <c r="AG559" s="152"/>
      <c r="AH559" s="152"/>
      <c r="AI559" s="152"/>
      <c r="AJ559" s="152"/>
      <c r="AK559" s="75"/>
      <c r="AL559" s="75"/>
      <c r="AM559" s="75"/>
      <c r="AN559" s="152"/>
      <c r="AO559" s="152"/>
      <c r="AP559" s="152"/>
      <c r="AQ559" s="73"/>
      <c r="AR559" s="152"/>
      <c r="AS559" s="152"/>
      <c r="AT559" s="152"/>
      <c r="AU559" s="73"/>
      <c r="AV559" s="73"/>
      <c r="AW559" s="73"/>
      <c r="AX559" s="73"/>
      <c r="BD559" s="24"/>
      <c r="BG559" s="24"/>
      <c r="BJ559" s="24"/>
    </row>
    <row r="560" spans="32:62" ht="15" customHeight="1" x14ac:dyDescent="0.2">
      <c r="AF560" s="151"/>
      <c r="AG560" s="152"/>
      <c r="AH560" s="152"/>
      <c r="AI560" s="152"/>
      <c r="AJ560" s="152"/>
      <c r="AK560" s="75"/>
      <c r="AL560" s="75"/>
      <c r="AM560" s="75"/>
      <c r="AN560" s="152"/>
      <c r="AO560" s="152"/>
      <c r="AP560" s="152"/>
      <c r="AQ560" s="73"/>
      <c r="AR560" s="152"/>
      <c r="AS560" s="152"/>
      <c r="AT560" s="152"/>
      <c r="AU560" s="73"/>
      <c r="AV560" s="73"/>
      <c r="AW560" s="73"/>
      <c r="AX560" s="73"/>
      <c r="BD560" s="24"/>
      <c r="BG560" s="24"/>
      <c r="BJ560" s="24"/>
    </row>
    <row r="561" spans="32:62" ht="15" customHeight="1" x14ac:dyDescent="0.2">
      <c r="AF561" s="151"/>
      <c r="AG561" s="152"/>
      <c r="AH561" s="152"/>
      <c r="AI561" s="152"/>
      <c r="AJ561" s="152"/>
      <c r="AK561" s="75"/>
      <c r="AL561" s="75"/>
      <c r="AM561" s="75"/>
      <c r="AN561" s="152"/>
      <c r="AO561" s="152"/>
      <c r="AP561" s="152"/>
      <c r="AQ561" s="73"/>
      <c r="AR561" s="152"/>
      <c r="AS561" s="152"/>
      <c r="AT561" s="152"/>
      <c r="AU561" s="73"/>
      <c r="AV561" s="73"/>
      <c r="AW561" s="73"/>
      <c r="AX561" s="73"/>
      <c r="BD561" s="24"/>
      <c r="BG561" s="24"/>
      <c r="BJ561" s="24"/>
    </row>
    <row r="562" spans="32:62" ht="15" customHeight="1" x14ac:dyDescent="0.2">
      <c r="AF562" s="151"/>
      <c r="AG562" s="152"/>
      <c r="AH562" s="152"/>
      <c r="AI562" s="152"/>
      <c r="AJ562" s="152"/>
      <c r="AK562" s="75"/>
      <c r="AL562" s="75"/>
      <c r="AM562" s="75"/>
      <c r="AN562" s="152"/>
      <c r="AO562" s="152"/>
      <c r="AP562" s="152"/>
      <c r="AQ562" s="73"/>
      <c r="AR562" s="152"/>
      <c r="AS562" s="152"/>
      <c r="AT562" s="152"/>
      <c r="AU562" s="73"/>
      <c r="AV562" s="73"/>
      <c r="AW562" s="73"/>
      <c r="AX562" s="73"/>
      <c r="BD562" s="24"/>
      <c r="BG562" s="24"/>
      <c r="BJ562" s="24"/>
    </row>
    <row r="563" spans="32:62" ht="15" customHeight="1" x14ac:dyDescent="0.2">
      <c r="AF563" s="151"/>
      <c r="AG563" s="152"/>
      <c r="AH563" s="152"/>
      <c r="AI563" s="152"/>
      <c r="AJ563" s="152"/>
      <c r="AK563" s="75"/>
      <c r="AL563" s="75"/>
      <c r="AM563" s="75"/>
      <c r="AN563" s="152"/>
      <c r="AO563" s="152"/>
      <c r="AP563" s="152"/>
      <c r="AQ563" s="73"/>
      <c r="AR563" s="152"/>
      <c r="AS563" s="152"/>
      <c r="AT563" s="152"/>
      <c r="AU563" s="73"/>
      <c r="AV563" s="73"/>
      <c r="AW563" s="73"/>
      <c r="AX563" s="73"/>
      <c r="BD563" s="24"/>
      <c r="BG563" s="24"/>
      <c r="BJ563" s="24"/>
    </row>
    <row r="564" spans="32:62" ht="15" customHeight="1" x14ac:dyDescent="0.2">
      <c r="AF564" s="151"/>
      <c r="AG564" s="152"/>
      <c r="AH564" s="152"/>
      <c r="AI564" s="152"/>
      <c r="AJ564" s="152"/>
      <c r="AK564" s="75"/>
      <c r="AL564" s="75"/>
      <c r="AM564" s="75"/>
      <c r="AN564" s="152"/>
      <c r="AO564" s="152"/>
      <c r="AP564" s="152"/>
      <c r="AQ564" s="73"/>
      <c r="AR564" s="152"/>
      <c r="AS564" s="152"/>
      <c r="AT564" s="152"/>
      <c r="AU564" s="73"/>
      <c r="AV564" s="73"/>
      <c r="AW564" s="73"/>
      <c r="AX564" s="73"/>
      <c r="BD564" s="24"/>
      <c r="BG564" s="24"/>
      <c r="BJ564" s="24"/>
    </row>
    <row r="565" spans="32:62" ht="15" customHeight="1" x14ac:dyDescent="0.2">
      <c r="AF565" s="151"/>
      <c r="AG565" s="152"/>
      <c r="AH565" s="152"/>
      <c r="AI565" s="152"/>
      <c r="AJ565" s="152"/>
      <c r="AK565" s="75"/>
      <c r="AL565" s="75"/>
      <c r="AM565" s="75"/>
      <c r="AN565" s="152"/>
      <c r="AO565" s="152"/>
      <c r="AP565" s="152"/>
      <c r="AQ565" s="73"/>
      <c r="AR565" s="152"/>
      <c r="AS565" s="152"/>
      <c r="AT565" s="152"/>
      <c r="AU565" s="73"/>
      <c r="AV565" s="73"/>
      <c r="AW565" s="73"/>
      <c r="AX565" s="73"/>
      <c r="BD565" s="24"/>
      <c r="BG565" s="24"/>
      <c r="BJ565" s="24"/>
    </row>
    <row r="566" spans="32:62" ht="15" customHeight="1" x14ac:dyDescent="0.2">
      <c r="AF566" s="151"/>
      <c r="AG566" s="152"/>
      <c r="AH566" s="152"/>
      <c r="AI566" s="152"/>
      <c r="AJ566" s="152"/>
      <c r="AK566" s="75"/>
      <c r="AL566" s="75"/>
      <c r="AM566" s="75"/>
      <c r="AN566" s="152"/>
      <c r="AO566" s="152"/>
      <c r="AP566" s="152"/>
      <c r="AQ566" s="73"/>
      <c r="AR566" s="152"/>
      <c r="AS566" s="152"/>
      <c r="AT566" s="152"/>
      <c r="AU566" s="73"/>
      <c r="AV566" s="73"/>
      <c r="AW566" s="73"/>
      <c r="AX566" s="73"/>
      <c r="BD566" s="24"/>
      <c r="BG566" s="24"/>
      <c r="BJ566" s="24"/>
    </row>
    <row r="567" spans="32:62" ht="15" customHeight="1" x14ac:dyDescent="0.2">
      <c r="AF567" s="151"/>
      <c r="AG567" s="152"/>
      <c r="AH567" s="152"/>
      <c r="AI567" s="152"/>
      <c r="AJ567" s="152"/>
      <c r="AK567" s="75"/>
      <c r="AL567" s="75"/>
      <c r="AM567" s="75"/>
      <c r="AN567" s="152"/>
      <c r="AO567" s="152"/>
      <c r="AP567" s="152"/>
      <c r="AQ567" s="73"/>
      <c r="AR567" s="152"/>
      <c r="AS567" s="152"/>
      <c r="AT567" s="152"/>
      <c r="AU567" s="73"/>
      <c r="AV567" s="73"/>
      <c r="AW567" s="73"/>
      <c r="AX567" s="73"/>
      <c r="BD567" s="24"/>
      <c r="BG567" s="24"/>
      <c r="BJ567" s="24"/>
    </row>
    <row r="568" spans="32:62" ht="15" customHeight="1" x14ac:dyDescent="0.2">
      <c r="AF568" s="151"/>
      <c r="AG568" s="152"/>
      <c r="AH568" s="152"/>
      <c r="AI568" s="152"/>
      <c r="AJ568" s="152"/>
      <c r="AK568" s="75"/>
      <c r="AL568" s="75"/>
      <c r="AM568" s="75"/>
      <c r="AN568" s="152"/>
      <c r="AO568" s="152"/>
      <c r="AP568" s="152"/>
      <c r="AQ568" s="73"/>
      <c r="AR568" s="152"/>
      <c r="AS568" s="152"/>
      <c r="AT568" s="152"/>
      <c r="AU568" s="73"/>
      <c r="AV568" s="73"/>
      <c r="AW568" s="73"/>
      <c r="AX568" s="73"/>
      <c r="BD568" s="24"/>
      <c r="BG568" s="24"/>
      <c r="BJ568" s="24"/>
    </row>
    <row r="569" spans="32:62" ht="15" customHeight="1" x14ac:dyDescent="0.2">
      <c r="AF569" s="151"/>
      <c r="AG569" s="152"/>
      <c r="AH569" s="152"/>
      <c r="AI569" s="152"/>
      <c r="AJ569" s="152"/>
      <c r="AK569" s="75"/>
      <c r="AL569" s="75"/>
      <c r="AM569" s="75"/>
      <c r="AN569" s="152"/>
      <c r="AO569" s="152"/>
      <c r="AP569" s="152"/>
      <c r="AQ569" s="73"/>
      <c r="AR569" s="152"/>
      <c r="AS569" s="152"/>
      <c r="AT569" s="152"/>
      <c r="AU569" s="73"/>
      <c r="AV569" s="73"/>
      <c r="AW569" s="73"/>
      <c r="AX569" s="73"/>
      <c r="BD569" s="24"/>
      <c r="BG569" s="24"/>
      <c r="BJ569" s="24"/>
    </row>
    <row r="570" spans="32:62" ht="15" customHeight="1" x14ac:dyDescent="0.2">
      <c r="AF570" s="151"/>
      <c r="AG570" s="152"/>
      <c r="AH570" s="152"/>
      <c r="AI570" s="152"/>
      <c r="AJ570" s="152"/>
      <c r="AK570" s="75"/>
      <c r="AL570" s="75"/>
      <c r="AM570" s="75"/>
      <c r="AN570" s="152"/>
      <c r="AO570" s="152"/>
      <c r="AP570" s="152"/>
      <c r="AQ570" s="73"/>
      <c r="AR570" s="152"/>
      <c r="AS570" s="152"/>
      <c r="AT570" s="152"/>
      <c r="AU570" s="73"/>
      <c r="AV570" s="73"/>
      <c r="AW570" s="73"/>
      <c r="AX570" s="73"/>
      <c r="BD570" s="24"/>
      <c r="BG570" s="24"/>
      <c r="BJ570" s="24"/>
    </row>
    <row r="571" spans="32:62" ht="15" customHeight="1" x14ac:dyDescent="0.2">
      <c r="AF571" s="151"/>
      <c r="AG571" s="152"/>
      <c r="AH571" s="152"/>
      <c r="AI571" s="152"/>
      <c r="AJ571" s="152"/>
      <c r="AK571" s="75"/>
      <c r="AL571" s="75"/>
      <c r="AM571" s="75"/>
      <c r="AN571" s="152"/>
      <c r="AO571" s="152"/>
      <c r="AP571" s="152"/>
      <c r="AQ571" s="73"/>
      <c r="AR571" s="152"/>
      <c r="AS571" s="152"/>
      <c r="AT571" s="152"/>
      <c r="AU571" s="73"/>
      <c r="AV571" s="73"/>
      <c r="AW571" s="73"/>
      <c r="AX571" s="73"/>
      <c r="BD571" s="24"/>
      <c r="BG571" s="24"/>
      <c r="BJ571" s="24"/>
    </row>
    <row r="572" spans="32:62" ht="15" customHeight="1" x14ac:dyDescent="0.2">
      <c r="AF572" s="151"/>
      <c r="AG572" s="152"/>
      <c r="AH572" s="152"/>
      <c r="AI572" s="152"/>
      <c r="AJ572" s="152"/>
      <c r="AK572" s="75"/>
      <c r="AL572" s="75"/>
      <c r="AM572" s="75"/>
      <c r="AN572" s="152"/>
      <c r="AO572" s="152"/>
      <c r="AP572" s="152"/>
      <c r="AQ572" s="73"/>
      <c r="AR572" s="152"/>
      <c r="AS572" s="152"/>
      <c r="AT572" s="152"/>
      <c r="AU572" s="73"/>
      <c r="AV572" s="73"/>
      <c r="AW572" s="73"/>
      <c r="AX572" s="73"/>
      <c r="BD572" s="24"/>
      <c r="BG572" s="24"/>
      <c r="BJ572" s="24"/>
    </row>
    <row r="573" spans="32:62" ht="15" customHeight="1" x14ac:dyDescent="0.2">
      <c r="AF573" s="151"/>
      <c r="AG573" s="152"/>
      <c r="AH573" s="152"/>
      <c r="AI573" s="152"/>
      <c r="AJ573" s="152"/>
      <c r="AK573" s="75"/>
      <c r="AL573" s="75"/>
      <c r="AM573" s="75"/>
      <c r="AN573" s="152"/>
      <c r="AO573" s="152"/>
      <c r="AP573" s="152"/>
      <c r="AQ573" s="73"/>
      <c r="AR573" s="152"/>
      <c r="AS573" s="152"/>
      <c r="AT573" s="152"/>
      <c r="AU573" s="73"/>
      <c r="AV573" s="73"/>
      <c r="AW573" s="73"/>
      <c r="AX573" s="73"/>
      <c r="BD573" s="24"/>
      <c r="BG573" s="24"/>
      <c r="BJ573" s="24"/>
    </row>
    <row r="574" spans="32:62" ht="15" customHeight="1" x14ac:dyDescent="0.2">
      <c r="AF574" s="151"/>
      <c r="AG574" s="152"/>
      <c r="AH574" s="152"/>
      <c r="AI574" s="152"/>
      <c r="AJ574" s="152"/>
      <c r="AK574" s="75"/>
      <c r="AL574" s="75"/>
      <c r="AM574" s="75"/>
      <c r="AN574" s="152"/>
      <c r="AO574" s="152"/>
      <c r="AP574" s="152"/>
      <c r="AQ574" s="73"/>
      <c r="AR574" s="152"/>
      <c r="AS574" s="152"/>
      <c r="AT574" s="152"/>
      <c r="AU574" s="73"/>
      <c r="AV574" s="73"/>
      <c r="AW574" s="73"/>
      <c r="AX574" s="73"/>
      <c r="BD574" s="24"/>
      <c r="BG574" s="24"/>
      <c r="BJ574" s="24"/>
    </row>
    <row r="575" spans="32:62" ht="15" customHeight="1" x14ac:dyDescent="0.2">
      <c r="AF575" s="151"/>
      <c r="AG575" s="152"/>
      <c r="AH575" s="152"/>
      <c r="AI575" s="152"/>
      <c r="AJ575" s="152"/>
      <c r="AK575" s="75"/>
      <c r="AL575" s="75"/>
      <c r="AM575" s="75"/>
      <c r="AN575" s="152"/>
      <c r="AO575" s="152"/>
      <c r="AP575" s="152"/>
      <c r="AQ575" s="73"/>
      <c r="AR575" s="152"/>
      <c r="AS575" s="152"/>
      <c r="AT575" s="152"/>
      <c r="AU575" s="73"/>
      <c r="AV575" s="73"/>
      <c r="AW575" s="73"/>
      <c r="AX575" s="73"/>
      <c r="BD575" s="24"/>
      <c r="BG575" s="24"/>
      <c r="BJ575" s="24"/>
    </row>
    <row r="576" spans="32:62" ht="15" customHeight="1" x14ac:dyDescent="0.2">
      <c r="AF576" s="151"/>
      <c r="AG576" s="152"/>
      <c r="AH576" s="152"/>
      <c r="AI576" s="152"/>
      <c r="AJ576" s="152"/>
      <c r="AK576" s="75"/>
      <c r="AL576" s="75"/>
      <c r="AM576" s="75"/>
      <c r="AN576" s="152"/>
      <c r="AO576" s="152"/>
      <c r="AP576" s="152"/>
      <c r="AQ576" s="73"/>
      <c r="AR576" s="152"/>
      <c r="AS576" s="152"/>
      <c r="AT576" s="152"/>
      <c r="AU576" s="73"/>
      <c r="AV576" s="73"/>
      <c r="AW576" s="73"/>
      <c r="AX576" s="73"/>
      <c r="BD576" s="24"/>
      <c r="BG576" s="24"/>
      <c r="BJ576" s="24"/>
    </row>
    <row r="577" spans="32:62" ht="15" customHeight="1" x14ac:dyDescent="0.2">
      <c r="AF577" s="151"/>
      <c r="AG577" s="152"/>
      <c r="AH577" s="152"/>
      <c r="AI577" s="152"/>
      <c r="AJ577" s="152"/>
      <c r="AK577" s="75"/>
      <c r="AL577" s="75"/>
      <c r="AM577" s="75"/>
      <c r="AN577" s="152"/>
      <c r="AO577" s="152"/>
      <c r="AP577" s="152"/>
      <c r="AQ577" s="73"/>
      <c r="AR577" s="152"/>
      <c r="AS577" s="152"/>
      <c r="AT577" s="152"/>
      <c r="AU577" s="73"/>
      <c r="AV577" s="73"/>
      <c r="AW577" s="73"/>
      <c r="AX577" s="73"/>
      <c r="BD577" s="24"/>
      <c r="BG577" s="24"/>
      <c r="BJ577" s="24"/>
    </row>
    <row r="578" spans="32:62" ht="15" customHeight="1" x14ac:dyDescent="0.2">
      <c r="AF578" s="151"/>
      <c r="AG578" s="152"/>
      <c r="AH578" s="152"/>
      <c r="AI578" s="152"/>
      <c r="AJ578" s="152"/>
      <c r="AK578" s="75"/>
      <c r="AL578" s="75"/>
      <c r="AM578" s="75"/>
      <c r="AN578" s="152"/>
      <c r="AO578" s="152"/>
      <c r="AP578" s="152"/>
      <c r="AQ578" s="73"/>
      <c r="AR578" s="152"/>
      <c r="AS578" s="152"/>
      <c r="AT578" s="152"/>
      <c r="AU578" s="73"/>
      <c r="AV578" s="73"/>
      <c r="AW578" s="73"/>
      <c r="AX578" s="73"/>
      <c r="BD578" s="24"/>
      <c r="BG578" s="24"/>
      <c r="BJ578" s="24"/>
    </row>
    <row r="579" spans="32:62" ht="15" customHeight="1" x14ac:dyDescent="0.2">
      <c r="AF579" s="151"/>
      <c r="AG579" s="152"/>
      <c r="AH579" s="152"/>
      <c r="AI579" s="152"/>
      <c r="AJ579" s="152"/>
      <c r="AK579" s="75"/>
      <c r="AL579" s="75"/>
      <c r="AM579" s="75"/>
      <c r="AN579" s="152"/>
      <c r="AO579" s="152"/>
      <c r="AP579" s="152"/>
      <c r="AQ579" s="73"/>
      <c r="AR579" s="152"/>
      <c r="AS579" s="152"/>
      <c r="AT579" s="152"/>
      <c r="AU579" s="73"/>
      <c r="AV579" s="73"/>
      <c r="AW579" s="73"/>
      <c r="AX579" s="73"/>
      <c r="BD579" s="24"/>
      <c r="BG579" s="24"/>
      <c r="BJ579" s="24"/>
    </row>
    <row r="580" spans="32:62" ht="15" customHeight="1" x14ac:dyDescent="0.2">
      <c r="AF580" s="151"/>
      <c r="AG580" s="152"/>
      <c r="AH580" s="152"/>
      <c r="AI580" s="152"/>
      <c r="AJ580" s="152"/>
      <c r="AK580" s="75"/>
      <c r="AL580" s="75"/>
      <c r="AM580" s="75"/>
      <c r="AN580" s="152"/>
      <c r="AO580" s="152"/>
      <c r="AP580" s="152"/>
      <c r="AQ580" s="73"/>
      <c r="AR580" s="152"/>
      <c r="AS580" s="152"/>
      <c r="AT580" s="152"/>
      <c r="AU580" s="73"/>
      <c r="AV580" s="73"/>
      <c r="AW580" s="73"/>
      <c r="AX580" s="73"/>
      <c r="BD580" s="24"/>
      <c r="BG580" s="24"/>
      <c r="BJ580" s="24"/>
    </row>
    <row r="581" spans="32:62" ht="15" customHeight="1" x14ac:dyDescent="0.2">
      <c r="AF581" s="151"/>
      <c r="AG581" s="152"/>
      <c r="AH581" s="152"/>
      <c r="AI581" s="152"/>
      <c r="AJ581" s="152"/>
      <c r="AK581" s="75"/>
      <c r="AL581" s="75"/>
      <c r="AM581" s="75"/>
      <c r="AN581" s="152"/>
      <c r="AO581" s="152"/>
      <c r="AP581" s="152"/>
      <c r="AQ581" s="73"/>
      <c r="AR581" s="152"/>
      <c r="AS581" s="152"/>
      <c r="AT581" s="152"/>
      <c r="AU581" s="73"/>
      <c r="AV581" s="73"/>
      <c r="AW581" s="73"/>
      <c r="AX581" s="73"/>
      <c r="BD581" s="24"/>
      <c r="BG581" s="24"/>
      <c r="BJ581" s="24"/>
    </row>
    <row r="582" spans="32:62" ht="15" customHeight="1" x14ac:dyDescent="0.2">
      <c r="AF582" s="151"/>
      <c r="AG582" s="152"/>
      <c r="AH582" s="152"/>
      <c r="AI582" s="152"/>
      <c r="AJ582" s="152"/>
      <c r="AK582" s="75"/>
      <c r="AL582" s="75"/>
      <c r="AM582" s="75"/>
      <c r="AN582" s="152"/>
      <c r="AO582" s="152"/>
      <c r="AP582" s="152"/>
      <c r="AQ582" s="73"/>
      <c r="AR582" s="152"/>
      <c r="AS582" s="152"/>
      <c r="AT582" s="152"/>
      <c r="AU582" s="73"/>
      <c r="AV582" s="73"/>
      <c r="AW582" s="73"/>
      <c r="AX582" s="73"/>
      <c r="BD582" s="24"/>
      <c r="BG582" s="24"/>
      <c r="BJ582" s="24"/>
    </row>
    <row r="583" spans="32:62" ht="15" customHeight="1" x14ac:dyDescent="0.2">
      <c r="AF583" s="151"/>
      <c r="AG583" s="152"/>
      <c r="AH583" s="152"/>
      <c r="AI583" s="152"/>
      <c r="AJ583" s="152"/>
      <c r="AK583" s="75"/>
      <c r="AL583" s="75"/>
      <c r="AM583" s="75"/>
      <c r="AN583" s="152"/>
      <c r="AO583" s="152"/>
      <c r="AP583" s="152"/>
      <c r="AQ583" s="73"/>
      <c r="AR583" s="152"/>
      <c r="AS583" s="152"/>
      <c r="AT583" s="152"/>
      <c r="AU583" s="73"/>
      <c r="AV583" s="73"/>
      <c r="AW583" s="73"/>
      <c r="AX583" s="73"/>
      <c r="BD583" s="24"/>
      <c r="BG583" s="24"/>
      <c r="BJ583" s="24"/>
    </row>
    <row r="584" spans="32:62" ht="15" customHeight="1" x14ac:dyDescent="0.2">
      <c r="AF584" s="151"/>
      <c r="AG584" s="152"/>
      <c r="AH584" s="152"/>
      <c r="AI584" s="152"/>
      <c r="AJ584" s="152"/>
      <c r="AK584" s="75"/>
      <c r="AL584" s="75"/>
      <c r="AM584" s="75"/>
      <c r="AN584" s="152"/>
      <c r="AO584" s="152"/>
      <c r="AP584" s="152"/>
      <c r="AQ584" s="73"/>
      <c r="AR584" s="152"/>
      <c r="AS584" s="152"/>
      <c r="AT584" s="152"/>
      <c r="AU584" s="73"/>
      <c r="AV584" s="73"/>
      <c r="AW584" s="73"/>
      <c r="AX584" s="73"/>
      <c r="BD584" s="24"/>
      <c r="BG584" s="24"/>
      <c r="BJ584" s="24"/>
    </row>
    <row r="585" spans="32:62" ht="15" customHeight="1" x14ac:dyDescent="0.2">
      <c r="AF585" s="151"/>
      <c r="AG585" s="152"/>
      <c r="AH585" s="152"/>
      <c r="AI585" s="152"/>
      <c r="AJ585" s="152"/>
      <c r="AK585" s="75"/>
      <c r="AL585" s="75"/>
      <c r="AM585" s="75"/>
      <c r="AN585" s="152"/>
      <c r="AO585" s="152"/>
      <c r="AP585" s="152"/>
      <c r="AQ585" s="73"/>
      <c r="AR585" s="152"/>
      <c r="AS585" s="152"/>
      <c r="AT585" s="152"/>
      <c r="AU585" s="73"/>
      <c r="AV585" s="73"/>
      <c r="AW585" s="73"/>
      <c r="AX585" s="73"/>
      <c r="BD585" s="24"/>
      <c r="BG585" s="24"/>
      <c r="BJ585" s="24"/>
    </row>
    <row r="586" spans="32:62" ht="15" customHeight="1" x14ac:dyDescent="0.2">
      <c r="AF586" s="151"/>
      <c r="AG586" s="152"/>
      <c r="AH586" s="152"/>
      <c r="AI586" s="152"/>
      <c r="AJ586" s="152"/>
      <c r="AK586" s="75"/>
      <c r="AL586" s="75"/>
      <c r="AM586" s="75"/>
      <c r="AN586" s="152"/>
      <c r="AO586" s="152"/>
      <c r="AP586" s="152"/>
      <c r="AQ586" s="73"/>
      <c r="AR586" s="152"/>
      <c r="AS586" s="152"/>
      <c r="AT586" s="152"/>
      <c r="AU586" s="73"/>
      <c r="AV586" s="73"/>
      <c r="AW586" s="73"/>
      <c r="AX586" s="73"/>
      <c r="BD586" s="24"/>
      <c r="BG586" s="24"/>
      <c r="BJ586" s="24"/>
    </row>
    <row r="587" spans="32:62" ht="15" customHeight="1" x14ac:dyDescent="0.2">
      <c r="AF587" s="151"/>
      <c r="AG587" s="152"/>
      <c r="AH587" s="152"/>
      <c r="AI587" s="152"/>
      <c r="AJ587" s="152"/>
      <c r="AK587" s="75"/>
      <c r="AL587" s="75"/>
      <c r="AM587" s="75"/>
      <c r="AN587" s="152"/>
      <c r="AO587" s="152"/>
      <c r="AP587" s="152"/>
      <c r="AQ587" s="73"/>
      <c r="AR587" s="152"/>
      <c r="AS587" s="152"/>
      <c r="AT587" s="152"/>
      <c r="AU587" s="73"/>
      <c r="AV587" s="73"/>
      <c r="AW587" s="73"/>
      <c r="AX587" s="73"/>
      <c r="BD587" s="24"/>
      <c r="BG587" s="24"/>
      <c r="BJ587" s="24"/>
    </row>
    <row r="588" spans="32:62" ht="15" customHeight="1" x14ac:dyDescent="0.2">
      <c r="AF588" s="151"/>
      <c r="AG588" s="152"/>
      <c r="AH588" s="152"/>
      <c r="AI588" s="152"/>
      <c r="AJ588" s="152"/>
      <c r="AK588" s="75"/>
      <c r="AL588" s="75"/>
      <c r="AM588" s="75"/>
      <c r="AN588" s="152"/>
      <c r="AO588" s="152"/>
      <c r="AP588" s="152"/>
      <c r="AQ588" s="73"/>
      <c r="AR588" s="152"/>
      <c r="AS588" s="152"/>
      <c r="AT588" s="152"/>
      <c r="AU588" s="73"/>
      <c r="AV588" s="73"/>
      <c r="AW588" s="73"/>
      <c r="AX588" s="73"/>
      <c r="BD588" s="24"/>
      <c r="BG588" s="24"/>
      <c r="BJ588" s="24"/>
    </row>
    <row r="589" spans="32:62" ht="15" customHeight="1" x14ac:dyDescent="0.2">
      <c r="AF589" s="151"/>
      <c r="AG589" s="152"/>
      <c r="AH589" s="152"/>
      <c r="AI589" s="152"/>
      <c r="AJ589" s="152"/>
      <c r="AK589" s="75"/>
      <c r="AL589" s="75"/>
      <c r="AM589" s="75"/>
      <c r="AN589" s="152"/>
      <c r="AO589" s="152"/>
      <c r="AP589" s="152"/>
      <c r="AQ589" s="73"/>
      <c r="AR589" s="152"/>
      <c r="AS589" s="152"/>
      <c r="AT589" s="152"/>
      <c r="AU589" s="73"/>
      <c r="AV589" s="73"/>
      <c r="AW589" s="73"/>
      <c r="AX589" s="73"/>
      <c r="BD589" s="24"/>
      <c r="BG589" s="24"/>
      <c r="BJ589" s="24"/>
    </row>
    <row r="590" spans="32:62" ht="15" customHeight="1" x14ac:dyDescent="0.2">
      <c r="AF590" s="151"/>
      <c r="AG590" s="152"/>
      <c r="AH590" s="152"/>
      <c r="AI590" s="152"/>
      <c r="AJ590" s="152"/>
      <c r="AK590" s="75"/>
      <c r="AL590" s="75"/>
      <c r="AM590" s="75"/>
      <c r="AN590" s="152"/>
      <c r="AO590" s="152"/>
      <c r="AP590" s="152"/>
      <c r="AQ590" s="73"/>
      <c r="AR590" s="152"/>
      <c r="AS590" s="152"/>
      <c r="AT590" s="152"/>
      <c r="AU590" s="73"/>
      <c r="AV590" s="73"/>
      <c r="AW590" s="73"/>
      <c r="AX590" s="73"/>
      <c r="BD590" s="24"/>
      <c r="BG590" s="24"/>
      <c r="BJ590" s="24"/>
    </row>
    <row r="591" spans="32:62" ht="15" customHeight="1" x14ac:dyDescent="0.2">
      <c r="AF591" s="151"/>
      <c r="AG591" s="152"/>
      <c r="AH591" s="152"/>
      <c r="AI591" s="152"/>
      <c r="AJ591" s="152"/>
      <c r="AK591" s="75"/>
      <c r="AL591" s="75"/>
      <c r="AM591" s="75"/>
      <c r="AN591" s="152"/>
      <c r="AO591" s="152"/>
      <c r="AP591" s="152"/>
      <c r="AQ591" s="73"/>
      <c r="AR591" s="152"/>
      <c r="AS591" s="152"/>
      <c r="AT591" s="152"/>
      <c r="AU591" s="73"/>
      <c r="AV591" s="73"/>
      <c r="AW591" s="73"/>
      <c r="AX591" s="73"/>
      <c r="BD591" s="24"/>
      <c r="BG591" s="24"/>
      <c r="BJ591" s="24"/>
    </row>
    <row r="592" spans="32:62" ht="15" customHeight="1" x14ac:dyDescent="0.2">
      <c r="AF592" s="151"/>
      <c r="AG592" s="152"/>
      <c r="AH592" s="152"/>
      <c r="AI592" s="152"/>
      <c r="AJ592" s="152"/>
      <c r="AK592" s="75"/>
      <c r="AL592" s="75"/>
      <c r="AM592" s="75"/>
      <c r="AN592" s="152"/>
      <c r="AO592" s="152"/>
      <c r="AP592" s="152"/>
      <c r="AQ592" s="73"/>
      <c r="AR592" s="152"/>
      <c r="AS592" s="152"/>
      <c r="AT592" s="152"/>
      <c r="AU592" s="73"/>
      <c r="AV592" s="73"/>
      <c r="AW592" s="73"/>
      <c r="AX592" s="73"/>
      <c r="BD592" s="24"/>
      <c r="BG592" s="24"/>
      <c r="BJ592" s="24"/>
    </row>
    <row r="593" spans="32:62" ht="15" customHeight="1" x14ac:dyDescent="0.2">
      <c r="AF593" s="151"/>
      <c r="AG593" s="152"/>
      <c r="AH593" s="152"/>
      <c r="AI593" s="152"/>
      <c r="AJ593" s="152"/>
      <c r="AK593" s="75"/>
      <c r="AL593" s="75"/>
      <c r="AM593" s="75"/>
      <c r="AN593" s="152"/>
      <c r="AO593" s="152"/>
      <c r="AP593" s="152"/>
      <c r="AQ593" s="73"/>
      <c r="AR593" s="152"/>
      <c r="AS593" s="152"/>
      <c r="AT593" s="152"/>
      <c r="AU593" s="73"/>
      <c r="AV593" s="73"/>
      <c r="AW593" s="73"/>
      <c r="AX593" s="73"/>
      <c r="BD593" s="24"/>
      <c r="BG593" s="24"/>
      <c r="BJ593" s="24"/>
    </row>
    <row r="594" spans="32:62" ht="15" customHeight="1" x14ac:dyDescent="0.2">
      <c r="AF594" s="151"/>
      <c r="AG594" s="152"/>
      <c r="AH594" s="152"/>
      <c r="AI594" s="152"/>
      <c r="AJ594" s="152"/>
      <c r="AK594" s="75"/>
      <c r="AL594" s="75"/>
      <c r="AM594" s="75"/>
      <c r="AN594" s="152"/>
      <c r="AO594" s="152"/>
      <c r="AP594" s="152"/>
      <c r="AQ594" s="73"/>
      <c r="AR594" s="152"/>
      <c r="AS594" s="152"/>
      <c r="AT594" s="152"/>
      <c r="AU594" s="73"/>
      <c r="AV594" s="73"/>
      <c r="AW594" s="73"/>
      <c r="AX594" s="73"/>
      <c r="BD594" s="24"/>
      <c r="BG594" s="24"/>
      <c r="BJ594" s="24"/>
    </row>
    <row r="595" spans="32:62" ht="15" customHeight="1" x14ac:dyDescent="0.2">
      <c r="AF595" s="151"/>
      <c r="AG595" s="152"/>
      <c r="AH595" s="152"/>
      <c r="AI595" s="152"/>
      <c r="AJ595" s="152"/>
      <c r="AK595" s="75"/>
      <c r="AL595" s="75"/>
      <c r="AM595" s="75"/>
      <c r="AN595" s="152"/>
      <c r="AO595" s="152"/>
      <c r="AP595" s="152"/>
      <c r="AQ595" s="73"/>
      <c r="AR595" s="152"/>
      <c r="AS595" s="152"/>
      <c r="AT595" s="152"/>
      <c r="AU595" s="73"/>
      <c r="AV595" s="73"/>
      <c r="AW595" s="73"/>
      <c r="AX595" s="73"/>
      <c r="BD595" s="24"/>
      <c r="BG595" s="24"/>
      <c r="BJ595" s="24"/>
    </row>
    <row r="596" spans="32:62" ht="15" customHeight="1" x14ac:dyDescent="0.2">
      <c r="AF596" s="151"/>
      <c r="AG596" s="152"/>
      <c r="AH596" s="152"/>
      <c r="AI596" s="152"/>
      <c r="AJ596" s="152"/>
      <c r="AK596" s="75"/>
      <c r="AL596" s="75"/>
      <c r="AM596" s="75"/>
      <c r="AN596" s="152"/>
      <c r="AO596" s="152"/>
      <c r="AP596" s="152"/>
      <c r="AQ596" s="73"/>
      <c r="AR596" s="152"/>
      <c r="AS596" s="152"/>
      <c r="AT596" s="152"/>
      <c r="AU596" s="73"/>
      <c r="AV596" s="73"/>
      <c r="AW596" s="73"/>
      <c r="AX596" s="73"/>
      <c r="BD596" s="24"/>
      <c r="BG596" s="24"/>
      <c r="BJ596" s="24"/>
    </row>
    <row r="597" spans="32:62" ht="15" customHeight="1" x14ac:dyDescent="0.2">
      <c r="AF597" s="151"/>
      <c r="AG597" s="152"/>
      <c r="AH597" s="152"/>
      <c r="AI597" s="152"/>
      <c r="AJ597" s="152"/>
      <c r="AK597" s="75"/>
      <c r="AL597" s="75"/>
      <c r="AM597" s="75"/>
      <c r="AN597" s="152"/>
      <c r="AO597" s="152"/>
      <c r="AP597" s="152"/>
      <c r="AQ597" s="73"/>
      <c r="AR597" s="152"/>
      <c r="AS597" s="152"/>
      <c r="AT597" s="152"/>
      <c r="AU597" s="73"/>
      <c r="AV597" s="73"/>
      <c r="AW597" s="73"/>
      <c r="AX597" s="73"/>
      <c r="BD597" s="24"/>
      <c r="BG597" s="24"/>
      <c r="BJ597" s="24"/>
    </row>
    <row r="598" spans="32:62" ht="15" customHeight="1" x14ac:dyDescent="0.2">
      <c r="AF598" s="151"/>
      <c r="AG598" s="152"/>
      <c r="AH598" s="152"/>
      <c r="AI598" s="152"/>
      <c r="AJ598" s="152"/>
      <c r="AK598" s="75"/>
      <c r="AL598" s="75"/>
      <c r="AM598" s="75"/>
      <c r="AN598" s="152"/>
      <c r="AO598" s="152"/>
      <c r="AP598" s="152"/>
      <c r="AQ598" s="73"/>
      <c r="AR598" s="152"/>
      <c r="AS598" s="152"/>
      <c r="AT598" s="152"/>
      <c r="AU598" s="73"/>
      <c r="AV598" s="73"/>
      <c r="AW598" s="73"/>
      <c r="AX598" s="73"/>
      <c r="BD598" s="24"/>
      <c r="BG598" s="24"/>
      <c r="BJ598" s="24"/>
    </row>
    <row r="599" spans="32:62" ht="15" customHeight="1" x14ac:dyDescent="0.2">
      <c r="AF599" s="151"/>
      <c r="AG599" s="152"/>
      <c r="AH599" s="152"/>
      <c r="AI599" s="152"/>
      <c r="AJ599" s="152"/>
      <c r="AK599" s="75"/>
      <c r="AL599" s="75"/>
      <c r="AM599" s="75"/>
      <c r="AN599" s="152"/>
      <c r="AO599" s="152"/>
      <c r="AP599" s="152"/>
      <c r="AQ599" s="73"/>
      <c r="AR599" s="152"/>
      <c r="AS599" s="152"/>
      <c r="AT599" s="152"/>
      <c r="AU599" s="73"/>
      <c r="AV599" s="73"/>
      <c r="AW599" s="73"/>
      <c r="AX599" s="73"/>
      <c r="BD599" s="24"/>
      <c r="BG599" s="24"/>
      <c r="BJ599" s="24"/>
    </row>
    <row r="600" spans="32:62" ht="15" customHeight="1" x14ac:dyDescent="0.2">
      <c r="AF600" s="151"/>
      <c r="AG600" s="152"/>
      <c r="AH600" s="152"/>
      <c r="AI600" s="152"/>
      <c r="AJ600" s="152"/>
      <c r="AK600" s="75"/>
      <c r="AL600" s="75"/>
      <c r="AM600" s="75"/>
      <c r="AN600" s="152"/>
      <c r="AO600" s="152"/>
      <c r="AP600" s="152"/>
      <c r="AQ600" s="73"/>
      <c r="AR600" s="152"/>
      <c r="AS600" s="152"/>
      <c r="AT600" s="152"/>
      <c r="AU600" s="73"/>
      <c r="AV600" s="73"/>
      <c r="AW600" s="73"/>
      <c r="AX600" s="73"/>
      <c r="BD600" s="24"/>
      <c r="BG600" s="24"/>
      <c r="BJ600" s="24"/>
    </row>
    <row r="601" spans="32:62" ht="15" customHeight="1" x14ac:dyDescent="0.2">
      <c r="AF601" s="151"/>
      <c r="AG601" s="152"/>
      <c r="AH601" s="152"/>
      <c r="AI601" s="152"/>
      <c r="AJ601" s="152"/>
      <c r="AK601" s="75"/>
      <c r="AL601" s="75"/>
      <c r="AM601" s="75"/>
      <c r="AN601" s="152"/>
      <c r="AO601" s="152"/>
      <c r="AP601" s="152"/>
      <c r="AQ601" s="73"/>
      <c r="AR601" s="152"/>
      <c r="AS601" s="152"/>
      <c r="AT601" s="152"/>
      <c r="AU601" s="73"/>
      <c r="AV601" s="73"/>
      <c r="AW601" s="73"/>
      <c r="AX601" s="73"/>
      <c r="BD601" s="24"/>
      <c r="BG601" s="24"/>
      <c r="BJ601" s="24"/>
    </row>
    <row r="602" spans="32:62" ht="15" customHeight="1" x14ac:dyDescent="0.2">
      <c r="AF602" s="151"/>
      <c r="AG602" s="152"/>
      <c r="AH602" s="152"/>
      <c r="AI602" s="152"/>
      <c r="AJ602" s="152"/>
      <c r="AK602" s="75"/>
      <c r="AL602" s="75"/>
      <c r="AM602" s="75"/>
      <c r="AN602" s="152"/>
      <c r="AO602" s="152"/>
      <c r="AP602" s="152"/>
      <c r="AQ602" s="73"/>
      <c r="AR602" s="152"/>
      <c r="AS602" s="152"/>
      <c r="AT602" s="152"/>
      <c r="AU602" s="73"/>
      <c r="AV602" s="73"/>
      <c r="AW602" s="73"/>
      <c r="AX602" s="73"/>
      <c r="BD602" s="24"/>
      <c r="BG602" s="24"/>
      <c r="BJ602" s="24"/>
    </row>
    <row r="603" spans="32:62" ht="15" customHeight="1" x14ac:dyDescent="0.2">
      <c r="AF603" s="151"/>
      <c r="AG603" s="152"/>
      <c r="AH603" s="152"/>
      <c r="AI603" s="152"/>
      <c r="AJ603" s="152"/>
      <c r="AK603" s="75"/>
      <c r="AL603" s="75"/>
      <c r="AM603" s="75"/>
      <c r="AN603" s="152"/>
      <c r="AO603" s="152"/>
      <c r="AP603" s="152"/>
      <c r="AQ603" s="73"/>
      <c r="AR603" s="152"/>
      <c r="AS603" s="152"/>
      <c r="AT603" s="152"/>
      <c r="AU603" s="73"/>
      <c r="AV603" s="73"/>
      <c r="AW603" s="73"/>
      <c r="AX603" s="73"/>
      <c r="BD603" s="24"/>
      <c r="BG603" s="24"/>
      <c r="BJ603" s="24"/>
    </row>
    <row r="604" spans="32:62" ht="15" customHeight="1" x14ac:dyDescent="0.2">
      <c r="AF604" s="151"/>
      <c r="AG604" s="152"/>
      <c r="AH604" s="152"/>
      <c r="AI604" s="152"/>
      <c r="AJ604" s="152"/>
      <c r="AK604" s="75"/>
      <c r="AL604" s="75"/>
      <c r="AM604" s="75"/>
      <c r="AN604" s="152"/>
      <c r="AO604" s="152"/>
      <c r="AP604" s="152"/>
      <c r="AQ604" s="73"/>
      <c r="AR604" s="152"/>
      <c r="AS604" s="152"/>
      <c r="AT604" s="152"/>
      <c r="AU604" s="73"/>
      <c r="AV604" s="73"/>
      <c r="AW604" s="73"/>
      <c r="AX604" s="73"/>
      <c r="BD604" s="24"/>
      <c r="BG604" s="24"/>
      <c r="BJ604" s="24"/>
    </row>
    <row r="605" spans="32:62" ht="15" customHeight="1" x14ac:dyDescent="0.2">
      <c r="AF605" s="151"/>
      <c r="AG605" s="152"/>
      <c r="AH605" s="152"/>
      <c r="AI605" s="152"/>
      <c r="AJ605" s="152"/>
      <c r="AK605" s="75"/>
      <c r="AL605" s="75"/>
      <c r="AM605" s="75"/>
      <c r="AN605" s="152"/>
      <c r="AO605" s="152"/>
      <c r="AP605" s="152"/>
      <c r="AQ605" s="73"/>
      <c r="AR605" s="152"/>
      <c r="AS605" s="152"/>
      <c r="AT605" s="152"/>
      <c r="AU605" s="73"/>
      <c r="AV605" s="73"/>
      <c r="AW605" s="73"/>
      <c r="AX605" s="73"/>
      <c r="BD605" s="24"/>
      <c r="BG605" s="24"/>
      <c r="BJ605" s="24"/>
    </row>
    <row r="606" spans="32:62" ht="15" customHeight="1" x14ac:dyDescent="0.2">
      <c r="AF606" s="151"/>
      <c r="AG606" s="152"/>
      <c r="AH606" s="152"/>
      <c r="AI606" s="152"/>
      <c r="AJ606" s="152"/>
      <c r="AK606" s="75"/>
      <c r="AL606" s="75"/>
      <c r="AM606" s="75"/>
      <c r="AN606" s="152"/>
      <c r="AO606" s="152"/>
      <c r="AP606" s="152"/>
      <c r="AQ606" s="73"/>
      <c r="AR606" s="152"/>
      <c r="AS606" s="152"/>
      <c r="AT606" s="152"/>
      <c r="AU606" s="73"/>
      <c r="AV606" s="73"/>
      <c r="AW606" s="73"/>
      <c r="AX606" s="73"/>
      <c r="BD606" s="24"/>
      <c r="BG606" s="24"/>
      <c r="BJ606" s="24"/>
    </row>
    <row r="607" spans="32:62" ht="15" customHeight="1" x14ac:dyDescent="0.2">
      <c r="AF607" s="151"/>
      <c r="AG607" s="152"/>
      <c r="AH607" s="152"/>
      <c r="AI607" s="152"/>
      <c r="AJ607" s="152"/>
      <c r="AK607" s="75"/>
      <c r="AL607" s="75"/>
      <c r="AM607" s="75"/>
      <c r="AN607" s="152"/>
      <c r="AO607" s="152"/>
      <c r="AP607" s="152"/>
      <c r="AQ607" s="73"/>
      <c r="AR607" s="152"/>
      <c r="AS607" s="152"/>
      <c r="AT607" s="152"/>
      <c r="AU607" s="73"/>
      <c r="AV607" s="73"/>
      <c r="AW607" s="73"/>
      <c r="AX607" s="73"/>
      <c r="BD607" s="24"/>
      <c r="BG607" s="24"/>
      <c r="BJ607" s="24"/>
    </row>
    <row r="608" spans="32:62" ht="15" customHeight="1" x14ac:dyDescent="0.2">
      <c r="AF608" s="151"/>
      <c r="AG608" s="152"/>
      <c r="AH608" s="152"/>
      <c r="AI608" s="152"/>
      <c r="AJ608" s="152"/>
      <c r="AK608" s="75"/>
      <c r="AL608" s="75"/>
      <c r="AM608" s="75"/>
      <c r="AN608" s="152"/>
      <c r="AO608" s="152"/>
      <c r="AP608" s="152"/>
      <c r="AQ608" s="73"/>
      <c r="AR608" s="152"/>
      <c r="AS608" s="152"/>
      <c r="AT608" s="152"/>
      <c r="AU608" s="73"/>
      <c r="AV608" s="73"/>
      <c r="AW608" s="73"/>
      <c r="AX608" s="73"/>
      <c r="BD608" s="24"/>
      <c r="BG608" s="24"/>
      <c r="BJ608" s="24"/>
    </row>
    <row r="609" spans="32:62" ht="15" customHeight="1" x14ac:dyDescent="0.2">
      <c r="AF609" s="151"/>
      <c r="AG609" s="152"/>
      <c r="AH609" s="152"/>
      <c r="AI609" s="152"/>
      <c r="AJ609" s="152"/>
      <c r="AK609" s="75"/>
      <c r="AL609" s="75"/>
      <c r="AM609" s="75"/>
      <c r="AN609" s="152"/>
      <c r="AO609" s="152"/>
      <c r="AP609" s="152"/>
      <c r="AQ609" s="73"/>
      <c r="AR609" s="152"/>
      <c r="AS609" s="152"/>
      <c r="AT609" s="152"/>
      <c r="AU609" s="73"/>
      <c r="AV609" s="73"/>
      <c r="AW609" s="73"/>
      <c r="AX609" s="73"/>
      <c r="BD609" s="24"/>
      <c r="BG609" s="24"/>
      <c r="BJ609" s="24"/>
    </row>
    <row r="610" spans="32:62" ht="15" customHeight="1" x14ac:dyDescent="0.2">
      <c r="AF610" s="151"/>
      <c r="AG610" s="152"/>
      <c r="AH610" s="152"/>
      <c r="AI610" s="152"/>
      <c r="AJ610" s="152"/>
      <c r="AK610" s="75"/>
      <c r="AL610" s="75"/>
      <c r="AM610" s="75"/>
      <c r="AN610" s="152"/>
      <c r="AO610" s="152"/>
      <c r="AP610" s="152"/>
      <c r="AQ610" s="73"/>
      <c r="AR610" s="152"/>
      <c r="AS610" s="152"/>
      <c r="AT610" s="152"/>
      <c r="AU610" s="73"/>
      <c r="AV610" s="73"/>
      <c r="AW610" s="73"/>
      <c r="AX610" s="73"/>
      <c r="BD610" s="24"/>
      <c r="BG610" s="24"/>
      <c r="BJ610" s="24"/>
    </row>
    <row r="611" spans="32:62" ht="15" customHeight="1" x14ac:dyDescent="0.2">
      <c r="AF611" s="151"/>
      <c r="AG611" s="152"/>
      <c r="AH611" s="152"/>
      <c r="AI611" s="152"/>
      <c r="AJ611" s="152"/>
      <c r="AK611" s="75"/>
      <c r="AL611" s="75"/>
      <c r="AM611" s="75"/>
      <c r="AN611" s="152"/>
      <c r="AO611" s="152"/>
      <c r="AP611" s="152"/>
      <c r="AQ611" s="73"/>
      <c r="AR611" s="152"/>
      <c r="AS611" s="152"/>
      <c r="AT611" s="152"/>
      <c r="AU611" s="73"/>
      <c r="AV611" s="73"/>
      <c r="AW611" s="73"/>
      <c r="AX611" s="73"/>
      <c r="BD611" s="24"/>
      <c r="BG611" s="24"/>
      <c r="BJ611" s="24"/>
    </row>
    <row r="612" spans="32:62" ht="15" customHeight="1" x14ac:dyDescent="0.2">
      <c r="AF612" s="151"/>
      <c r="AG612" s="152"/>
      <c r="AH612" s="152"/>
      <c r="AI612" s="152"/>
      <c r="AJ612" s="152"/>
      <c r="AK612" s="75"/>
      <c r="AL612" s="75"/>
      <c r="AM612" s="75"/>
      <c r="AN612" s="152"/>
      <c r="AO612" s="152"/>
      <c r="AP612" s="152"/>
      <c r="AQ612" s="73"/>
      <c r="AR612" s="152"/>
      <c r="AS612" s="152"/>
      <c r="AT612" s="152"/>
      <c r="AU612" s="73"/>
      <c r="AV612" s="73"/>
      <c r="AW612" s="73"/>
      <c r="AX612" s="73"/>
      <c r="BD612" s="24"/>
      <c r="BG612" s="24"/>
      <c r="BJ612" s="24"/>
    </row>
    <row r="613" spans="32:62" ht="15" customHeight="1" x14ac:dyDescent="0.2">
      <c r="AF613" s="151"/>
      <c r="AG613" s="152"/>
      <c r="AH613" s="152"/>
      <c r="AI613" s="152"/>
      <c r="AJ613" s="152"/>
      <c r="AK613" s="75"/>
      <c r="AL613" s="75"/>
      <c r="AM613" s="75"/>
      <c r="AN613" s="152"/>
      <c r="AO613" s="152"/>
      <c r="AP613" s="152"/>
      <c r="AQ613" s="73"/>
      <c r="AR613" s="152"/>
      <c r="AS613" s="152"/>
      <c r="AT613" s="152"/>
      <c r="AU613" s="73"/>
      <c r="AV613" s="73"/>
      <c r="AW613" s="73"/>
      <c r="AX613" s="73"/>
      <c r="BD613" s="24"/>
      <c r="BG613" s="24"/>
      <c r="BJ613" s="24"/>
    </row>
    <row r="614" spans="32:62" ht="15" customHeight="1" x14ac:dyDescent="0.2">
      <c r="AF614" s="151"/>
      <c r="AG614" s="152"/>
      <c r="AH614" s="152"/>
      <c r="AI614" s="152"/>
      <c r="AJ614" s="152"/>
      <c r="AK614" s="75"/>
      <c r="AL614" s="75"/>
      <c r="AM614" s="75"/>
      <c r="AN614" s="152"/>
      <c r="AO614" s="152"/>
      <c r="AP614" s="152"/>
      <c r="AQ614" s="73"/>
      <c r="AR614" s="152"/>
      <c r="AS614" s="152"/>
      <c r="AT614" s="152"/>
      <c r="AU614" s="73"/>
      <c r="AV614" s="73"/>
      <c r="AW614" s="73"/>
      <c r="AX614" s="73"/>
      <c r="BD614" s="24"/>
      <c r="BG614" s="24"/>
      <c r="BJ614" s="24"/>
    </row>
    <row r="615" spans="32:62" ht="15" customHeight="1" x14ac:dyDescent="0.2">
      <c r="AF615" s="151"/>
      <c r="AG615" s="152"/>
      <c r="AH615" s="152"/>
      <c r="AI615" s="152"/>
      <c r="AJ615" s="152"/>
      <c r="AK615" s="75"/>
      <c r="AL615" s="75"/>
      <c r="AM615" s="75"/>
      <c r="AN615" s="152"/>
      <c r="AO615" s="152"/>
      <c r="AP615" s="152"/>
      <c r="AQ615" s="73"/>
      <c r="AR615" s="152"/>
      <c r="AS615" s="152"/>
      <c r="AT615" s="152"/>
      <c r="AU615" s="73"/>
      <c r="AV615" s="73"/>
      <c r="AW615" s="73"/>
      <c r="AX615" s="73"/>
      <c r="BD615" s="24"/>
      <c r="BG615" s="24"/>
      <c r="BJ615" s="24"/>
    </row>
    <row r="616" spans="32:62" ht="15" customHeight="1" x14ac:dyDescent="0.2">
      <c r="AF616" s="151"/>
      <c r="AG616" s="152"/>
      <c r="AH616" s="152"/>
      <c r="AI616" s="152"/>
      <c r="AJ616" s="152"/>
      <c r="AK616" s="75"/>
      <c r="AL616" s="75"/>
      <c r="AM616" s="75"/>
      <c r="AN616" s="152"/>
      <c r="AO616" s="152"/>
      <c r="AP616" s="152"/>
      <c r="AQ616" s="73"/>
      <c r="AR616" s="152"/>
      <c r="AS616" s="152"/>
      <c r="AT616" s="152"/>
      <c r="AU616" s="73"/>
      <c r="AV616" s="73"/>
      <c r="AW616" s="73"/>
      <c r="AX616" s="73"/>
      <c r="BD616" s="24"/>
      <c r="BG616" s="24"/>
      <c r="BJ616" s="24"/>
    </row>
    <row r="617" spans="32:62" ht="15" customHeight="1" x14ac:dyDescent="0.2">
      <c r="AF617" s="151"/>
      <c r="AG617" s="152"/>
      <c r="AH617" s="152"/>
      <c r="AI617" s="152"/>
      <c r="AJ617" s="152"/>
      <c r="AK617" s="75"/>
      <c r="AL617" s="75"/>
      <c r="AM617" s="75"/>
      <c r="AN617" s="152"/>
      <c r="AO617" s="152"/>
      <c r="AP617" s="152"/>
      <c r="AQ617" s="73"/>
      <c r="AR617" s="152"/>
      <c r="AS617" s="152"/>
      <c r="AT617" s="152"/>
      <c r="AU617" s="73"/>
      <c r="AV617" s="73"/>
      <c r="AW617" s="73"/>
      <c r="AX617" s="73"/>
      <c r="BD617" s="24"/>
      <c r="BG617" s="24"/>
      <c r="BJ617" s="24"/>
    </row>
    <row r="618" spans="32:62" ht="15" customHeight="1" x14ac:dyDescent="0.2">
      <c r="AF618" s="151"/>
      <c r="AG618" s="152"/>
      <c r="AH618" s="152"/>
      <c r="AI618" s="152"/>
      <c r="AJ618" s="152"/>
      <c r="AK618" s="75"/>
      <c r="AL618" s="75"/>
      <c r="AM618" s="75"/>
      <c r="AN618" s="152"/>
      <c r="AO618" s="152"/>
      <c r="AP618" s="152"/>
      <c r="AQ618" s="73"/>
      <c r="AR618" s="152"/>
      <c r="AS618" s="152"/>
      <c r="AT618" s="152"/>
      <c r="AU618" s="73"/>
      <c r="AV618" s="73"/>
      <c r="AW618" s="73"/>
      <c r="AX618" s="73"/>
      <c r="BD618" s="24"/>
      <c r="BG618" s="24"/>
      <c r="BJ618" s="24"/>
    </row>
    <row r="619" spans="32:62" ht="15" customHeight="1" x14ac:dyDescent="0.2">
      <c r="AF619" s="151"/>
      <c r="AG619" s="152"/>
      <c r="AH619" s="152"/>
      <c r="AI619" s="152"/>
      <c r="AJ619" s="152"/>
      <c r="AK619" s="75"/>
      <c r="AL619" s="75"/>
      <c r="AM619" s="75"/>
      <c r="AN619" s="152"/>
      <c r="AO619" s="152"/>
      <c r="AP619" s="152"/>
      <c r="AQ619" s="73"/>
      <c r="AR619" s="152"/>
      <c r="AS619" s="152"/>
      <c r="AT619" s="152"/>
      <c r="AU619" s="73"/>
      <c r="AV619" s="73"/>
      <c r="AW619" s="73"/>
      <c r="AX619" s="73"/>
      <c r="BD619" s="24"/>
      <c r="BG619" s="24"/>
      <c r="BJ619" s="24"/>
    </row>
    <row r="620" spans="32:62" ht="15" customHeight="1" x14ac:dyDescent="0.2">
      <c r="AF620" s="151"/>
      <c r="AG620" s="152"/>
      <c r="AH620" s="152"/>
      <c r="AI620" s="152"/>
      <c r="AJ620" s="152"/>
      <c r="AK620" s="75"/>
      <c r="AL620" s="75"/>
      <c r="AM620" s="75"/>
      <c r="AN620" s="152"/>
      <c r="AO620" s="152"/>
      <c r="AP620" s="152"/>
      <c r="AQ620" s="73"/>
      <c r="AR620" s="152"/>
      <c r="AS620" s="152"/>
      <c r="AT620" s="152"/>
      <c r="AU620" s="73"/>
      <c r="AV620" s="73"/>
      <c r="AW620" s="73"/>
      <c r="AX620" s="73"/>
      <c r="BD620" s="24"/>
      <c r="BG620" s="24"/>
      <c r="BJ620" s="24"/>
    </row>
    <row r="621" spans="32:62" ht="15" customHeight="1" x14ac:dyDescent="0.2">
      <c r="AF621" s="151"/>
      <c r="AG621" s="152"/>
      <c r="AH621" s="152"/>
      <c r="AI621" s="152"/>
      <c r="AJ621" s="152"/>
      <c r="AK621" s="75"/>
      <c r="AL621" s="75"/>
      <c r="AM621" s="75"/>
      <c r="AN621" s="152"/>
      <c r="AO621" s="152"/>
      <c r="AP621" s="152"/>
      <c r="AQ621" s="73"/>
      <c r="AR621" s="152"/>
      <c r="AS621" s="152"/>
      <c r="AT621" s="152"/>
      <c r="AU621" s="73"/>
      <c r="AV621" s="73"/>
      <c r="AW621" s="73"/>
      <c r="AX621" s="73"/>
      <c r="BD621" s="24"/>
      <c r="BG621" s="24"/>
      <c r="BJ621" s="24"/>
    </row>
    <row r="622" spans="32:62" ht="15" customHeight="1" x14ac:dyDescent="0.2">
      <c r="AF622" s="151"/>
      <c r="AG622" s="152"/>
      <c r="AH622" s="152"/>
      <c r="AI622" s="152"/>
      <c r="AJ622" s="152"/>
      <c r="AK622" s="75"/>
      <c r="AL622" s="75"/>
      <c r="AM622" s="75"/>
      <c r="AN622" s="152"/>
      <c r="AO622" s="152"/>
      <c r="AP622" s="152"/>
      <c r="AQ622" s="73"/>
      <c r="AR622" s="152"/>
      <c r="AS622" s="152"/>
      <c r="AT622" s="152"/>
      <c r="AU622" s="73"/>
      <c r="AV622" s="73"/>
      <c r="AW622" s="73"/>
      <c r="AX622" s="73"/>
      <c r="BD622" s="24"/>
      <c r="BG622" s="24"/>
      <c r="BJ622" s="24"/>
    </row>
    <row r="623" spans="32:62" ht="15" customHeight="1" x14ac:dyDescent="0.2">
      <c r="AF623" s="151"/>
      <c r="AG623" s="152"/>
      <c r="AH623" s="152"/>
      <c r="AI623" s="152"/>
      <c r="AJ623" s="152"/>
      <c r="AK623" s="75"/>
      <c r="AL623" s="75"/>
      <c r="AM623" s="75"/>
      <c r="AN623" s="152"/>
      <c r="AO623" s="152"/>
      <c r="AP623" s="152"/>
      <c r="AQ623" s="73"/>
      <c r="AR623" s="152"/>
      <c r="AS623" s="152"/>
      <c r="AT623" s="152"/>
      <c r="AU623" s="73"/>
      <c r="AV623" s="73"/>
      <c r="AW623" s="73"/>
      <c r="AX623" s="73"/>
      <c r="BD623" s="24"/>
      <c r="BG623" s="24"/>
      <c r="BJ623" s="24"/>
    </row>
    <row r="624" spans="32:62" ht="15" customHeight="1" x14ac:dyDescent="0.2">
      <c r="AF624" s="151"/>
      <c r="AG624" s="152"/>
      <c r="AH624" s="152"/>
      <c r="AI624" s="152"/>
      <c r="AJ624" s="152"/>
      <c r="AK624" s="75"/>
      <c r="AL624" s="75"/>
      <c r="AM624" s="75"/>
      <c r="AN624" s="152"/>
      <c r="AO624" s="152"/>
      <c r="AP624" s="152"/>
      <c r="AQ624" s="73"/>
      <c r="AR624" s="152"/>
      <c r="AS624" s="152"/>
      <c r="AT624" s="152"/>
      <c r="AU624" s="73"/>
      <c r="AV624" s="73"/>
      <c r="AW624" s="73"/>
      <c r="AX624" s="73"/>
      <c r="BD624" s="24"/>
      <c r="BG624" s="24"/>
      <c r="BJ624" s="24"/>
    </row>
    <row r="625" spans="32:62" ht="15" customHeight="1" x14ac:dyDescent="0.2">
      <c r="AF625" s="151"/>
      <c r="AG625" s="152"/>
      <c r="AH625" s="152"/>
      <c r="AI625" s="152"/>
      <c r="AJ625" s="152"/>
      <c r="AK625" s="75"/>
      <c r="AL625" s="75"/>
      <c r="AM625" s="75"/>
      <c r="AN625" s="152"/>
      <c r="AO625" s="152"/>
      <c r="AP625" s="152"/>
      <c r="AQ625" s="73"/>
      <c r="AR625" s="152"/>
      <c r="AS625" s="152"/>
      <c r="AT625" s="152"/>
      <c r="AU625" s="73"/>
      <c r="AV625" s="73"/>
      <c r="AW625" s="73"/>
      <c r="AX625" s="73"/>
      <c r="BD625" s="24"/>
      <c r="BG625" s="24"/>
      <c r="BJ625" s="24"/>
    </row>
    <row r="626" spans="32:62" ht="15" customHeight="1" x14ac:dyDescent="0.2">
      <c r="AF626" s="151"/>
      <c r="AG626" s="152"/>
      <c r="AH626" s="152"/>
      <c r="AI626" s="152"/>
      <c r="AJ626" s="152"/>
      <c r="AK626" s="75"/>
      <c r="AL626" s="75"/>
      <c r="AM626" s="75"/>
      <c r="AN626" s="152"/>
      <c r="AO626" s="152"/>
      <c r="AP626" s="152"/>
      <c r="AQ626" s="73"/>
      <c r="AR626" s="152"/>
      <c r="AS626" s="152"/>
      <c r="AT626" s="152"/>
      <c r="AU626" s="73"/>
      <c r="AV626" s="73"/>
      <c r="AW626" s="73"/>
      <c r="AX626" s="73"/>
      <c r="BD626" s="24"/>
      <c r="BG626" s="24"/>
      <c r="BJ626" s="24"/>
    </row>
    <row r="627" spans="32:62" ht="15" customHeight="1" x14ac:dyDescent="0.2">
      <c r="AF627" s="151"/>
      <c r="AG627" s="152"/>
      <c r="AH627" s="152"/>
      <c r="AI627" s="152"/>
      <c r="AJ627" s="152"/>
      <c r="AK627" s="75"/>
      <c r="AL627" s="75"/>
      <c r="AM627" s="75"/>
      <c r="AN627" s="152"/>
      <c r="AO627" s="152"/>
      <c r="AP627" s="152"/>
      <c r="AQ627" s="73"/>
      <c r="AR627" s="152"/>
      <c r="AS627" s="152"/>
      <c r="AT627" s="152"/>
      <c r="AU627" s="73"/>
      <c r="AV627" s="73"/>
      <c r="AW627" s="73"/>
      <c r="AX627" s="73"/>
      <c r="BD627" s="24"/>
      <c r="BG627" s="24"/>
      <c r="BJ627" s="24"/>
    </row>
    <row r="628" spans="32:62" ht="15" customHeight="1" x14ac:dyDescent="0.2">
      <c r="AF628" s="151"/>
      <c r="AG628" s="152"/>
      <c r="AH628" s="152"/>
      <c r="AI628" s="152"/>
      <c r="AJ628" s="152"/>
      <c r="AK628" s="75"/>
      <c r="AL628" s="75"/>
      <c r="AM628" s="75"/>
      <c r="AN628" s="152"/>
      <c r="AO628" s="152"/>
      <c r="AP628" s="152"/>
      <c r="AQ628" s="73"/>
      <c r="AR628" s="152"/>
      <c r="AS628" s="152"/>
      <c r="AT628" s="152"/>
      <c r="AU628" s="73"/>
      <c r="AV628" s="73"/>
      <c r="AW628" s="73"/>
      <c r="AX628" s="73"/>
      <c r="BD628" s="24"/>
      <c r="BG628" s="24"/>
      <c r="BJ628" s="24"/>
    </row>
    <row r="629" spans="32:62" ht="15" customHeight="1" x14ac:dyDescent="0.2">
      <c r="AF629" s="151"/>
      <c r="AG629" s="152"/>
      <c r="AH629" s="152"/>
      <c r="AI629" s="152"/>
      <c r="AJ629" s="152"/>
      <c r="AK629" s="75"/>
      <c r="AL629" s="75"/>
      <c r="AM629" s="75"/>
      <c r="AN629" s="152"/>
      <c r="AO629" s="152"/>
      <c r="AP629" s="152"/>
      <c r="AQ629" s="73"/>
      <c r="AR629" s="152"/>
      <c r="AS629" s="152"/>
      <c r="AT629" s="152"/>
      <c r="AU629" s="73"/>
      <c r="AV629" s="73"/>
      <c r="AW629" s="73"/>
      <c r="AX629" s="73"/>
      <c r="BD629" s="24"/>
      <c r="BG629" s="24"/>
      <c r="BJ629" s="24"/>
    </row>
    <row r="630" spans="32:62" ht="15" customHeight="1" x14ac:dyDescent="0.2">
      <c r="AF630" s="151"/>
      <c r="AG630" s="152"/>
      <c r="AH630" s="152"/>
      <c r="AI630" s="152"/>
      <c r="AJ630" s="152"/>
      <c r="AK630" s="75"/>
      <c r="AL630" s="75"/>
      <c r="AM630" s="75"/>
      <c r="AN630" s="152"/>
      <c r="AO630" s="152"/>
      <c r="AP630" s="152"/>
      <c r="AQ630" s="73"/>
      <c r="AR630" s="152"/>
      <c r="AS630" s="152"/>
      <c r="AT630" s="152"/>
      <c r="AU630" s="73"/>
      <c r="AV630" s="73"/>
      <c r="AW630" s="73"/>
      <c r="AX630" s="73"/>
      <c r="BD630" s="24"/>
      <c r="BG630" s="24"/>
      <c r="BJ630" s="24"/>
    </row>
    <row r="631" spans="32:62" ht="15" customHeight="1" x14ac:dyDescent="0.2">
      <c r="AF631" s="151"/>
      <c r="AG631" s="152"/>
      <c r="AH631" s="152"/>
      <c r="AI631" s="152"/>
      <c r="AJ631" s="152"/>
      <c r="AK631" s="75"/>
      <c r="AL631" s="75"/>
      <c r="AM631" s="75"/>
      <c r="AN631" s="152"/>
      <c r="AO631" s="152"/>
      <c r="AP631" s="152"/>
      <c r="AQ631" s="73"/>
      <c r="AR631" s="152"/>
      <c r="AS631" s="152"/>
      <c r="AT631" s="152"/>
      <c r="AU631" s="73"/>
      <c r="AV631" s="73"/>
      <c r="AW631" s="73"/>
      <c r="AX631" s="73"/>
      <c r="BD631" s="24"/>
      <c r="BG631" s="24"/>
      <c r="BJ631" s="24"/>
    </row>
    <row r="632" spans="32:62" ht="15" customHeight="1" x14ac:dyDescent="0.2">
      <c r="AF632" s="151"/>
      <c r="AG632" s="152"/>
      <c r="AH632" s="152"/>
      <c r="AI632" s="152"/>
      <c r="AJ632" s="152"/>
      <c r="AK632" s="75"/>
      <c r="AL632" s="75"/>
      <c r="AM632" s="75"/>
      <c r="AN632" s="152"/>
      <c r="AO632" s="152"/>
      <c r="AP632" s="152"/>
      <c r="AQ632" s="73"/>
      <c r="AR632" s="152"/>
      <c r="AS632" s="152"/>
      <c r="AT632" s="152"/>
      <c r="AU632" s="73"/>
      <c r="AV632" s="73"/>
      <c r="AW632" s="73"/>
      <c r="AX632" s="73"/>
      <c r="BD632" s="24"/>
      <c r="BG632" s="24"/>
      <c r="BJ632" s="24"/>
    </row>
    <row r="633" spans="32:62" ht="15" customHeight="1" x14ac:dyDescent="0.2">
      <c r="AF633" s="151"/>
      <c r="AG633" s="152"/>
      <c r="AH633" s="152"/>
      <c r="AI633" s="152"/>
      <c r="AJ633" s="152"/>
      <c r="AK633" s="75"/>
      <c r="AL633" s="75"/>
      <c r="AM633" s="75"/>
      <c r="AN633" s="152"/>
      <c r="AO633" s="152"/>
      <c r="AP633" s="152"/>
      <c r="AQ633" s="73"/>
      <c r="AR633" s="152"/>
      <c r="AS633" s="152"/>
      <c r="AT633" s="152"/>
      <c r="AU633" s="73"/>
      <c r="AV633" s="73"/>
      <c r="AW633" s="73"/>
      <c r="AX633" s="73"/>
      <c r="BD633" s="24"/>
      <c r="BG633" s="24"/>
      <c r="BJ633" s="24"/>
    </row>
    <row r="634" spans="32:62" ht="15" customHeight="1" x14ac:dyDescent="0.2">
      <c r="AF634" s="151"/>
      <c r="AG634" s="152"/>
      <c r="AH634" s="152"/>
      <c r="AI634" s="152"/>
      <c r="AJ634" s="152"/>
      <c r="AK634" s="75"/>
      <c r="AL634" s="75"/>
      <c r="AM634" s="75"/>
      <c r="AN634" s="152"/>
      <c r="AO634" s="152"/>
      <c r="AP634" s="152"/>
      <c r="AQ634" s="73"/>
      <c r="AR634" s="152"/>
      <c r="AS634" s="152"/>
      <c r="AT634" s="152"/>
      <c r="AU634" s="73"/>
      <c r="AV634" s="73"/>
      <c r="AW634" s="73"/>
      <c r="AX634" s="73"/>
      <c r="BD634" s="24"/>
      <c r="BG634" s="24"/>
      <c r="BJ634" s="24"/>
    </row>
    <row r="635" spans="32:62" ht="15" customHeight="1" x14ac:dyDescent="0.2">
      <c r="AF635" s="151"/>
      <c r="AG635" s="152"/>
      <c r="AH635" s="152"/>
      <c r="AI635" s="152"/>
      <c r="AJ635" s="152"/>
      <c r="AK635" s="75"/>
      <c r="AL635" s="75"/>
      <c r="AM635" s="75"/>
      <c r="AN635" s="152"/>
      <c r="AO635" s="152"/>
      <c r="AP635" s="152"/>
      <c r="AQ635" s="73"/>
      <c r="AR635" s="152"/>
      <c r="AS635" s="152"/>
      <c r="AT635" s="152"/>
      <c r="AU635" s="73"/>
      <c r="AV635" s="73"/>
      <c r="AW635" s="73"/>
      <c r="AX635" s="73"/>
      <c r="BD635" s="24"/>
      <c r="BG635" s="24"/>
      <c r="BJ635" s="24"/>
    </row>
    <row r="636" spans="32:62" ht="15" customHeight="1" x14ac:dyDescent="0.2">
      <c r="AF636" s="151"/>
      <c r="AG636" s="152"/>
      <c r="AH636" s="152"/>
      <c r="AI636" s="152"/>
      <c r="AJ636" s="152"/>
      <c r="AK636" s="75"/>
      <c r="AL636" s="75"/>
      <c r="AM636" s="75"/>
      <c r="AN636" s="152"/>
      <c r="AO636" s="152"/>
      <c r="AP636" s="152"/>
      <c r="AQ636" s="73"/>
      <c r="AR636" s="152"/>
      <c r="AS636" s="152"/>
      <c r="AT636" s="152"/>
      <c r="AU636" s="73"/>
      <c r="AV636" s="73"/>
      <c r="AW636" s="73"/>
      <c r="AX636" s="73"/>
      <c r="BD636" s="24"/>
      <c r="BG636" s="24"/>
      <c r="BJ636" s="24"/>
    </row>
    <row r="637" spans="32:62" ht="15" customHeight="1" x14ac:dyDescent="0.2">
      <c r="AF637" s="151"/>
      <c r="AG637" s="152"/>
      <c r="AH637" s="152"/>
      <c r="AI637" s="152"/>
      <c r="AJ637" s="152"/>
      <c r="AK637" s="75"/>
      <c r="AL637" s="75"/>
      <c r="AM637" s="75"/>
      <c r="AN637" s="152"/>
      <c r="AO637" s="152"/>
      <c r="AP637" s="152"/>
      <c r="AQ637" s="73"/>
      <c r="AR637" s="152"/>
      <c r="AS637" s="152"/>
      <c r="AT637" s="152"/>
      <c r="AU637" s="73"/>
      <c r="AV637" s="73"/>
      <c r="AW637" s="73"/>
      <c r="AX637" s="73"/>
      <c r="BD637" s="24"/>
      <c r="BG637" s="24"/>
      <c r="BJ637" s="24"/>
    </row>
    <row r="638" spans="32:62" ht="15" customHeight="1" x14ac:dyDescent="0.2">
      <c r="AF638" s="151"/>
      <c r="AG638" s="152"/>
      <c r="AH638" s="152"/>
      <c r="AI638" s="152"/>
      <c r="AJ638" s="152"/>
      <c r="AK638" s="75"/>
      <c r="AL638" s="75"/>
      <c r="AM638" s="75"/>
      <c r="AN638" s="152"/>
      <c r="AO638" s="152"/>
      <c r="AP638" s="152"/>
      <c r="AQ638" s="73"/>
      <c r="AR638" s="152"/>
      <c r="AS638" s="152"/>
      <c r="AT638" s="152"/>
      <c r="AU638" s="73"/>
      <c r="AV638" s="73"/>
      <c r="AW638" s="73"/>
      <c r="AX638" s="73"/>
      <c r="BD638" s="24"/>
      <c r="BG638" s="24"/>
      <c r="BJ638" s="24"/>
    </row>
    <row r="639" spans="32:62" ht="15" customHeight="1" x14ac:dyDescent="0.2">
      <c r="AF639" s="151"/>
      <c r="AG639" s="152"/>
      <c r="AH639" s="152"/>
      <c r="AI639" s="152"/>
      <c r="AJ639" s="152"/>
      <c r="AK639" s="75"/>
      <c r="AL639" s="75"/>
      <c r="AM639" s="75"/>
      <c r="AN639" s="152"/>
      <c r="AO639" s="152"/>
      <c r="AP639" s="152"/>
      <c r="AQ639" s="73"/>
      <c r="AR639" s="152"/>
      <c r="AS639" s="152"/>
      <c r="AT639" s="152"/>
      <c r="AU639" s="73"/>
      <c r="AV639" s="73"/>
      <c r="AW639" s="73"/>
      <c r="AX639" s="73"/>
      <c r="BD639" s="24"/>
      <c r="BG639" s="24"/>
      <c r="BJ639" s="24"/>
    </row>
    <row r="640" spans="32:62" ht="15" customHeight="1" x14ac:dyDescent="0.2">
      <c r="AF640" s="151"/>
      <c r="AG640" s="152"/>
      <c r="AH640" s="152"/>
      <c r="AI640" s="152"/>
      <c r="AJ640" s="152"/>
      <c r="AK640" s="75"/>
      <c r="AL640" s="75"/>
      <c r="AM640" s="75"/>
      <c r="AN640" s="152"/>
      <c r="AO640" s="152"/>
      <c r="AP640" s="152"/>
      <c r="AQ640" s="73"/>
      <c r="AR640" s="152"/>
      <c r="AS640" s="152"/>
      <c r="AT640" s="152"/>
      <c r="AU640" s="73"/>
      <c r="AV640" s="73"/>
      <c r="AW640" s="73"/>
      <c r="AX640" s="73"/>
      <c r="BD640" s="24"/>
      <c r="BG640" s="24"/>
      <c r="BJ640" s="24"/>
    </row>
    <row r="641" spans="32:62" ht="15" customHeight="1" x14ac:dyDescent="0.2">
      <c r="AF641" s="151"/>
      <c r="AG641" s="152"/>
      <c r="AH641" s="152"/>
      <c r="AI641" s="152"/>
      <c r="AJ641" s="152"/>
      <c r="AK641" s="75"/>
      <c r="AL641" s="75"/>
      <c r="AM641" s="75"/>
      <c r="AN641" s="152"/>
      <c r="AO641" s="152"/>
      <c r="AP641" s="152"/>
      <c r="AQ641" s="73"/>
      <c r="AR641" s="152"/>
      <c r="AS641" s="152"/>
      <c r="AT641" s="152"/>
      <c r="AU641" s="73"/>
      <c r="AV641" s="73"/>
      <c r="AW641" s="73"/>
      <c r="AX641" s="73"/>
      <c r="BD641" s="24"/>
      <c r="BG641" s="24"/>
      <c r="BJ641" s="24"/>
    </row>
    <row r="642" spans="32:62" ht="15" customHeight="1" x14ac:dyDescent="0.2">
      <c r="AF642" s="151"/>
      <c r="AG642" s="152"/>
      <c r="AH642" s="152"/>
      <c r="AI642" s="152"/>
      <c r="AJ642" s="152"/>
      <c r="AK642" s="75"/>
      <c r="AL642" s="75"/>
      <c r="AM642" s="75"/>
      <c r="AN642" s="152"/>
      <c r="AO642" s="152"/>
      <c r="AP642" s="152"/>
      <c r="AQ642" s="73"/>
      <c r="AR642" s="152"/>
      <c r="AS642" s="152"/>
      <c r="AT642" s="152"/>
      <c r="AU642" s="73"/>
      <c r="AV642" s="73"/>
      <c r="AW642" s="73"/>
      <c r="AX642" s="73"/>
      <c r="BD642" s="24"/>
      <c r="BG642" s="24"/>
      <c r="BJ642" s="24"/>
    </row>
    <row r="643" spans="32:62" ht="15" customHeight="1" x14ac:dyDescent="0.2">
      <c r="AF643" s="151"/>
      <c r="AG643" s="152"/>
      <c r="AH643" s="152"/>
      <c r="AI643" s="152"/>
      <c r="AJ643" s="152"/>
      <c r="AK643" s="75"/>
      <c r="AL643" s="75"/>
      <c r="AM643" s="75"/>
      <c r="AN643" s="152"/>
      <c r="AO643" s="152"/>
      <c r="AP643" s="152"/>
      <c r="AQ643" s="73"/>
      <c r="AR643" s="152"/>
      <c r="AS643" s="152"/>
      <c r="AT643" s="152"/>
      <c r="AU643" s="73"/>
      <c r="AV643" s="73"/>
      <c r="AW643" s="73"/>
      <c r="AX643" s="73"/>
      <c r="BD643" s="24"/>
      <c r="BG643" s="24"/>
      <c r="BJ643" s="24"/>
    </row>
    <row r="644" spans="32:62" ht="15" customHeight="1" x14ac:dyDescent="0.2">
      <c r="AF644" s="151"/>
      <c r="AG644" s="152"/>
      <c r="AH644" s="152"/>
      <c r="AI644" s="152"/>
      <c r="AJ644" s="152"/>
      <c r="AK644" s="75"/>
      <c r="AL644" s="75"/>
      <c r="AM644" s="75"/>
      <c r="AN644" s="152"/>
      <c r="AO644" s="152"/>
      <c r="AP644" s="152"/>
      <c r="AQ644" s="73"/>
      <c r="AR644" s="152"/>
      <c r="AS644" s="152"/>
      <c r="AT644" s="152"/>
      <c r="AU644" s="73"/>
      <c r="AV644" s="73"/>
      <c r="AW644" s="73"/>
      <c r="AX644" s="73"/>
      <c r="BD644" s="24"/>
      <c r="BG644" s="24"/>
      <c r="BJ644" s="24"/>
    </row>
    <row r="645" spans="32:62" ht="15" customHeight="1" x14ac:dyDescent="0.2">
      <c r="AF645" s="151"/>
      <c r="AG645" s="152"/>
      <c r="AH645" s="152"/>
      <c r="AI645" s="152"/>
      <c r="AJ645" s="152"/>
      <c r="AK645" s="75"/>
      <c r="AL645" s="75"/>
      <c r="AM645" s="75"/>
      <c r="AN645" s="152"/>
      <c r="AO645" s="152"/>
      <c r="AP645" s="152"/>
      <c r="AQ645" s="73"/>
      <c r="AR645" s="152"/>
      <c r="AS645" s="152"/>
      <c r="AT645" s="152"/>
      <c r="AU645" s="73"/>
      <c r="AV645" s="73"/>
      <c r="AW645" s="73"/>
      <c r="AX645" s="73"/>
      <c r="BD645" s="24"/>
      <c r="BG645" s="24"/>
      <c r="BJ645" s="24"/>
    </row>
    <row r="646" spans="32:62" ht="15" customHeight="1" x14ac:dyDescent="0.2">
      <c r="AF646" s="151"/>
      <c r="AG646" s="152"/>
      <c r="AH646" s="152"/>
      <c r="AI646" s="152"/>
      <c r="AJ646" s="152"/>
      <c r="AK646" s="75"/>
      <c r="AL646" s="75"/>
      <c r="AM646" s="75"/>
      <c r="AN646" s="152"/>
      <c r="AO646" s="152"/>
      <c r="AP646" s="152"/>
      <c r="AQ646" s="73"/>
      <c r="AR646" s="152"/>
      <c r="AS646" s="152"/>
      <c r="AT646" s="152"/>
      <c r="AU646" s="73"/>
      <c r="AV646" s="73"/>
      <c r="AW646" s="73"/>
      <c r="AX646" s="73"/>
      <c r="BD646" s="24"/>
      <c r="BG646" s="24"/>
      <c r="BJ646" s="24"/>
    </row>
    <row r="647" spans="32:62" ht="15" customHeight="1" x14ac:dyDescent="0.2">
      <c r="AF647" s="151"/>
      <c r="AG647" s="152"/>
      <c r="AH647" s="152"/>
      <c r="AI647" s="152"/>
      <c r="AJ647" s="152"/>
      <c r="AK647" s="75"/>
      <c r="AL647" s="75"/>
      <c r="AM647" s="75"/>
      <c r="AN647" s="152"/>
      <c r="AO647" s="152"/>
      <c r="AP647" s="152"/>
      <c r="AQ647" s="73"/>
      <c r="AR647" s="152"/>
      <c r="AS647" s="152"/>
      <c r="AT647" s="152"/>
      <c r="AU647" s="73"/>
      <c r="AV647" s="73"/>
      <c r="AW647" s="73"/>
      <c r="AX647" s="73"/>
      <c r="BD647" s="24"/>
      <c r="BG647" s="24"/>
      <c r="BJ647" s="24"/>
    </row>
    <row r="648" spans="32:62" ht="15" customHeight="1" x14ac:dyDescent="0.2">
      <c r="AF648" s="151"/>
      <c r="AG648" s="152"/>
      <c r="AH648" s="152"/>
      <c r="AI648" s="152"/>
      <c r="AJ648" s="152"/>
      <c r="AK648" s="75"/>
      <c r="AL648" s="75"/>
      <c r="AM648" s="75"/>
      <c r="AN648" s="152"/>
      <c r="AO648" s="152"/>
      <c r="AP648" s="152"/>
      <c r="AQ648" s="73"/>
      <c r="AR648" s="152"/>
      <c r="AS648" s="152"/>
      <c r="AT648" s="152"/>
      <c r="AU648" s="73"/>
      <c r="AV648" s="73"/>
      <c r="AW648" s="73"/>
      <c r="AX648" s="73"/>
      <c r="BD648" s="24"/>
      <c r="BG648" s="24"/>
      <c r="BJ648" s="24"/>
    </row>
    <row r="649" spans="32:62" ht="15" customHeight="1" x14ac:dyDescent="0.2">
      <c r="AF649" s="151"/>
      <c r="AG649" s="152"/>
      <c r="AH649" s="152"/>
      <c r="AI649" s="152"/>
      <c r="AJ649" s="152"/>
      <c r="AK649" s="75"/>
      <c r="AL649" s="75"/>
      <c r="AM649" s="75"/>
      <c r="AN649" s="152"/>
      <c r="AO649" s="152"/>
      <c r="AP649" s="152"/>
      <c r="AQ649" s="73"/>
      <c r="AR649" s="152"/>
      <c r="AS649" s="152"/>
      <c r="AT649" s="152"/>
      <c r="AU649" s="73"/>
      <c r="AV649" s="73"/>
      <c r="AW649" s="73"/>
      <c r="AX649" s="73"/>
      <c r="BD649" s="24"/>
      <c r="BG649" s="24"/>
      <c r="BJ649" s="24"/>
    </row>
    <row r="650" spans="32:62" ht="15" customHeight="1" x14ac:dyDescent="0.2">
      <c r="AF650" s="151"/>
      <c r="AG650" s="152"/>
      <c r="AH650" s="152"/>
      <c r="AI650" s="152"/>
      <c r="AJ650" s="152"/>
      <c r="AK650" s="75"/>
      <c r="AL650" s="75"/>
      <c r="AM650" s="75"/>
      <c r="AN650" s="152"/>
      <c r="AO650" s="152"/>
      <c r="AP650" s="152"/>
      <c r="AQ650" s="73"/>
      <c r="AR650" s="152"/>
      <c r="AS650" s="152"/>
      <c r="AT650" s="152"/>
      <c r="AU650" s="73"/>
      <c r="AV650" s="73"/>
      <c r="AW650" s="73"/>
      <c r="AX650" s="73"/>
      <c r="BD650" s="24"/>
      <c r="BG650" s="24"/>
      <c r="BJ650" s="24"/>
    </row>
    <row r="651" spans="32:62" ht="15" customHeight="1" x14ac:dyDescent="0.2">
      <c r="AF651" s="151"/>
      <c r="AG651" s="152"/>
      <c r="AH651" s="152"/>
      <c r="AI651" s="152"/>
      <c r="AJ651" s="152"/>
      <c r="AK651" s="75"/>
      <c r="AL651" s="75"/>
      <c r="AM651" s="75"/>
      <c r="AN651" s="152"/>
      <c r="AO651" s="152"/>
      <c r="AP651" s="152"/>
      <c r="AQ651" s="73"/>
      <c r="AR651" s="152"/>
      <c r="AS651" s="152"/>
      <c r="AT651" s="152"/>
      <c r="AU651" s="73"/>
      <c r="AV651" s="73"/>
      <c r="AW651" s="73"/>
      <c r="AX651" s="73"/>
      <c r="BD651" s="24"/>
      <c r="BG651" s="24"/>
      <c r="BJ651" s="24"/>
    </row>
    <row r="652" spans="32:62" ht="15" customHeight="1" x14ac:dyDescent="0.2">
      <c r="AF652" s="151"/>
      <c r="AG652" s="152"/>
      <c r="AH652" s="152"/>
      <c r="AI652" s="152"/>
      <c r="AJ652" s="152"/>
      <c r="AK652" s="75"/>
      <c r="AL652" s="75"/>
      <c r="AM652" s="75"/>
      <c r="AN652" s="152"/>
      <c r="AO652" s="152"/>
      <c r="AP652" s="152"/>
      <c r="AQ652" s="73"/>
      <c r="AR652" s="152"/>
      <c r="AS652" s="152"/>
      <c r="AT652" s="152"/>
      <c r="AU652" s="73"/>
      <c r="AV652" s="73"/>
      <c r="AW652" s="73"/>
      <c r="AX652" s="73"/>
      <c r="BD652" s="24"/>
      <c r="BG652" s="24"/>
      <c r="BJ652" s="24"/>
    </row>
    <row r="653" spans="32:62" ht="15" customHeight="1" x14ac:dyDescent="0.2">
      <c r="AF653" s="151"/>
      <c r="AG653" s="152"/>
      <c r="AH653" s="152"/>
      <c r="AI653" s="152"/>
      <c r="AJ653" s="152"/>
      <c r="AK653" s="75"/>
      <c r="AL653" s="75"/>
      <c r="AM653" s="75"/>
      <c r="AN653" s="152"/>
      <c r="AO653" s="152"/>
      <c r="AP653" s="152"/>
      <c r="AQ653" s="73"/>
      <c r="AR653" s="152"/>
      <c r="AS653" s="152"/>
      <c r="AT653" s="152"/>
      <c r="AU653" s="73"/>
      <c r="AV653" s="73"/>
      <c r="AW653" s="73"/>
      <c r="AX653" s="73"/>
      <c r="BD653" s="24"/>
      <c r="BG653" s="24"/>
      <c r="BJ653" s="24"/>
    </row>
    <row r="654" spans="32:62" ht="15" customHeight="1" x14ac:dyDescent="0.2">
      <c r="AF654" s="151"/>
      <c r="AG654" s="152"/>
      <c r="AH654" s="152"/>
      <c r="AI654" s="152"/>
      <c r="AJ654" s="152"/>
      <c r="AK654" s="75"/>
      <c r="AL654" s="75"/>
      <c r="AM654" s="75"/>
      <c r="AN654" s="152"/>
      <c r="AO654" s="152"/>
      <c r="AP654" s="152"/>
      <c r="AQ654" s="73"/>
      <c r="AR654" s="152"/>
      <c r="AS654" s="152"/>
      <c r="AT654" s="152"/>
      <c r="AU654" s="73"/>
      <c r="AV654" s="73"/>
      <c r="AW654" s="73"/>
      <c r="AX654" s="73"/>
      <c r="BD654" s="24"/>
      <c r="BG654" s="24"/>
      <c r="BJ654" s="24"/>
    </row>
    <row r="655" spans="32:62" ht="15" customHeight="1" x14ac:dyDescent="0.2">
      <c r="AF655" s="151"/>
      <c r="AG655" s="152"/>
      <c r="AH655" s="152"/>
      <c r="AI655" s="152"/>
      <c r="AJ655" s="152"/>
      <c r="AK655" s="75"/>
      <c r="AL655" s="75"/>
      <c r="AM655" s="75"/>
      <c r="AN655" s="152"/>
      <c r="AO655" s="152"/>
      <c r="AP655" s="152"/>
      <c r="AQ655" s="73"/>
      <c r="AR655" s="152"/>
      <c r="AS655" s="152"/>
      <c r="AT655" s="152"/>
      <c r="AU655" s="73"/>
      <c r="AV655" s="73"/>
      <c r="AW655" s="73"/>
      <c r="AX655" s="73"/>
      <c r="BD655" s="24"/>
      <c r="BG655" s="24"/>
      <c r="BJ655" s="24"/>
    </row>
    <row r="656" spans="32:62" ht="15" customHeight="1" x14ac:dyDescent="0.2">
      <c r="AF656" s="151"/>
      <c r="AG656" s="152"/>
      <c r="AH656" s="152"/>
      <c r="AI656" s="152"/>
      <c r="AJ656" s="152"/>
      <c r="AK656" s="75"/>
      <c r="AL656" s="75"/>
      <c r="AM656" s="75"/>
      <c r="AN656" s="152"/>
      <c r="AO656" s="152"/>
      <c r="AP656" s="152"/>
      <c r="AQ656" s="73"/>
      <c r="AR656" s="152"/>
      <c r="AS656" s="152"/>
      <c r="AT656" s="152"/>
      <c r="AU656" s="73"/>
      <c r="AV656" s="73"/>
      <c r="AW656" s="73"/>
      <c r="AX656" s="73"/>
      <c r="BD656" s="24"/>
      <c r="BG656" s="24"/>
      <c r="BJ656" s="24"/>
    </row>
    <row r="657" spans="32:62" ht="15" customHeight="1" x14ac:dyDescent="0.2">
      <c r="AF657" s="151"/>
      <c r="AG657" s="152"/>
      <c r="AH657" s="152"/>
      <c r="AI657" s="152"/>
      <c r="AJ657" s="152"/>
      <c r="AK657" s="75"/>
      <c r="AL657" s="75"/>
      <c r="AM657" s="75"/>
      <c r="AN657" s="152"/>
      <c r="AO657" s="152"/>
      <c r="AP657" s="152"/>
      <c r="AQ657" s="73"/>
      <c r="AR657" s="152"/>
      <c r="AS657" s="152"/>
      <c r="AT657" s="152"/>
      <c r="AU657" s="73"/>
      <c r="AV657" s="73"/>
      <c r="AW657" s="73"/>
      <c r="AX657" s="73"/>
      <c r="BD657" s="24"/>
      <c r="BG657" s="24"/>
      <c r="BJ657" s="24"/>
    </row>
    <row r="658" spans="32:62" ht="15" customHeight="1" x14ac:dyDescent="0.2">
      <c r="AF658" s="151"/>
      <c r="AG658" s="152"/>
      <c r="AH658" s="152"/>
      <c r="AI658" s="152"/>
      <c r="AJ658" s="152"/>
      <c r="AK658" s="75"/>
      <c r="AL658" s="75"/>
      <c r="AM658" s="75"/>
      <c r="AN658" s="152"/>
      <c r="AO658" s="152"/>
      <c r="AP658" s="152"/>
      <c r="AQ658" s="73"/>
      <c r="AR658" s="152"/>
      <c r="AS658" s="152"/>
      <c r="AT658" s="152"/>
      <c r="AU658" s="73"/>
      <c r="AV658" s="73"/>
      <c r="AW658" s="73"/>
      <c r="AX658" s="73"/>
      <c r="BD658" s="24"/>
      <c r="BG658" s="24"/>
      <c r="BJ658" s="24"/>
    </row>
    <row r="659" spans="32:62" ht="15" customHeight="1" x14ac:dyDescent="0.2">
      <c r="AF659" s="151"/>
      <c r="AG659" s="152"/>
      <c r="AH659" s="152"/>
      <c r="AI659" s="152"/>
      <c r="AJ659" s="152"/>
      <c r="AK659" s="75"/>
      <c r="AL659" s="75"/>
      <c r="AM659" s="75"/>
      <c r="AN659" s="152"/>
      <c r="AO659" s="152"/>
      <c r="AP659" s="152"/>
      <c r="AQ659" s="73"/>
      <c r="AR659" s="152"/>
      <c r="AS659" s="152"/>
      <c r="AT659" s="152"/>
      <c r="AU659" s="73"/>
      <c r="AV659" s="73"/>
      <c r="AW659" s="73"/>
      <c r="AX659" s="73"/>
      <c r="BD659" s="24"/>
      <c r="BG659" s="24"/>
      <c r="BJ659" s="24"/>
    </row>
    <row r="660" spans="32:62" ht="15" customHeight="1" x14ac:dyDescent="0.2">
      <c r="AF660" s="151"/>
      <c r="AG660" s="152"/>
      <c r="AH660" s="152"/>
      <c r="AI660" s="152"/>
      <c r="AJ660" s="152"/>
      <c r="AK660" s="75"/>
      <c r="AL660" s="75"/>
      <c r="AM660" s="75"/>
      <c r="AN660" s="152"/>
      <c r="AO660" s="152"/>
      <c r="AP660" s="152"/>
      <c r="AQ660" s="73"/>
      <c r="AR660" s="152"/>
      <c r="AS660" s="152"/>
      <c r="AT660" s="152"/>
      <c r="AU660" s="73"/>
      <c r="AV660" s="73"/>
      <c r="AW660" s="73"/>
      <c r="AX660" s="73"/>
      <c r="BD660" s="24"/>
      <c r="BG660" s="24"/>
      <c r="BJ660" s="24"/>
    </row>
    <row r="661" spans="32:62" ht="15" customHeight="1" x14ac:dyDescent="0.2">
      <c r="AF661" s="151"/>
      <c r="AG661" s="152"/>
      <c r="AH661" s="152"/>
      <c r="AI661" s="152"/>
      <c r="AJ661" s="152"/>
      <c r="AK661" s="75"/>
      <c r="AL661" s="75"/>
      <c r="AM661" s="75"/>
      <c r="AN661" s="152"/>
      <c r="AO661" s="152"/>
      <c r="AP661" s="152"/>
      <c r="AQ661" s="73"/>
      <c r="AR661" s="152"/>
      <c r="AS661" s="152"/>
      <c r="AT661" s="152"/>
      <c r="AU661" s="73"/>
      <c r="AV661" s="73"/>
      <c r="AW661" s="73"/>
      <c r="AX661" s="73"/>
      <c r="BD661" s="24"/>
      <c r="BG661" s="24"/>
      <c r="BJ661" s="24"/>
    </row>
    <row r="662" spans="32:62" ht="15" customHeight="1" x14ac:dyDescent="0.2">
      <c r="AF662" s="151"/>
      <c r="AG662" s="152"/>
      <c r="AH662" s="152"/>
      <c r="AI662" s="152"/>
      <c r="AJ662" s="152"/>
      <c r="AK662" s="75"/>
      <c r="AL662" s="75"/>
      <c r="AM662" s="75"/>
      <c r="AN662" s="152"/>
      <c r="AO662" s="152"/>
      <c r="AP662" s="152"/>
      <c r="AQ662" s="73"/>
      <c r="AR662" s="152"/>
      <c r="AS662" s="152"/>
      <c r="AT662" s="152"/>
      <c r="AU662" s="73"/>
      <c r="AV662" s="73"/>
      <c r="AW662" s="73"/>
      <c r="AX662" s="73"/>
      <c r="BD662" s="24"/>
      <c r="BG662" s="24"/>
      <c r="BJ662" s="24"/>
    </row>
    <row r="663" spans="32:62" ht="15" customHeight="1" x14ac:dyDescent="0.2">
      <c r="AF663" s="151"/>
      <c r="AG663" s="152"/>
      <c r="AH663" s="152"/>
      <c r="AI663" s="152"/>
      <c r="AJ663" s="152"/>
      <c r="AK663" s="75"/>
      <c r="AL663" s="75"/>
      <c r="AM663" s="75"/>
      <c r="AN663" s="152"/>
      <c r="AO663" s="152"/>
      <c r="AP663" s="152"/>
      <c r="AQ663" s="73"/>
      <c r="AR663" s="152"/>
      <c r="AS663" s="152"/>
      <c r="AT663" s="152"/>
      <c r="AU663" s="73"/>
      <c r="AV663" s="73"/>
      <c r="AW663" s="73"/>
      <c r="AX663" s="73"/>
      <c r="BD663" s="24"/>
      <c r="BG663" s="24"/>
      <c r="BJ663" s="24"/>
    </row>
    <row r="664" spans="32:62" ht="15" customHeight="1" x14ac:dyDescent="0.2">
      <c r="AF664" s="151"/>
      <c r="AG664" s="152"/>
      <c r="AH664" s="152"/>
      <c r="AI664" s="152"/>
      <c r="AJ664" s="152"/>
      <c r="AK664" s="75"/>
      <c r="AL664" s="75"/>
      <c r="AM664" s="75"/>
      <c r="AN664" s="152"/>
      <c r="AO664" s="152"/>
      <c r="AP664" s="152"/>
      <c r="AQ664" s="73"/>
      <c r="AR664" s="152"/>
      <c r="AS664" s="152"/>
      <c r="AT664" s="152"/>
      <c r="AU664" s="73"/>
      <c r="AV664" s="73"/>
      <c r="AW664" s="73"/>
      <c r="AX664" s="73"/>
      <c r="BD664" s="24"/>
      <c r="BG664" s="24"/>
      <c r="BJ664" s="24"/>
    </row>
    <row r="665" spans="32:62" ht="15" customHeight="1" x14ac:dyDescent="0.2">
      <c r="AF665" s="151"/>
      <c r="AG665" s="152"/>
      <c r="AH665" s="152"/>
      <c r="AI665" s="152"/>
      <c r="AJ665" s="152"/>
      <c r="AK665" s="75"/>
      <c r="AL665" s="75"/>
      <c r="AM665" s="75"/>
      <c r="AN665" s="152"/>
      <c r="AO665" s="152"/>
      <c r="AP665" s="152"/>
      <c r="AQ665" s="73"/>
      <c r="AR665" s="152"/>
      <c r="AS665" s="152"/>
      <c r="AT665" s="152"/>
      <c r="AU665" s="73"/>
      <c r="AV665" s="73"/>
      <c r="AW665" s="73"/>
      <c r="AX665" s="73"/>
      <c r="BD665" s="24"/>
      <c r="BG665" s="24"/>
      <c r="BJ665" s="24"/>
    </row>
    <row r="666" spans="32:62" ht="15" customHeight="1" x14ac:dyDescent="0.2">
      <c r="AF666" s="151"/>
      <c r="AG666" s="152"/>
      <c r="AH666" s="152"/>
      <c r="AI666" s="152"/>
      <c r="AJ666" s="152"/>
      <c r="AK666" s="75"/>
      <c r="AL666" s="75"/>
      <c r="AM666" s="75"/>
      <c r="AN666" s="152"/>
      <c r="AO666" s="152"/>
      <c r="AP666" s="152"/>
      <c r="AQ666" s="73"/>
      <c r="AR666" s="152"/>
      <c r="AS666" s="152"/>
      <c r="AT666" s="152"/>
      <c r="AU666" s="73"/>
      <c r="AV666" s="73"/>
      <c r="AW666" s="73"/>
      <c r="AX666" s="73"/>
      <c r="BD666" s="24"/>
      <c r="BG666" s="24"/>
      <c r="BJ666" s="24"/>
    </row>
    <row r="667" spans="32:62" ht="15" customHeight="1" x14ac:dyDescent="0.2">
      <c r="AF667" s="151"/>
      <c r="AG667" s="152"/>
      <c r="AH667" s="152"/>
      <c r="AI667" s="152"/>
      <c r="AJ667" s="152"/>
      <c r="AK667" s="75"/>
      <c r="AL667" s="75"/>
      <c r="AM667" s="75"/>
      <c r="AN667" s="152"/>
      <c r="AO667" s="152"/>
      <c r="AP667" s="152"/>
      <c r="AQ667" s="73"/>
      <c r="AR667" s="152"/>
      <c r="AS667" s="152"/>
      <c r="AT667" s="152"/>
      <c r="AU667" s="73"/>
      <c r="AV667" s="73"/>
      <c r="AW667" s="73"/>
      <c r="AX667" s="73"/>
      <c r="BD667" s="24"/>
      <c r="BG667" s="24"/>
      <c r="BJ667" s="24"/>
    </row>
    <row r="668" spans="32:62" ht="15" customHeight="1" x14ac:dyDescent="0.2">
      <c r="AF668" s="151"/>
      <c r="AG668" s="152"/>
      <c r="AH668" s="152"/>
      <c r="AI668" s="152"/>
      <c r="AJ668" s="152"/>
      <c r="AK668" s="75"/>
      <c r="AL668" s="75"/>
      <c r="AM668" s="75"/>
      <c r="AN668" s="152"/>
      <c r="AO668" s="152"/>
      <c r="AP668" s="152"/>
      <c r="AQ668" s="73"/>
      <c r="AR668" s="152"/>
      <c r="AS668" s="152"/>
      <c r="AT668" s="152"/>
      <c r="AU668" s="73"/>
      <c r="AV668" s="73"/>
      <c r="AW668" s="73"/>
      <c r="AX668" s="73"/>
      <c r="BD668" s="24"/>
      <c r="BG668" s="24"/>
      <c r="BJ668" s="24"/>
    </row>
    <row r="669" spans="32:62" ht="15" customHeight="1" x14ac:dyDescent="0.2">
      <c r="AF669" s="151"/>
      <c r="AG669" s="152"/>
      <c r="AH669" s="152"/>
      <c r="AI669" s="152"/>
      <c r="AJ669" s="152"/>
      <c r="AK669" s="75"/>
      <c r="AL669" s="75"/>
      <c r="AM669" s="75"/>
      <c r="AN669" s="152"/>
      <c r="AO669" s="152"/>
      <c r="AP669" s="152"/>
      <c r="AQ669" s="73"/>
      <c r="AR669" s="152"/>
      <c r="AS669" s="152"/>
      <c r="AT669" s="152"/>
      <c r="AU669" s="73"/>
      <c r="AV669" s="73"/>
      <c r="AW669" s="73"/>
      <c r="AX669" s="73"/>
      <c r="BD669" s="24"/>
      <c r="BG669" s="24"/>
      <c r="BJ669" s="24"/>
    </row>
    <row r="670" spans="32:62" ht="15" customHeight="1" x14ac:dyDescent="0.2">
      <c r="AF670" s="151"/>
      <c r="AG670" s="152"/>
      <c r="AH670" s="152"/>
      <c r="AI670" s="152"/>
      <c r="AJ670" s="152"/>
      <c r="AK670" s="75"/>
      <c r="AL670" s="75"/>
      <c r="AM670" s="75"/>
      <c r="AN670" s="152"/>
      <c r="AO670" s="152"/>
      <c r="AP670" s="152"/>
      <c r="AQ670" s="73"/>
      <c r="AR670" s="152"/>
      <c r="AS670" s="152"/>
      <c r="AT670" s="152"/>
      <c r="AU670" s="73"/>
      <c r="AV670" s="73"/>
      <c r="AW670" s="73"/>
      <c r="AX670" s="73"/>
      <c r="BD670" s="24"/>
      <c r="BG670" s="24"/>
      <c r="BJ670" s="24"/>
    </row>
    <row r="671" spans="32:62" ht="15" customHeight="1" x14ac:dyDescent="0.2">
      <c r="AF671" s="151"/>
      <c r="AG671" s="152"/>
      <c r="AH671" s="152"/>
      <c r="AI671" s="152"/>
      <c r="AJ671" s="152"/>
      <c r="AK671" s="75"/>
      <c r="AL671" s="75"/>
      <c r="AM671" s="75"/>
      <c r="AN671" s="152"/>
      <c r="AO671" s="152"/>
      <c r="AP671" s="152"/>
      <c r="AQ671" s="73"/>
      <c r="AR671" s="152"/>
      <c r="AS671" s="152"/>
      <c r="AT671" s="152"/>
      <c r="AU671" s="73"/>
      <c r="AV671" s="73"/>
      <c r="AW671" s="73"/>
      <c r="AX671" s="73"/>
      <c r="BD671" s="24"/>
      <c r="BG671" s="24"/>
      <c r="BJ671" s="24"/>
    </row>
    <row r="672" spans="32:62" ht="15" customHeight="1" x14ac:dyDescent="0.2">
      <c r="AF672" s="151"/>
      <c r="AG672" s="152"/>
      <c r="AH672" s="152"/>
      <c r="AI672" s="152"/>
      <c r="AJ672" s="152"/>
      <c r="AK672" s="75"/>
      <c r="AL672" s="75"/>
      <c r="AM672" s="75"/>
      <c r="AN672" s="152"/>
      <c r="AO672" s="152"/>
      <c r="AP672" s="152"/>
      <c r="AQ672" s="73"/>
      <c r="AR672" s="152"/>
      <c r="AS672" s="152"/>
      <c r="AT672" s="152"/>
      <c r="AU672" s="73"/>
      <c r="AV672" s="73"/>
      <c r="AW672" s="73"/>
      <c r="AX672" s="73"/>
      <c r="BD672" s="24"/>
      <c r="BG672" s="24"/>
      <c r="BJ672" s="24"/>
    </row>
    <row r="673" spans="32:62" ht="15" customHeight="1" x14ac:dyDescent="0.2">
      <c r="AF673" s="151"/>
      <c r="AG673" s="152"/>
      <c r="AH673" s="152"/>
      <c r="AI673" s="152"/>
      <c r="AJ673" s="152"/>
      <c r="AK673" s="75"/>
      <c r="AL673" s="75"/>
      <c r="AM673" s="75"/>
      <c r="AN673" s="152"/>
      <c r="AO673" s="152"/>
      <c r="AP673" s="152"/>
      <c r="AQ673" s="73"/>
      <c r="AR673" s="152"/>
      <c r="AS673" s="152"/>
      <c r="AT673" s="152"/>
      <c r="AU673" s="73"/>
      <c r="AV673" s="73"/>
      <c r="AW673" s="73"/>
      <c r="AX673" s="73"/>
      <c r="BD673" s="24"/>
      <c r="BG673" s="24"/>
      <c r="BJ673" s="24"/>
    </row>
    <row r="674" spans="32:62" ht="15" customHeight="1" x14ac:dyDescent="0.2">
      <c r="AF674" s="151"/>
      <c r="AG674" s="152"/>
      <c r="AH674" s="152"/>
      <c r="AI674" s="152"/>
      <c r="AJ674" s="152"/>
      <c r="AK674" s="75"/>
      <c r="AL674" s="75"/>
      <c r="AM674" s="75"/>
      <c r="AN674" s="152"/>
      <c r="AO674" s="152"/>
      <c r="AP674" s="152"/>
      <c r="AQ674" s="73"/>
      <c r="AR674" s="152"/>
      <c r="AS674" s="152"/>
      <c r="AT674" s="152"/>
      <c r="AU674" s="73"/>
      <c r="AV674" s="73"/>
      <c r="AW674" s="73"/>
      <c r="AX674" s="73"/>
      <c r="BD674" s="24"/>
      <c r="BG674" s="24"/>
      <c r="BJ674" s="24"/>
    </row>
    <row r="675" spans="32:62" ht="15" customHeight="1" x14ac:dyDescent="0.2">
      <c r="AF675" s="151"/>
      <c r="AG675" s="152"/>
      <c r="AH675" s="152"/>
      <c r="AI675" s="152"/>
      <c r="AJ675" s="152"/>
      <c r="AK675" s="75"/>
      <c r="AL675" s="75"/>
      <c r="AM675" s="75"/>
      <c r="AN675" s="152"/>
      <c r="AO675" s="152"/>
      <c r="AP675" s="152"/>
      <c r="AQ675" s="73"/>
      <c r="AR675" s="152"/>
      <c r="AS675" s="152"/>
      <c r="AT675" s="152"/>
      <c r="AU675" s="73"/>
      <c r="AV675" s="73"/>
      <c r="AW675" s="73"/>
      <c r="AX675" s="73"/>
      <c r="BD675" s="24"/>
      <c r="BG675" s="24"/>
      <c r="BJ675" s="24"/>
    </row>
    <row r="676" spans="32:62" ht="15" customHeight="1" x14ac:dyDescent="0.2">
      <c r="AF676" s="151"/>
      <c r="AG676" s="152"/>
      <c r="AH676" s="152"/>
      <c r="AI676" s="152"/>
      <c r="AJ676" s="152"/>
      <c r="AK676" s="75"/>
      <c r="AL676" s="75"/>
      <c r="AM676" s="75"/>
      <c r="AN676" s="152"/>
      <c r="AO676" s="152"/>
      <c r="AP676" s="152"/>
      <c r="AQ676" s="73"/>
      <c r="AR676" s="152"/>
      <c r="AS676" s="152"/>
      <c r="AT676" s="152"/>
      <c r="AU676" s="73"/>
      <c r="AV676" s="73"/>
      <c r="AW676" s="73"/>
      <c r="AX676" s="73"/>
      <c r="BD676" s="24"/>
      <c r="BG676" s="24"/>
      <c r="BJ676" s="24"/>
    </row>
    <row r="677" spans="32:62" ht="15" customHeight="1" x14ac:dyDescent="0.2">
      <c r="AF677" s="151"/>
      <c r="AG677" s="152"/>
      <c r="AH677" s="152"/>
      <c r="AI677" s="152"/>
      <c r="AJ677" s="152"/>
      <c r="AK677" s="75"/>
      <c r="AL677" s="75"/>
      <c r="AM677" s="75"/>
      <c r="AN677" s="152"/>
      <c r="AO677" s="152"/>
      <c r="AP677" s="152"/>
      <c r="AQ677" s="73"/>
      <c r="AR677" s="152"/>
      <c r="AS677" s="152"/>
      <c r="AT677" s="152"/>
      <c r="AU677" s="73"/>
      <c r="AV677" s="73"/>
      <c r="AW677" s="73"/>
      <c r="AX677" s="73"/>
      <c r="BD677" s="24"/>
      <c r="BG677" s="24"/>
      <c r="BJ677" s="24"/>
    </row>
    <row r="678" spans="32:62" ht="15" customHeight="1" x14ac:dyDescent="0.2">
      <c r="AF678" s="151"/>
      <c r="AG678" s="152"/>
      <c r="AH678" s="152"/>
      <c r="AI678" s="152"/>
      <c r="AJ678" s="152"/>
      <c r="AK678" s="75"/>
      <c r="AL678" s="75"/>
      <c r="AM678" s="75"/>
      <c r="AN678" s="152"/>
      <c r="AO678" s="152"/>
      <c r="AP678" s="152"/>
      <c r="AQ678" s="73"/>
      <c r="AR678" s="152"/>
      <c r="AS678" s="152"/>
      <c r="AT678" s="152"/>
      <c r="AU678" s="73"/>
      <c r="AV678" s="73"/>
      <c r="AW678" s="73"/>
      <c r="AX678" s="73"/>
      <c r="BD678" s="24"/>
      <c r="BG678" s="24"/>
      <c r="BJ678" s="24"/>
    </row>
    <row r="679" spans="32:62" ht="15" customHeight="1" x14ac:dyDescent="0.2">
      <c r="AF679" s="151"/>
      <c r="AG679" s="152"/>
      <c r="AH679" s="152"/>
      <c r="AI679" s="152"/>
      <c r="AJ679" s="152"/>
      <c r="AK679" s="75"/>
      <c r="AL679" s="75"/>
      <c r="AM679" s="75"/>
      <c r="AN679" s="152"/>
      <c r="AO679" s="152"/>
      <c r="AP679" s="152"/>
      <c r="AQ679" s="73"/>
      <c r="AR679" s="152"/>
      <c r="AS679" s="152"/>
      <c r="AT679" s="152"/>
      <c r="AU679" s="73"/>
      <c r="AV679" s="73"/>
      <c r="AW679" s="73"/>
      <c r="AX679" s="73"/>
      <c r="BD679" s="24"/>
      <c r="BG679" s="24"/>
      <c r="BJ679" s="24"/>
    </row>
    <row r="680" spans="32:62" ht="15" customHeight="1" x14ac:dyDescent="0.2">
      <c r="AF680" s="151"/>
      <c r="AG680" s="152"/>
      <c r="AH680" s="152"/>
      <c r="AI680" s="152"/>
      <c r="AJ680" s="152"/>
      <c r="AK680" s="75"/>
      <c r="AL680" s="75"/>
      <c r="AM680" s="75"/>
      <c r="AN680" s="152"/>
      <c r="AO680" s="152"/>
      <c r="AP680" s="152"/>
      <c r="AQ680" s="73"/>
      <c r="AR680" s="152"/>
      <c r="AS680" s="152"/>
      <c r="AT680" s="152"/>
      <c r="AU680" s="73"/>
      <c r="AV680" s="73"/>
      <c r="AW680" s="73"/>
      <c r="AX680" s="73"/>
      <c r="BD680" s="24"/>
      <c r="BG680" s="24"/>
      <c r="BJ680" s="24"/>
    </row>
    <row r="681" spans="32:62" ht="15" customHeight="1" x14ac:dyDescent="0.2">
      <c r="AF681" s="151"/>
      <c r="AG681" s="152"/>
      <c r="AH681" s="152"/>
      <c r="AI681" s="152"/>
      <c r="AJ681" s="152"/>
      <c r="AK681" s="75"/>
      <c r="AL681" s="75"/>
      <c r="AM681" s="75"/>
      <c r="AN681" s="152"/>
      <c r="AO681" s="152"/>
      <c r="AP681" s="152"/>
      <c r="AQ681" s="73"/>
      <c r="AR681" s="152"/>
      <c r="AS681" s="152"/>
      <c r="AT681" s="152"/>
      <c r="AU681" s="73"/>
      <c r="AV681" s="73"/>
      <c r="AW681" s="73"/>
      <c r="AX681" s="73"/>
      <c r="BD681" s="24"/>
      <c r="BG681" s="24"/>
      <c r="BJ681" s="24"/>
    </row>
    <row r="682" spans="32:62" ht="15" customHeight="1" x14ac:dyDescent="0.2">
      <c r="AF682" s="151"/>
      <c r="AG682" s="152"/>
      <c r="AH682" s="152"/>
      <c r="AI682" s="152"/>
      <c r="AJ682" s="152"/>
      <c r="AK682" s="75"/>
      <c r="AL682" s="75"/>
      <c r="AM682" s="75"/>
      <c r="AN682" s="152"/>
      <c r="AO682" s="152"/>
      <c r="AP682" s="152"/>
      <c r="AQ682" s="73"/>
      <c r="AR682" s="152"/>
      <c r="AS682" s="152"/>
      <c r="AT682" s="152"/>
      <c r="AU682" s="73"/>
      <c r="AV682" s="73"/>
      <c r="AW682" s="73"/>
      <c r="AX682" s="73"/>
      <c r="BD682" s="24"/>
      <c r="BG682" s="24"/>
      <c r="BJ682" s="24"/>
    </row>
    <row r="683" spans="32:62" ht="15" customHeight="1" x14ac:dyDescent="0.2">
      <c r="AF683" s="151"/>
      <c r="AG683" s="152"/>
      <c r="AH683" s="152"/>
      <c r="AI683" s="152"/>
      <c r="AJ683" s="152"/>
      <c r="AK683" s="75"/>
      <c r="AL683" s="75"/>
      <c r="AM683" s="75"/>
      <c r="AN683" s="152"/>
      <c r="AO683" s="152"/>
      <c r="AP683" s="152"/>
      <c r="AQ683" s="73"/>
      <c r="AR683" s="152"/>
      <c r="AS683" s="152"/>
      <c r="AT683" s="152"/>
      <c r="AU683" s="73"/>
      <c r="AV683" s="73"/>
      <c r="AW683" s="73"/>
      <c r="AX683" s="73"/>
      <c r="BD683" s="24"/>
      <c r="BG683" s="24"/>
      <c r="BJ683" s="24"/>
    </row>
    <row r="684" spans="32:62" ht="15" customHeight="1" x14ac:dyDescent="0.2">
      <c r="AF684" s="151"/>
      <c r="AG684" s="152"/>
      <c r="AH684" s="152"/>
      <c r="AI684" s="152"/>
      <c r="AJ684" s="152"/>
      <c r="AK684" s="75"/>
      <c r="AL684" s="75"/>
      <c r="AM684" s="75"/>
      <c r="AN684" s="152"/>
      <c r="AO684" s="152"/>
      <c r="AP684" s="152"/>
      <c r="AQ684" s="73"/>
      <c r="AR684" s="152"/>
      <c r="AS684" s="152"/>
      <c r="AT684" s="152"/>
      <c r="AU684" s="73"/>
      <c r="AV684" s="73"/>
      <c r="AW684" s="73"/>
      <c r="AX684" s="73"/>
      <c r="BD684" s="24"/>
      <c r="BG684" s="24"/>
      <c r="BJ684" s="24"/>
    </row>
    <row r="685" spans="32:62" ht="15" customHeight="1" x14ac:dyDescent="0.2">
      <c r="AF685" s="151"/>
      <c r="AG685" s="152"/>
      <c r="AH685" s="152"/>
      <c r="AI685" s="152"/>
      <c r="AJ685" s="152"/>
      <c r="AK685" s="75"/>
      <c r="AL685" s="75"/>
      <c r="AM685" s="75"/>
      <c r="AN685" s="152"/>
      <c r="AO685" s="152"/>
      <c r="AP685" s="152"/>
      <c r="AQ685" s="73"/>
      <c r="AR685" s="152"/>
      <c r="AS685" s="152"/>
      <c r="AT685" s="152"/>
      <c r="AU685" s="73"/>
      <c r="AV685" s="73"/>
      <c r="AW685" s="73"/>
      <c r="AX685" s="73"/>
      <c r="BD685" s="24"/>
      <c r="BG685" s="24"/>
      <c r="BJ685" s="24"/>
    </row>
    <row r="686" spans="32:62" ht="15" customHeight="1" x14ac:dyDescent="0.2">
      <c r="AF686" s="151"/>
      <c r="AG686" s="152"/>
      <c r="AH686" s="152"/>
      <c r="AI686" s="152"/>
      <c r="AJ686" s="152"/>
      <c r="AK686" s="75"/>
      <c r="AL686" s="75"/>
      <c r="AM686" s="75"/>
      <c r="AN686" s="152"/>
      <c r="AO686" s="152"/>
      <c r="AP686" s="152"/>
      <c r="AQ686" s="73"/>
      <c r="AR686" s="152"/>
      <c r="AS686" s="152"/>
      <c r="AT686" s="152"/>
      <c r="AU686" s="73"/>
      <c r="AV686" s="73"/>
      <c r="AW686" s="73"/>
      <c r="AX686" s="73"/>
      <c r="BD686" s="24"/>
      <c r="BG686" s="24"/>
      <c r="BJ686" s="24"/>
    </row>
    <row r="687" spans="32:62" ht="15" customHeight="1" x14ac:dyDescent="0.2">
      <c r="AF687" s="151"/>
      <c r="AG687" s="152"/>
      <c r="AH687" s="152"/>
      <c r="AI687" s="152"/>
      <c r="AJ687" s="152"/>
      <c r="AK687" s="75"/>
      <c r="AL687" s="75"/>
      <c r="AM687" s="75"/>
      <c r="AN687" s="152"/>
      <c r="AO687" s="152"/>
      <c r="AP687" s="152"/>
      <c r="AQ687" s="73"/>
      <c r="AR687" s="152"/>
      <c r="AS687" s="152"/>
      <c r="AT687" s="152"/>
      <c r="AU687" s="73"/>
      <c r="AV687" s="73"/>
      <c r="AW687" s="73"/>
      <c r="AX687" s="73"/>
      <c r="BD687" s="24"/>
      <c r="BG687" s="24"/>
      <c r="BJ687" s="24"/>
    </row>
    <row r="688" spans="32:62" ht="15" customHeight="1" x14ac:dyDescent="0.2">
      <c r="AF688" s="151"/>
      <c r="AG688" s="152"/>
      <c r="AH688" s="152"/>
      <c r="AI688" s="152"/>
      <c r="AJ688" s="152"/>
      <c r="AK688" s="75"/>
      <c r="AL688" s="75"/>
      <c r="AM688" s="75"/>
      <c r="AN688" s="152"/>
      <c r="AO688" s="152"/>
      <c r="AP688" s="152"/>
      <c r="AQ688" s="73"/>
      <c r="AR688" s="152"/>
      <c r="AS688" s="152"/>
      <c r="AT688" s="152"/>
      <c r="AU688" s="73"/>
      <c r="AV688" s="73"/>
      <c r="AW688" s="73"/>
      <c r="AX688" s="73"/>
      <c r="BD688" s="24"/>
      <c r="BG688" s="24"/>
      <c r="BJ688" s="24"/>
    </row>
    <row r="689" spans="32:62" ht="15" customHeight="1" x14ac:dyDescent="0.2">
      <c r="AF689" s="151"/>
      <c r="AG689" s="152"/>
      <c r="AH689" s="152"/>
      <c r="AI689" s="152"/>
      <c r="AJ689" s="152"/>
      <c r="AK689" s="75"/>
      <c r="AL689" s="75"/>
      <c r="AM689" s="75"/>
      <c r="AN689" s="152"/>
      <c r="AO689" s="152"/>
      <c r="AP689" s="152"/>
      <c r="AQ689" s="73"/>
      <c r="AR689" s="152"/>
      <c r="AS689" s="152"/>
      <c r="AT689" s="152"/>
      <c r="AU689" s="73"/>
      <c r="AV689" s="73"/>
      <c r="AW689" s="73"/>
      <c r="AX689" s="73"/>
      <c r="BD689" s="24"/>
      <c r="BG689" s="24"/>
      <c r="BJ689" s="24"/>
    </row>
    <row r="690" spans="32:62" ht="15" customHeight="1" x14ac:dyDescent="0.2">
      <c r="AF690" s="151"/>
      <c r="AG690" s="152"/>
      <c r="AH690" s="152"/>
      <c r="AI690" s="152"/>
      <c r="AJ690" s="152"/>
      <c r="AK690" s="75"/>
      <c r="AL690" s="75"/>
      <c r="AM690" s="75"/>
      <c r="AN690" s="152"/>
      <c r="AO690" s="152"/>
      <c r="AP690" s="152"/>
      <c r="AQ690" s="73"/>
      <c r="AR690" s="152"/>
      <c r="AS690" s="152"/>
      <c r="AT690" s="152"/>
      <c r="AU690" s="73"/>
      <c r="AV690" s="73"/>
      <c r="AW690" s="73"/>
      <c r="AX690" s="73"/>
      <c r="BD690" s="24"/>
      <c r="BG690" s="24"/>
      <c r="BJ690" s="24"/>
    </row>
    <row r="691" spans="32:62" ht="15" customHeight="1" x14ac:dyDescent="0.2">
      <c r="AF691" s="151"/>
      <c r="AG691" s="152"/>
      <c r="AH691" s="152"/>
      <c r="AI691" s="152"/>
      <c r="AJ691" s="152"/>
      <c r="AK691" s="75"/>
      <c r="AL691" s="75"/>
      <c r="AM691" s="75"/>
      <c r="AN691" s="152"/>
      <c r="AO691" s="152"/>
      <c r="AP691" s="152"/>
      <c r="AQ691" s="73"/>
      <c r="AR691" s="152"/>
      <c r="AS691" s="152"/>
      <c r="AT691" s="152"/>
      <c r="AU691" s="73"/>
      <c r="AV691" s="73"/>
      <c r="AW691" s="73"/>
      <c r="AX691" s="73"/>
      <c r="BD691" s="24"/>
      <c r="BG691" s="24"/>
      <c r="BJ691" s="24"/>
    </row>
    <row r="692" spans="32:62" ht="15" customHeight="1" x14ac:dyDescent="0.2">
      <c r="AF692" s="151"/>
      <c r="AG692" s="152"/>
      <c r="AH692" s="152"/>
      <c r="AI692" s="152"/>
      <c r="AJ692" s="152"/>
      <c r="AK692" s="75"/>
      <c r="AL692" s="75"/>
      <c r="AM692" s="75"/>
      <c r="AN692" s="152"/>
      <c r="AO692" s="152"/>
      <c r="AP692" s="152"/>
      <c r="AQ692" s="73"/>
      <c r="AR692" s="152"/>
      <c r="AS692" s="152"/>
      <c r="AT692" s="152"/>
      <c r="AU692" s="73"/>
      <c r="AV692" s="73"/>
      <c r="AW692" s="73"/>
      <c r="AX692" s="73"/>
      <c r="BD692" s="24"/>
      <c r="BG692" s="24"/>
      <c r="BJ692" s="24"/>
    </row>
    <row r="693" spans="32:62" ht="15" customHeight="1" x14ac:dyDescent="0.2">
      <c r="AF693" s="151"/>
      <c r="AG693" s="152"/>
      <c r="AH693" s="152"/>
      <c r="AI693" s="152"/>
      <c r="AJ693" s="152"/>
      <c r="AK693" s="75"/>
      <c r="AL693" s="75"/>
      <c r="AM693" s="75"/>
      <c r="AN693" s="152"/>
      <c r="AO693" s="152"/>
      <c r="AP693" s="152"/>
      <c r="AQ693" s="73"/>
      <c r="AR693" s="152"/>
      <c r="AS693" s="152"/>
      <c r="AT693" s="152"/>
      <c r="AU693" s="73"/>
      <c r="AV693" s="73"/>
      <c r="AW693" s="73"/>
      <c r="AX693" s="73"/>
      <c r="BD693" s="24"/>
      <c r="BG693" s="24"/>
      <c r="BJ693" s="24"/>
    </row>
    <row r="694" spans="32:62" ht="15" customHeight="1" x14ac:dyDescent="0.2">
      <c r="AF694" s="151"/>
      <c r="AG694" s="152"/>
      <c r="AH694" s="152"/>
      <c r="AI694" s="152"/>
      <c r="AJ694" s="152"/>
      <c r="AK694" s="75"/>
      <c r="AL694" s="75"/>
      <c r="AM694" s="75"/>
      <c r="AN694" s="152"/>
      <c r="AO694" s="152"/>
      <c r="AP694" s="152"/>
      <c r="AQ694" s="73"/>
      <c r="AR694" s="152"/>
      <c r="AS694" s="152"/>
      <c r="AT694" s="152"/>
      <c r="AU694" s="73"/>
      <c r="AV694" s="73"/>
      <c r="AW694" s="73"/>
      <c r="AX694" s="73"/>
      <c r="BD694" s="24"/>
      <c r="BG694" s="24"/>
      <c r="BJ694" s="24"/>
    </row>
    <row r="695" spans="32:62" ht="15" customHeight="1" x14ac:dyDescent="0.2">
      <c r="AF695" s="151"/>
      <c r="AG695" s="152"/>
      <c r="AH695" s="152"/>
      <c r="AI695" s="152"/>
      <c r="AJ695" s="152"/>
      <c r="AK695" s="75"/>
      <c r="AL695" s="75"/>
      <c r="AM695" s="75"/>
      <c r="AN695" s="152"/>
      <c r="AO695" s="152"/>
      <c r="AP695" s="152"/>
      <c r="AQ695" s="73"/>
      <c r="AR695" s="152"/>
      <c r="AS695" s="152"/>
      <c r="AT695" s="152"/>
      <c r="AU695" s="73"/>
      <c r="AV695" s="73"/>
      <c r="AW695" s="73"/>
      <c r="AX695" s="73"/>
      <c r="BD695" s="24"/>
      <c r="BG695" s="24"/>
      <c r="BJ695" s="24"/>
    </row>
    <row r="696" spans="32:62" ht="15" customHeight="1" x14ac:dyDescent="0.2">
      <c r="AF696" s="151"/>
      <c r="AG696" s="152"/>
      <c r="AH696" s="152"/>
      <c r="AI696" s="152"/>
      <c r="AJ696" s="152"/>
      <c r="AK696" s="75"/>
      <c r="AL696" s="75"/>
      <c r="AM696" s="75"/>
      <c r="AN696" s="152"/>
      <c r="AO696" s="152"/>
      <c r="AP696" s="152"/>
      <c r="AQ696" s="73"/>
      <c r="AR696" s="152"/>
      <c r="AS696" s="152"/>
      <c r="AT696" s="152"/>
      <c r="AU696" s="73"/>
      <c r="AV696" s="73"/>
      <c r="AW696" s="73"/>
      <c r="AX696" s="73"/>
      <c r="BD696" s="24"/>
      <c r="BG696" s="24"/>
      <c r="BJ696" s="24"/>
    </row>
    <row r="697" spans="32:62" ht="15" customHeight="1" x14ac:dyDescent="0.2">
      <c r="AF697" s="151"/>
      <c r="AG697" s="152"/>
      <c r="AH697" s="152"/>
      <c r="AI697" s="152"/>
      <c r="AJ697" s="152"/>
      <c r="AK697" s="75"/>
      <c r="AL697" s="75"/>
      <c r="AM697" s="75"/>
      <c r="AN697" s="152"/>
      <c r="AO697" s="152"/>
      <c r="AP697" s="152"/>
      <c r="AQ697" s="73"/>
      <c r="AR697" s="152"/>
      <c r="AS697" s="152"/>
      <c r="AT697" s="152"/>
      <c r="AU697" s="73"/>
      <c r="AV697" s="73"/>
      <c r="AW697" s="73"/>
      <c r="AX697" s="73"/>
      <c r="BD697" s="24"/>
      <c r="BG697" s="24"/>
      <c r="BJ697" s="24"/>
    </row>
    <row r="698" spans="32:62" ht="15" customHeight="1" x14ac:dyDescent="0.2">
      <c r="AF698" s="151"/>
      <c r="AG698" s="152"/>
      <c r="AH698" s="152"/>
      <c r="AI698" s="152"/>
      <c r="AJ698" s="152"/>
      <c r="AK698" s="75"/>
      <c r="AL698" s="75"/>
      <c r="AM698" s="75"/>
      <c r="AN698" s="152"/>
      <c r="AO698" s="152"/>
      <c r="AP698" s="152"/>
      <c r="AQ698" s="73"/>
      <c r="AR698" s="152"/>
      <c r="AS698" s="152"/>
      <c r="AT698" s="152"/>
      <c r="AU698" s="73"/>
      <c r="AV698" s="73"/>
      <c r="AW698" s="73"/>
      <c r="AX698" s="73"/>
      <c r="BD698" s="24"/>
      <c r="BG698" s="24"/>
      <c r="BJ698" s="24"/>
    </row>
    <row r="699" spans="32:62" ht="15" customHeight="1" x14ac:dyDescent="0.2">
      <c r="AF699" s="151"/>
      <c r="AG699" s="152"/>
      <c r="AH699" s="152"/>
      <c r="AI699" s="152"/>
      <c r="AJ699" s="152"/>
      <c r="AK699" s="75"/>
      <c r="AL699" s="75"/>
      <c r="AM699" s="75"/>
      <c r="AN699" s="152"/>
      <c r="AO699" s="152"/>
      <c r="AP699" s="152"/>
      <c r="AQ699" s="73"/>
      <c r="AR699" s="152"/>
      <c r="AS699" s="152"/>
      <c r="AT699" s="152"/>
      <c r="AU699" s="73"/>
      <c r="AV699" s="73"/>
      <c r="AW699" s="73"/>
      <c r="AX699" s="73"/>
      <c r="BD699" s="24"/>
      <c r="BG699" s="24"/>
      <c r="BJ699" s="24"/>
    </row>
    <row r="700" spans="32:62" ht="15" customHeight="1" x14ac:dyDescent="0.2">
      <c r="AF700" s="151"/>
      <c r="AG700" s="152"/>
      <c r="AH700" s="152"/>
      <c r="AI700" s="152"/>
      <c r="AJ700" s="152"/>
      <c r="AK700" s="75"/>
      <c r="AL700" s="75"/>
      <c r="AM700" s="75"/>
      <c r="AN700" s="152"/>
      <c r="AO700" s="152"/>
      <c r="AP700" s="152"/>
      <c r="AQ700" s="73"/>
      <c r="AR700" s="152"/>
      <c r="AS700" s="152"/>
      <c r="AT700" s="152"/>
      <c r="AU700" s="73"/>
      <c r="AV700" s="73"/>
      <c r="AW700" s="73"/>
      <c r="AX700" s="73"/>
      <c r="BD700" s="24"/>
      <c r="BG700" s="24"/>
      <c r="BJ700" s="24"/>
    </row>
    <row r="701" spans="32:62" ht="15" customHeight="1" x14ac:dyDescent="0.2">
      <c r="AF701" s="151"/>
      <c r="AG701" s="152"/>
      <c r="AH701" s="152"/>
      <c r="AI701" s="152"/>
      <c r="AJ701" s="152"/>
      <c r="AK701" s="75"/>
      <c r="AL701" s="75"/>
      <c r="AM701" s="75"/>
      <c r="AN701" s="152"/>
      <c r="AO701" s="152"/>
      <c r="AP701" s="152"/>
      <c r="AQ701" s="73"/>
      <c r="AR701" s="152"/>
      <c r="AS701" s="152"/>
      <c r="AT701" s="152"/>
      <c r="AU701" s="73"/>
      <c r="AV701" s="73"/>
      <c r="AW701" s="73"/>
      <c r="AX701" s="73"/>
      <c r="BD701" s="24"/>
      <c r="BG701" s="24"/>
      <c r="BJ701" s="24"/>
    </row>
    <row r="702" spans="32:62" ht="15" customHeight="1" x14ac:dyDescent="0.2">
      <c r="AF702" s="151"/>
      <c r="AG702" s="152"/>
      <c r="AH702" s="152"/>
      <c r="AI702" s="152"/>
      <c r="AJ702" s="152"/>
      <c r="AK702" s="75"/>
      <c r="AL702" s="75"/>
      <c r="AM702" s="75"/>
      <c r="AN702" s="152"/>
      <c r="AO702" s="152"/>
      <c r="AP702" s="152"/>
      <c r="AQ702" s="73"/>
      <c r="AR702" s="152"/>
      <c r="AS702" s="152"/>
      <c r="AT702" s="152"/>
      <c r="AU702" s="73"/>
      <c r="AV702" s="73"/>
      <c r="AW702" s="73"/>
      <c r="AX702" s="73"/>
      <c r="BD702" s="24"/>
      <c r="BG702" s="24"/>
      <c r="BJ702" s="24"/>
    </row>
    <row r="703" spans="32:62" ht="15" customHeight="1" x14ac:dyDescent="0.2">
      <c r="AF703" s="151"/>
      <c r="AG703" s="152"/>
      <c r="AH703" s="152"/>
      <c r="AI703" s="152"/>
      <c r="AJ703" s="152"/>
      <c r="AK703" s="75"/>
      <c r="AL703" s="75"/>
      <c r="AM703" s="75"/>
      <c r="AN703" s="152"/>
      <c r="AO703" s="152"/>
      <c r="AP703" s="152"/>
      <c r="AQ703" s="73"/>
      <c r="AR703" s="152"/>
      <c r="AS703" s="152"/>
      <c r="AT703" s="152"/>
      <c r="AU703" s="73"/>
      <c r="AV703" s="73"/>
      <c r="AW703" s="73"/>
      <c r="AX703" s="73"/>
      <c r="BD703" s="24"/>
      <c r="BG703" s="24"/>
      <c r="BJ703" s="24"/>
    </row>
    <row r="704" spans="32:62" ht="15" customHeight="1" x14ac:dyDescent="0.2">
      <c r="AF704" s="151"/>
      <c r="AG704" s="152"/>
      <c r="AH704" s="152"/>
      <c r="AI704" s="152"/>
      <c r="AJ704" s="152"/>
      <c r="AK704" s="75"/>
      <c r="AL704" s="75"/>
      <c r="AM704" s="75"/>
      <c r="AN704" s="152"/>
      <c r="AO704" s="152"/>
      <c r="AP704" s="152"/>
      <c r="AQ704" s="73"/>
      <c r="AR704" s="152"/>
      <c r="AS704" s="152"/>
      <c r="AT704" s="152"/>
      <c r="AU704" s="73"/>
      <c r="AV704" s="73"/>
      <c r="AW704" s="73"/>
      <c r="AX704" s="73"/>
      <c r="BD704" s="24"/>
      <c r="BG704" s="24"/>
      <c r="BJ704" s="24"/>
    </row>
    <row r="705" spans="32:62" ht="15" customHeight="1" x14ac:dyDescent="0.2">
      <c r="AF705" s="151"/>
      <c r="AG705" s="152"/>
      <c r="AH705" s="152"/>
      <c r="AI705" s="152"/>
      <c r="AJ705" s="152"/>
      <c r="AK705" s="75"/>
      <c r="AL705" s="75"/>
      <c r="AM705" s="75"/>
      <c r="AN705" s="152"/>
      <c r="AO705" s="152"/>
      <c r="AP705" s="152"/>
      <c r="AQ705" s="73"/>
      <c r="AR705" s="152"/>
      <c r="AS705" s="152"/>
      <c r="AT705" s="152"/>
      <c r="AU705" s="73"/>
      <c r="AV705" s="73"/>
      <c r="AW705" s="73"/>
      <c r="AX705" s="73"/>
      <c r="BD705" s="24"/>
      <c r="BG705" s="24"/>
      <c r="BJ705" s="24"/>
    </row>
    <row r="706" spans="32:62" ht="15" customHeight="1" x14ac:dyDescent="0.2">
      <c r="AF706" s="151"/>
      <c r="AG706" s="152"/>
      <c r="AH706" s="152"/>
      <c r="AI706" s="152"/>
      <c r="AJ706" s="152"/>
      <c r="AK706" s="75"/>
      <c r="AL706" s="75"/>
      <c r="AM706" s="75"/>
      <c r="AN706" s="152"/>
      <c r="AO706" s="152"/>
      <c r="AP706" s="152"/>
      <c r="AQ706" s="73"/>
      <c r="AR706" s="152"/>
      <c r="AS706" s="152"/>
      <c r="AT706" s="152"/>
      <c r="AU706" s="73"/>
      <c r="AV706" s="73"/>
      <c r="AW706" s="73"/>
      <c r="AX706" s="73"/>
      <c r="BD706" s="24"/>
      <c r="BG706" s="24"/>
      <c r="BJ706" s="24"/>
    </row>
    <row r="707" spans="32:62" ht="15" customHeight="1" x14ac:dyDescent="0.2">
      <c r="AF707" s="151"/>
      <c r="AG707" s="152"/>
      <c r="AH707" s="152"/>
      <c r="AI707" s="152"/>
      <c r="AJ707" s="152"/>
      <c r="AK707" s="75"/>
      <c r="AL707" s="75"/>
      <c r="AM707" s="75"/>
      <c r="AN707" s="152"/>
      <c r="AO707" s="152"/>
      <c r="AP707" s="152"/>
      <c r="AQ707" s="73"/>
      <c r="AR707" s="152"/>
      <c r="AS707" s="152"/>
      <c r="AT707" s="152"/>
      <c r="AU707" s="73"/>
      <c r="AV707" s="73"/>
      <c r="AW707" s="73"/>
      <c r="AX707" s="73"/>
      <c r="BD707" s="24"/>
      <c r="BG707" s="24"/>
      <c r="BJ707" s="24"/>
    </row>
    <row r="708" spans="32:62" ht="15" customHeight="1" x14ac:dyDescent="0.2">
      <c r="AF708" s="151"/>
      <c r="AG708" s="152"/>
      <c r="AH708" s="152"/>
      <c r="AI708" s="152"/>
      <c r="AJ708" s="152"/>
      <c r="AK708" s="75"/>
      <c r="AL708" s="75"/>
      <c r="AM708" s="75"/>
      <c r="AN708" s="152"/>
      <c r="AO708" s="152"/>
      <c r="AP708" s="152"/>
      <c r="AQ708" s="73"/>
      <c r="AR708" s="152"/>
      <c r="AS708" s="152"/>
      <c r="AT708" s="152"/>
      <c r="AU708" s="73"/>
      <c r="AV708" s="73"/>
      <c r="AW708" s="73"/>
      <c r="AX708" s="73"/>
      <c r="BD708" s="24"/>
      <c r="BG708" s="24"/>
      <c r="BJ708" s="24"/>
    </row>
    <row r="709" spans="32:62" ht="15" customHeight="1" x14ac:dyDescent="0.2">
      <c r="AF709" s="151"/>
      <c r="AG709" s="152"/>
      <c r="AH709" s="152"/>
      <c r="AI709" s="152"/>
      <c r="AJ709" s="152"/>
      <c r="AK709" s="75"/>
      <c r="AL709" s="75"/>
      <c r="AM709" s="75"/>
      <c r="AN709" s="152"/>
      <c r="AO709" s="152"/>
      <c r="AP709" s="152"/>
      <c r="AQ709" s="73"/>
      <c r="AR709" s="152"/>
      <c r="AS709" s="152"/>
      <c r="AT709" s="152"/>
      <c r="AU709" s="73"/>
      <c r="AV709" s="73"/>
      <c r="AW709" s="73"/>
      <c r="AX709" s="73"/>
      <c r="BD709" s="24"/>
      <c r="BG709" s="24"/>
      <c r="BJ709" s="24"/>
    </row>
    <row r="710" spans="32:62" ht="15" customHeight="1" x14ac:dyDescent="0.2">
      <c r="AF710" s="151"/>
      <c r="AG710" s="152"/>
      <c r="AH710" s="152"/>
      <c r="AI710" s="152"/>
      <c r="AJ710" s="152"/>
      <c r="AK710" s="75"/>
      <c r="AL710" s="75"/>
      <c r="AM710" s="75"/>
      <c r="AN710" s="152"/>
      <c r="AO710" s="152"/>
      <c r="AP710" s="152"/>
      <c r="AQ710" s="73"/>
      <c r="AR710" s="152"/>
      <c r="AS710" s="152"/>
      <c r="AT710" s="152"/>
      <c r="AU710" s="73"/>
      <c r="AV710" s="73"/>
      <c r="AW710" s="73"/>
      <c r="AX710" s="73"/>
      <c r="BD710" s="24"/>
      <c r="BG710" s="24"/>
      <c r="BJ710" s="24"/>
    </row>
    <row r="711" spans="32:62" ht="15" customHeight="1" x14ac:dyDescent="0.2">
      <c r="AF711" s="151"/>
      <c r="AG711" s="152"/>
      <c r="AH711" s="152"/>
      <c r="AI711" s="152"/>
      <c r="AJ711" s="152"/>
      <c r="AK711" s="75"/>
      <c r="AL711" s="75"/>
      <c r="AM711" s="75"/>
      <c r="AN711" s="152"/>
      <c r="AO711" s="152"/>
      <c r="AP711" s="152"/>
      <c r="AQ711" s="73"/>
      <c r="AR711" s="152"/>
      <c r="AS711" s="152"/>
      <c r="AT711" s="152"/>
      <c r="AU711" s="73"/>
      <c r="AV711" s="73"/>
      <c r="AW711" s="73"/>
      <c r="AX711" s="73"/>
      <c r="BD711" s="24"/>
      <c r="BG711" s="24"/>
      <c r="BJ711" s="24"/>
    </row>
    <row r="712" spans="32:62" ht="15" customHeight="1" x14ac:dyDescent="0.2">
      <c r="AF712" s="151"/>
      <c r="AG712" s="152"/>
      <c r="AH712" s="152"/>
      <c r="AI712" s="152"/>
      <c r="AJ712" s="152"/>
      <c r="AK712" s="75"/>
      <c r="AL712" s="75"/>
      <c r="AM712" s="75"/>
      <c r="AN712" s="152"/>
      <c r="AO712" s="152"/>
      <c r="AP712" s="152"/>
      <c r="AQ712" s="73"/>
      <c r="AR712" s="152"/>
      <c r="AS712" s="152"/>
      <c r="AT712" s="152"/>
      <c r="AU712" s="73"/>
      <c r="AV712" s="73"/>
      <c r="AW712" s="73"/>
      <c r="AX712" s="73"/>
      <c r="BD712" s="24"/>
      <c r="BG712" s="24"/>
      <c r="BJ712" s="24"/>
    </row>
    <row r="713" spans="32:62" ht="15" customHeight="1" x14ac:dyDescent="0.2">
      <c r="AF713" s="151"/>
      <c r="AG713" s="152"/>
      <c r="AH713" s="152"/>
      <c r="AI713" s="152"/>
      <c r="AJ713" s="152"/>
      <c r="AK713" s="75"/>
      <c r="AL713" s="75"/>
      <c r="AM713" s="75"/>
      <c r="AN713" s="152"/>
      <c r="AO713" s="152"/>
      <c r="AP713" s="152"/>
      <c r="AQ713" s="73"/>
      <c r="AR713" s="152"/>
      <c r="AS713" s="152"/>
      <c r="AT713" s="152"/>
      <c r="AU713" s="73"/>
      <c r="AV713" s="73"/>
      <c r="AW713" s="73"/>
      <c r="AX713" s="73"/>
      <c r="BD713" s="24"/>
      <c r="BG713" s="24"/>
      <c r="BJ713" s="24"/>
    </row>
    <row r="714" spans="32:62" ht="15" customHeight="1" x14ac:dyDescent="0.2">
      <c r="AF714" s="151"/>
      <c r="AG714" s="152"/>
      <c r="AH714" s="152"/>
      <c r="AI714" s="152"/>
      <c r="AJ714" s="152"/>
      <c r="AK714" s="75"/>
      <c r="AL714" s="75"/>
      <c r="AM714" s="75"/>
      <c r="AN714" s="152"/>
      <c r="AO714" s="152"/>
      <c r="AP714" s="152"/>
      <c r="AQ714" s="73"/>
      <c r="AR714" s="152"/>
      <c r="AS714" s="152"/>
      <c r="AT714" s="152"/>
      <c r="AU714" s="73"/>
      <c r="AV714" s="73"/>
      <c r="AW714" s="73"/>
      <c r="AX714" s="73"/>
      <c r="BD714" s="24"/>
      <c r="BG714" s="24"/>
      <c r="BJ714" s="24"/>
    </row>
    <row r="715" spans="32:62" ht="15" customHeight="1" x14ac:dyDescent="0.2">
      <c r="AF715" s="151"/>
      <c r="AG715" s="152"/>
      <c r="AH715" s="152"/>
      <c r="AI715" s="152"/>
      <c r="AJ715" s="152"/>
      <c r="AK715" s="75"/>
      <c r="AL715" s="75"/>
      <c r="AM715" s="75"/>
      <c r="AN715" s="152"/>
      <c r="AO715" s="152"/>
      <c r="AP715" s="152"/>
      <c r="AQ715" s="73"/>
      <c r="AR715" s="152"/>
      <c r="AS715" s="152"/>
      <c r="AT715" s="152"/>
      <c r="AU715" s="73"/>
      <c r="AV715" s="73"/>
      <c r="AW715" s="73"/>
      <c r="AX715" s="73"/>
      <c r="BD715" s="24"/>
      <c r="BG715" s="24"/>
      <c r="BJ715" s="24"/>
    </row>
    <row r="716" spans="32:62" ht="15" customHeight="1" x14ac:dyDescent="0.2">
      <c r="AF716" s="151"/>
      <c r="AG716" s="152"/>
      <c r="AH716" s="152"/>
      <c r="AI716" s="152"/>
      <c r="AJ716" s="152"/>
      <c r="AK716" s="75"/>
      <c r="AL716" s="75"/>
      <c r="AM716" s="75"/>
      <c r="AN716" s="152"/>
      <c r="AO716" s="152"/>
      <c r="AP716" s="152"/>
      <c r="AQ716" s="73"/>
      <c r="AR716" s="152"/>
      <c r="AS716" s="152"/>
      <c r="AT716" s="152"/>
      <c r="AU716" s="73"/>
      <c r="AV716" s="73"/>
      <c r="AW716" s="73"/>
      <c r="AX716" s="73"/>
      <c r="BD716" s="24"/>
      <c r="BG716" s="24"/>
      <c r="BJ716" s="24"/>
    </row>
    <row r="717" spans="32:62" ht="15" customHeight="1" x14ac:dyDescent="0.2">
      <c r="AF717" s="151"/>
      <c r="AG717" s="152"/>
      <c r="AH717" s="152"/>
      <c r="AI717" s="152"/>
      <c r="AJ717" s="152"/>
      <c r="AK717" s="75"/>
      <c r="AL717" s="75"/>
      <c r="AM717" s="75"/>
      <c r="AN717" s="152"/>
      <c r="AO717" s="152"/>
      <c r="AP717" s="152"/>
      <c r="AQ717" s="73"/>
      <c r="AR717" s="152"/>
      <c r="AS717" s="152"/>
      <c r="AT717" s="152"/>
      <c r="AU717" s="73"/>
      <c r="AV717" s="73"/>
      <c r="AW717" s="73"/>
      <c r="AX717" s="73"/>
      <c r="BD717" s="24"/>
      <c r="BG717" s="24"/>
      <c r="BJ717" s="24"/>
    </row>
    <row r="718" spans="32:62" ht="15" customHeight="1" x14ac:dyDescent="0.2">
      <c r="AF718" s="151"/>
      <c r="AG718" s="152"/>
      <c r="AH718" s="152"/>
      <c r="AI718" s="152"/>
      <c r="AJ718" s="152"/>
      <c r="AK718" s="75"/>
      <c r="AL718" s="75"/>
      <c r="AM718" s="75"/>
      <c r="AN718" s="152"/>
      <c r="AO718" s="152"/>
      <c r="AP718" s="152"/>
      <c r="AQ718" s="73"/>
      <c r="AR718" s="152"/>
      <c r="AS718" s="152"/>
      <c r="AT718" s="152"/>
      <c r="AU718" s="73"/>
      <c r="AV718" s="73"/>
      <c r="AW718" s="73"/>
      <c r="AX718" s="73"/>
      <c r="BD718" s="24"/>
      <c r="BG718" s="24"/>
      <c r="BJ718" s="24"/>
    </row>
    <row r="719" spans="32:62" ht="15" customHeight="1" x14ac:dyDescent="0.2">
      <c r="AF719" s="151"/>
      <c r="AG719" s="152"/>
      <c r="AH719" s="152"/>
      <c r="AI719" s="152"/>
      <c r="AJ719" s="152"/>
      <c r="AK719" s="75"/>
      <c r="AL719" s="75"/>
      <c r="AM719" s="75"/>
      <c r="AN719" s="152"/>
      <c r="AO719" s="152"/>
      <c r="AP719" s="152"/>
      <c r="AQ719" s="73"/>
      <c r="AR719" s="152"/>
      <c r="AS719" s="152"/>
      <c r="AT719" s="152"/>
      <c r="AU719" s="73"/>
      <c r="AV719" s="73"/>
      <c r="AW719" s="73"/>
      <c r="AX719" s="73"/>
      <c r="BD719" s="24"/>
      <c r="BG719" s="24"/>
      <c r="BJ719" s="24"/>
    </row>
    <row r="720" spans="32:62" ht="15" customHeight="1" x14ac:dyDescent="0.2">
      <c r="AF720" s="151"/>
      <c r="AG720" s="152"/>
      <c r="AH720" s="152"/>
      <c r="AI720" s="152"/>
      <c r="AJ720" s="152"/>
      <c r="AK720" s="75"/>
      <c r="AL720" s="75"/>
      <c r="AM720" s="75"/>
      <c r="AN720" s="152"/>
      <c r="AO720" s="152"/>
      <c r="AP720" s="152"/>
      <c r="AQ720" s="73"/>
      <c r="AR720" s="152"/>
      <c r="AS720" s="152"/>
      <c r="AT720" s="152"/>
      <c r="AU720" s="73"/>
      <c r="AV720" s="73"/>
      <c r="AW720" s="73"/>
      <c r="AX720" s="73"/>
      <c r="BD720" s="24"/>
      <c r="BG720" s="24"/>
      <c r="BJ720" s="24"/>
    </row>
    <row r="721" spans="32:62" ht="15" customHeight="1" x14ac:dyDescent="0.2">
      <c r="AF721" s="151"/>
      <c r="AG721" s="152"/>
      <c r="AH721" s="152"/>
      <c r="AI721" s="152"/>
      <c r="AJ721" s="152"/>
      <c r="AK721" s="75"/>
      <c r="AL721" s="75"/>
      <c r="AM721" s="75"/>
      <c r="AN721" s="152"/>
      <c r="AO721" s="152"/>
      <c r="AP721" s="152"/>
      <c r="AQ721" s="73"/>
      <c r="AR721" s="152"/>
      <c r="AS721" s="152"/>
      <c r="AT721" s="152"/>
      <c r="AU721" s="73"/>
      <c r="AV721" s="73"/>
      <c r="AW721" s="73"/>
      <c r="AX721" s="73"/>
      <c r="BD721" s="24"/>
      <c r="BG721" s="24"/>
      <c r="BJ721" s="24"/>
    </row>
    <row r="722" spans="32:62" ht="15" customHeight="1" x14ac:dyDescent="0.2">
      <c r="AF722" s="151"/>
      <c r="AG722" s="152"/>
      <c r="AH722" s="152"/>
      <c r="AI722" s="152"/>
      <c r="AJ722" s="152"/>
      <c r="AK722" s="75"/>
      <c r="AL722" s="75"/>
      <c r="AM722" s="75"/>
      <c r="AN722" s="152"/>
      <c r="AO722" s="152"/>
      <c r="AP722" s="152"/>
      <c r="AQ722" s="73"/>
      <c r="AR722" s="152"/>
      <c r="AS722" s="152"/>
      <c r="AT722" s="152"/>
      <c r="AU722" s="73"/>
      <c r="AV722" s="73"/>
      <c r="AW722" s="73"/>
      <c r="AX722" s="73"/>
      <c r="BD722" s="24"/>
      <c r="BG722" s="24"/>
      <c r="BJ722" s="24"/>
    </row>
    <row r="723" spans="32:62" ht="15" customHeight="1" x14ac:dyDescent="0.2">
      <c r="AF723" s="151"/>
      <c r="AG723" s="152"/>
      <c r="AH723" s="152"/>
      <c r="AI723" s="152"/>
      <c r="AJ723" s="152"/>
      <c r="AK723" s="75"/>
      <c r="AL723" s="75"/>
      <c r="AM723" s="75"/>
      <c r="AN723" s="152"/>
      <c r="AO723" s="152"/>
      <c r="AP723" s="152"/>
      <c r="AQ723" s="73"/>
      <c r="AR723" s="152"/>
      <c r="AS723" s="152"/>
      <c r="AT723" s="152"/>
      <c r="AU723" s="73"/>
      <c r="AV723" s="73"/>
      <c r="AW723" s="73"/>
      <c r="AX723" s="73"/>
      <c r="BD723" s="24"/>
      <c r="BG723" s="24"/>
      <c r="BJ723" s="24"/>
    </row>
    <row r="724" spans="32:62" ht="15" customHeight="1" x14ac:dyDescent="0.2">
      <c r="AF724" s="151"/>
      <c r="AG724" s="152"/>
      <c r="AH724" s="152"/>
      <c r="AI724" s="152"/>
      <c r="AJ724" s="152"/>
      <c r="AK724" s="75"/>
      <c r="AL724" s="75"/>
      <c r="AM724" s="75"/>
      <c r="AN724" s="152"/>
      <c r="AO724" s="152"/>
      <c r="AP724" s="152"/>
      <c r="AQ724" s="73"/>
      <c r="AR724" s="152"/>
      <c r="AS724" s="152"/>
      <c r="AT724" s="152"/>
      <c r="AU724" s="73"/>
      <c r="AV724" s="73"/>
      <c r="AW724" s="73"/>
      <c r="AX724" s="73"/>
      <c r="BD724" s="24"/>
      <c r="BG724" s="24"/>
      <c r="BJ724" s="24"/>
    </row>
    <row r="725" spans="32:62" ht="15" customHeight="1" x14ac:dyDescent="0.2">
      <c r="AF725" s="151"/>
      <c r="AG725" s="152"/>
      <c r="AH725" s="152"/>
      <c r="AI725" s="152"/>
      <c r="AJ725" s="152"/>
      <c r="AK725" s="75"/>
      <c r="AL725" s="75"/>
      <c r="AM725" s="75"/>
      <c r="AN725" s="152"/>
      <c r="AO725" s="152"/>
      <c r="AP725" s="152"/>
      <c r="AQ725" s="73"/>
      <c r="AR725" s="152"/>
      <c r="AS725" s="152"/>
      <c r="AT725" s="152"/>
      <c r="AU725" s="73"/>
      <c r="AV725" s="73"/>
      <c r="AW725" s="73"/>
      <c r="AX725" s="73"/>
      <c r="BD725" s="24"/>
      <c r="BG725" s="24"/>
      <c r="BJ725" s="24"/>
    </row>
    <row r="726" spans="32:62" ht="15" customHeight="1" x14ac:dyDescent="0.2">
      <c r="AF726" s="151"/>
      <c r="AG726" s="152"/>
      <c r="AH726" s="152"/>
      <c r="AI726" s="152"/>
      <c r="AJ726" s="152"/>
      <c r="AK726" s="75"/>
      <c r="AL726" s="75"/>
      <c r="AM726" s="75"/>
      <c r="AN726" s="152"/>
      <c r="AO726" s="152"/>
      <c r="AP726" s="152"/>
      <c r="AQ726" s="73"/>
      <c r="AR726" s="152"/>
      <c r="AS726" s="152"/>
      <c r="AT726" s="152"/>
      <c r="AU726" s="73"/>
      <c r="AV726" s="73"/>
      <c r="AW726" s="73"/>
      <c r="AX726" s="73"/>
      <c r="BD726" s="24"/>
      <c r="BG726" s="24"/>
      <c r="BJ726" s="24"/>
    </row>
    <row r="727" spans="32:62" ht="15" customHeight="1" x14ac:dyDescent="0.2">
      <c r="AF727" s="151"/>
      <c r="AG727" s="152"/>
      <c r="AH727" s="152"/>
      <c r="AI727" s="152"/>
      <c r="AJ727" s="152"/>
      <c r="AK727" s="75"/>
      <c r="AL727" s="75"/>
      <c r="AM727" s="75"/>
      <c r="AN727" s="152"/>
      <c r="AO727" s="152"/>
      <c r="AP727" s="152"/>
      <c r="AQ727" s="73"/>
      <c r="AR727" s="152"/>
      <c r="AS727" s="152"/>
      <c r="AT727" s="152"/>
      <c r="AU727" s="73"/>
      <c r="AV727" s="73"/>
      <c r="AW727" s="73"/>
      <c r="AX727" s="73"/>
      <c r="BD727" s="24"/>
      <c r="BG727" s="24"/>
      <c r="BJ727" s="24"/>
    </row>
    <row r="728" spans="32:62" ht="15" customHeight="1" x14ac:dyDescent="0.2">
      <c r="AF728" s="151"/>
      <c r="AG728" s="152"/>
      <c r="AH728" s="152"/>
      <c r="AI728" s="152"/>
      <c r="AJ728" s="152"/>
      <c r="AK728" s="75"/>
      <c r="AL728" s="75"/>
      <c r="AM728" s="75"/>
      <c r="AN728" s="152"/>
      <c r="AO728" s="152"/>
      <c r="AP728" s="152"/>
      <c r="AQ728" s="73"/>
      <c r="AR728" s="152"/>
      <c r="AS728" s="152"/>
      <c r="AT728" s="152"/>
      <c r="AU728" s="73"/>
      <c r="AV728" s="73"/>
      <c r="AW728" s="73"/>
      <c r="AX728" s="73"/>
      <c r="BD728" s="24"/>
      <c r="BG728" s="24"/>
      <c r="BJ728" s="24"/>
    </row>
    <row r="729" spans="32:62" ht="15" customHeight="1" x14ac:dyDescent="0.2">
      <c r="AF729" s="151"/>
      <c r="AG729" s="152"/>
      <c r="AH729" s="152"/>
      <c r="AI729" s="152"/>
      <c r="AJ729" s="152"/>
      <c r="AK729" s="75"/>
      <c r="AL729" s="75"/>
      <c r="AM729" s="75"/>
      <c r="AN729" s="152"/>
      <c r="AO729" s="152"/>
      <c r="AP729" s="152"/>
      <c r="AQ729" s="73"/>
      <c r="AR729" s="152"/>
      <c r="AS729" s="152"/>
      <c r="AT729" s="152"/>
      <c r="AU729" s="73"/>
      <c r="AV729" s="73"/>
      <c r="AW729" s="73"/>
      <c r="AX729" s="73"/>
      <c r="BD729" s="24"/>
      <c r="BG729" s="24"/>
      <c r="BJ729" s="24"/>
    </row>
    <row r="730" spans="32:62" ht="15" customHeight="1" x14ac:dyDescent="0.2">
      <c r="AF730" s="151"/>
      <c r="AG730" s="152"/>
      <c r="AH730" s="152"/>
      <c r="AI730" s="152"/>
      <c r="AJ730" s="152"/>
      <c r="AK730" s="75"/>
      <c r="AL730" s="75"/>
      <c r="AM730" s="75"/>
      <c r="AN730" s="152"/>
      <c r="AO730" s="152"/>
      <c r="AP730" s="152"/>
      <c r="AQ730" s="73"/>
      <c r="AR730" s="152"/>
      <c r="AS730" s="152"/>
      <c r="AT730" s="152"/>
      <c r="AU730" s="73"/>
      <c r="AV730" s="73"/>
      <c r="AW730" s="73"/>
      <c r="AX730" s="73"/>
      <c r="BD730" s="24"/>
      <c r="BG730" s="24"/>
      <c r="BJ730" s="24"/>
    </row>
    <row r="731" spans="32:62" ht="15" customHeight="1" x14ac:dyDescent="0.2">
      <c r="AF731" s="151"/>
      <c r="AG731" s="152"/>
      <c r="AH731" s="152"/>
      <c r="AI731" s="152"/>
      <c r="AJ731" s="152"/>
      <c r="AK731" s="75"/>
      <c r="AL731" s="75"/>
      <c r="AM731" s="75"/>
      <c r="AN731" s="152"/>
      <c r="AO731" s="152"/>
      <c r="AP731" s="152"/>
      <c r="AQ731" s="73"/>
      <c r="AR731" s="152"/>
      <c r="AS731" s="152"/>
      <c r="AT731" s="152"/>
      <c r="AU731" s="73"/>
      <c r="AV731" s="73"/>
      <c r="AW731" s="73"/>
      <c r="AX731" s="73"/>
      <c r="BD731" s="24"/>
      <c r="BG731" s="24"/>
      <c r="BJ731" s="24"/>
    </row>
    <row r="732" spans="32:62" ht="15" customHeight="1" x14ac:dyDescent="0.2">
      <c r="AF732" s="151"/>
      <c r="AG732" s="152"/>
      <c r="AH732" s="152"/>
      <c r="AI732" s="152"/>
      <c r="AJ732" s="152"/>
      <c r="AK732" s="75"/>
      <c r="AL732" s="75"/>
      <c r="AM732" s="75"/>
      <c r="AN732" s="152"/>
      <c r="AO732" s="152"/>
      <c r="AP732" s="152"/>
      <c r="AQ732" s="73"/>
      <c r="AR732" s="152"/>
      <c r="AS732" s="152"/>
      <c r="AT732" s="152"/>
      <c r="AU732" s="73"/>
      <c r="AV732" s="73"/>
      <c r="AW732" s="73"/>
      <c r="AX732" s="73"/>
      <c r="BD732" s="24"/>
      <c r="BG732" s="24"/>
      <c r="BJ732" s="24"/>
    </row>
    <row r="733" spans="32:62" ht="15" customHeight="1" x14ac:dyDescent="0.2">
      <c r="AF733" s="151"/>
      <c r="AG733" s="152"/>
      <c r="AH733" s="152"/>
      <c r="AI733" s="152"/>
      <c r="AJ733" s="152"/>
      <c r="AK733" s="75"/>
      <c r="AL733" s="75"/>
      <c r="AM733" s="75"/>
      <c r="AN733" s="152"/>
      <c r="AO733" s="152"/>
      <c r="AP733" s="152"/>
      <c r="AQ733" s="73"/>
      <c r="AR733" s="152"/>
      <c r="AS733" s="152"/>
      <c r="AT733" s="152"/>
      <c r="AU733" s="73"/>
      <c r="AV733" s="73"/>
      <c r="AW733" s="73"/>
      <c r="AX733" s="73"/>
      <c r="BD733" s="24"/>
      <c r="BG733" s="24"/>
      <c r="BJ733" s="24"/>
    </row>
    <row r="734" spans="32:62" ht="15" customHeight="1" x14ac:dyDescent="0.2">
      <c r="AF734" s="151"/>
      <c r="AG734" s="152"/>
      <c r="AH734" s="152"/>
      <c r="AI734" s="152"/>
      <c r="AJ734" s="152"/>
      <c r="AK734" s="75"/>
      <c r="AL734" s="75"/>
      <c r="AM734" s="75"/>
      <c r="AN734" s="152"/>
      <c r="AO734" s="152"/>
      <c r="AP734" s="152"/>
      <c r="AQ734" s="73"/>
      <c r="AR734" s="152"/>
      <c r="AS734" s="152"/>
      <c r="AT734" s="152"/>
      <c r="AU734" s="73"/>
      <c r="AV734" s="73"/>
      <c r="AW734" s="73"/>
      <c r="AX734" s="73"/>
      <c r="BD734" s="24"/>
      <c r="BG734" s="24"/>
      <c r="BJ734" s="24"/>
    </row>
    <row r="735" spans="32:62" ht="15" customHeight="1" x14ac:dyDescent="0.2">
      <c r="AF735" s="151"/>
      <c r="AG735" s="152"/>
      <c r="AH735" s="152"/>
      <c r="AI735" s="152"/>
      <c r="AJ735" s="152"/>
      <c r="AK735" s="75"/>
      <c r="AL735" s="75"/>
      <c r="AM735" s="75"/>
      <c r="AN735" s="152"/>
      <c r="AO735" s="152"/>
      <c r="AP735" s="152"/>
      <c r="AQ735" s="73"/>
      <c r="AR735" s="152"/>
      <c r="AS735" s="152"/>
      <c r="AT735" s="152"/>
      <c r="AU735" s="73"/>
      <c r="AV735" s="73"/>
      <c r="AW735" s="73"/>
      <c r="AX735" s="73"/>
      <c r="BD735" s="24"/>
      <c r="BG735" s="24"/>
      <c r="BJ735" s="24"/>
    </row>
    <row r="736" spans="32:62" ht="15" customHeight="1" x14ac:dyDescent="0.2">
      <c r="AF736" s="151"/>
      <c r="AG736" s="152"/>
      <c r="AH736" s="152"/>
      <c r="AI736" s="152"/>
      <c r="AJ736" s="152"/>
      <c r="AK736" s="75"/>
      <c r="AL736" s="75"/>
      <c r="AM736" s="75"/>
      <c r="AN736" s="152"/>
      <c r="AO736" s="152"/>
      <c r="AP736" s="152"/>
      <c r="AQ736" s="73"/>
      <c r="AR736" s="152"/>
      <c r="AS736" s="152"/>
      <c r="AT736" s="152"/>
      <c r="AU736" s="73"/>
      <c r="AV736" s="73"/>
      <c r="AW736" s="73"/>
      <c r="AX736" s="73"/>
      <c r="BD736" s="24"/>
      <c r="BG736" s="24"/>
      <c r="BJ736" s="24"/>
    </row>
    <row r="737" spans="32:62" ht="15" customHeight="1" x14ac:dyDescent="0.2">
      <c r="AF737" s="151"/>
      <c r="AG737" s="152"/>
      <c r="AH737" s="152"/>
      <c r="AI737" s="152"/>
      <c r="AJ737" s="152"/>
      <c r="AK737" s="75"/>
      <c r="AL737" s="75"/>
      <c r="AM737" s="75"/>
      <c r="AN737" s="152"/>
      <c r="AO737" s="152"/>
      <c r="AP737" s="152"/>
      <c r="AQ737" s="73"/>
      <c r="AR737" s="152"/>
      <c r="AS737" s="152"/>
      <c r="AT737" s="152"/>
      <c r="AU737" s="73"/>
      <c r="AV737" s="73"/>
      <c r="AW737" s="73"/>
      <c r="AX737" s="73"/>
      <c r="BD737" s="24"/>
      <c r="BG737" s="24"/>
      <c r="BJ737" s="24"/>
    </row>
    <row r="738" spans="32:62" ht="15" customHeight="1" x14ac:dyDescent="0.2">
      <c r="AF738" s="151"/>
      <c r="AG738" s="152"/>
      <c r="AH738" s="152"/>
      <c r="AI738" s="152"/>
      <c r="AJ738" s="152"/>
      <c r="AK738" s="75"/>
      <c r="AL738" s="75"/>
      <c r="AM738" s="75"/>
      <c r="AN738" s="152"/>
      <c r="AO738" s="152"/>
      <c r="AP738" s="152"/>
      <c r="AQ738" s="73"/>
      <c r="AR738" s="152"/>
      <c r="AS738" s="152"/>
      <c r="AT738" s="152"/>
      <c r="AU738" s="73"/>
      <c r="AV738" s="73"/>
      <c r="AW738" s="73"/>
      <c r="AX738" s="73"/>
      <c r="BD738" s="24"/>
      <c r="BG738" s="24"/>
      <c r="BJ738" s="24"/>
    </row>
    <row r="739" spans="32:62" ht="15" customHeight="1" x14ac:dyDescent="0.2">
      <c r="AF739" s="151"/>
      <c r="AG739" s="152"/>
      <c r="AH739" s="152"/>
      <c r="AI739" s="152"/>
      <c r="AJ739" s="152"/>
      <c r="AK739" s="75"/>
      <c r="AL739" s="75"/>
      <c r="AM739" s="75"/>
      <c r="AN739" s="152"/>
      <c r="AO739" s="152"/>
      <c r="AP739" s="152"/>
      <c r="AQ739" s="73"/>
      <c r="AR739" s="152"/>
      <c r="AS739" s="152"/>
      <c r="AT739" s="152"/>
      <c r="AU739" s="73"/>
      <c r="AV739" s="73"/>
      <c r="AW739" s="73"/>
      <c r="AX739" s="73"/>
      <c r="BD739" s="24"/>
      <c r="BG739" s="24"/>
      <c r="BJ739" s="24"/>
    </row>
    <row r="740" spans="32:62" ht="15" customHeight="1" x14ac:dyDescent="0.2">
      <c r="AF740" s="151"/>
      <c r="AG740" s="152"/>
      <c r="AH740" s="152"/>
      <c r="AI740" s="152"/>
      <c r="AJ740" s="152"/>
      <c r="AK740" s="75"/>
      <c r="AL740" s="75"/>
      <c r="AM740" s="75"/>
      <c r="AN740" s="152"/>
      <c r="AO740" s="152"/>
      <c r="AP740" s="152"/>
      <c r="AQ740" s="73"/>
      <c r="AR740" s="152"/>
      <c r="AS740" s="152"/>
      <c r="AT740" s="152"/>
      <c r="AU740" s="73"/>
      <c r="AV740" s="73"/>
      <c r="AW740" s="73"/>
      <c r="AX740" s="73"/>
      <c r="BD740" s="24"/>
      <c r="BG740" s="24"/>
      <c r="BJ740" s="24"/>
    </row>
    <row r="741" spans="32:62" ht="15" customHeight="1" x14ac:dyDescent="0.2">
      <c r="AF741" s="151"/>
      <c r="AG741" s="152"/>
      <c r="AH741" s="152"/>
      <c r="AI741" s="152"/>
      <c r="AJ741" s="152"/>
      <c r="AK741" s="75"/>
      <c r="AL741" s="75"/>
      <c r="AM741" s="75"/>
      <c r="AN741" s="152"/>
      <c r="AO741" s="152"/>
      <c r="AP741" s="152"/>
      <c r="AQ741" s="73"/>
      <c r="AR741" s="152"/>
      <c r="AS741" s="152"/>
      <c r="AT741" s="152"/>
      <c r="AU741" s="73"/>
      <c r="AV741" s="73"/>
      <c r="AW741" s="73"/>
      <c r="AX741" s="73"/>
      <c r="BD741" s="24"/>
      <c r="BG741" s="24"/>
      <c r="BJ741" s="24"/>
    </row>
    <row r="742" spans="32:62" ht="15" customHeight="1" x14ac:dyDescent="0.2">
      <c r="AF742" s="151"/>
      <c r="AG742" s="152"/>
      <c r="AH742" s="152"/>
      <c r="AI742" s="152"/>
      <c r="AJ742" s="152"/>
      <c r="AK742" s="75"/>
      <c r="AL742" s="75"/>
      <c r="AM742" s="75"/>
      <c r="AN742" s="152"/>
      <c r="AO742" s="152"/>
      <c r="AP742" s="152"/>
      <c r="AQ742" s="73"/>
      <c r="AR742" s="152"/>
      <c r="AS742" s="152"/>
      <c r="AT742" s="152"/>
      <c r="AU742" s="73"/>
      <c r="AV742" s="73"/>
      <c r="AW742" s="73"/>
      <c r="AX742" s="73"/>
      <c r="BD742" s="24"/>
      <c r="BG742" s="24"/>
      <c r="BJ742" s="24"/>
    </row>
    <row r="743" spans="32:62" ht="15" customHeight="1" x14ac:dyDescent="0.2">
      <c r="AF743" s="151"/>
      <c r="AG743" s="152"/>
      <c r="AH743" s="152"/>
      <c r="AI743" s="152"/>
      <c r="AJ743" s="152"/>
      <c r="AK743" s="75"/>
      <c r="AL743" s="75"/>
      <c r="AM743" s="75"/>
      <c r="AN743" s="152"/>
      <c r="AO743" s="152"/>
      <c r="AP743" s="152"/>
      <c r="AQ743" s="73"/>
      <c r="AR743" s="152"/>
      <c r="AS743" s="152"/>
      <c r="AT743" s="152"/>
      <c r="AU743" s="73"/>
      <c r="AV743" s="73"/>
      <c r="AW743" s="73"/>
      <c r="AX743" s="73"/>
      <c r="BD743" s="24"/>
      <c r="BG743" s="24"/>
      <c r="BJ743" s="24"/>
    </row>
    <row r="744" spans="32:62" ht="15" customHeight="1" x14ac:dyDescent="0.2">
      <c r="AF744" s="151"/>
      <c r="AG744" s="152"/>
      <c r="AH744" s="152"/>
      <c r="AI744" s="152"/>
      <c r="AJ744" s="152"/>
      <c r="AK744" s="75"/>
      <c r="AL744" s="75"/>
      <c r="AM744" s="75"/>
      <c r="AN744" s="152"/>
      <c r="AO744" s="152"/>
      <c r="AP744" s="152"/>
      <c r="AQ744" s="73"/>
      <c r="AR744" s="152"/>
      <c r="AS744" s="152"/>
      <c r="AT744" s="152"/>
      <c r="AU744" s="73"/>
      <c r="AV744" s="73"/>
      <c r="AW744" s="73"/>
      <c r="AX744" s="73"/>
      <c r="BD744" s="24"/>
      <c r="BG744" s="24"/>
      <c r="BJ744" s="24"/>
    </row>
    <row r="745" spans="32:62" ht="15" customHeight="1" x14ac:dyDescent="0.2">
      <c r="AF745" s="151"/>
      <c r="AG745" s="152"/>
      <c r="AH745" s="152"/>
      <c r="AI745" s="152"/>
      <c r="AJ745" s="152"/>
      <c r="AK745" s="75"/>
      <c r="AL745" s="75"/>
      <c r="AM745" s="75"/>
      <c r="AN745" s="152"/>
      <c r="AO745" s="152"/>
      <c r="AP745" s="152"/>
      <c r="AQ745" s="73"/>
      <c r="AR745" s="152"/>
      <c r="AS745" s="152"/>
      <c r="AT745" s="152"/>
      <c r="AU745" s="73"/>
      <c r="AV745" s="73"/>
      <c r="AW745" s="73"/>
      <c r="AX745" s="73"/>
      <c r="BD745" s="24"/>
      <c r="BG745" s="24"/>
      <c r="BJ745" s="24"/>
    </row>
    <row r="746" spans="32:62" ht="15" customHeight="1" x14ac:dyDescent="0.2">
      <c r="AF746" s="151"/>
      <c r="AG746" s="152"/>
      <c r="AH746" s="152"/>
      <c r="AI746" s="152"/>
      <c r="AJ746" s="152"/>
      <c r="AK746" s="75"/>
      <c r="AL746" s="75"/>
      <c r="AM746" s="75"/>
      <c r="AN746" s="152"/>
      <c r="AO746" s="152"/>
      <c r="AP746" s="152"/>
      <c r="AQ746" s="73"/>
      <c r="AR746" s="152"/>
      <c r="AS746" s="152"/>
      <c r="AT746" s="152"/>
      <c r="AU746" s="73"/>
      <c r="AV746" s="73"/>
      <c r="AW746" s="73"/>
      <c r="AX746" s="73"/>
      <c r="BD746" s="24"/>
      <c r="BG746" s="24"/>
      <c r="BJ746" s="24"/>
    </row>
    <row r="747" spans="32:62" ht="15" customHeight="1" x14ac:dyDescent="0.2">
      <c r="AF747" s="151"/>
      <c r="AG747" s="152"/>
      <c r="AH747" s="152"/>
      <c r="AI747" s="152"/>
      <c r="AJ747" s="152"/>
      <c r="AK747" s="75"/>
      <c r="AL747" s="75"/>
      <c r="AM747" s="75"/>
      <c r="AN747" s="152"/>
      <c r="AO747" s="152"/>
      <c r="AP747" s="152"/>
      <c r="AQ747" s="73"/>
      <c r="AR747" s="152"/>
      <c r="AS747" s="152"/>
      <c r="AT747" s="152"/>
      <c r="AU747" s="73"/>
      <c r="AV747" s="73"/>
      <c r="AW747" s="73"/>
      <c r="AX747" s="73"/>
      <c r="BD747" s="24"/>
      <c r="BG747" s="24"/>
      <c r="BJ747" s="24"/>
    </row>
    <row r="748" spans="32:62" ht="15" customHeight="1" x14ac:dyDescent="0.2">
      <c r="AF748" s="151"/>
      <c r="AG748" s="152"/>
      <c r="AH748" s="152"/>
      <c r="AI748" s="152"/>
      <c r="AJ748" s="152"/>
      <c r="AK748" s="75"/>
      <c r="AL748" s="75"/>
      <c r="AM748" s="75"/>
      <c r="AN748" s="152"/>
      <c r="AO748" s="152"/>
      <c r="AP748" s="152"/>
      <c r="AQ748" s="73"/>
      <c r="AR748" s="152"/>
      <c r="AS748" s="152"/>
      <c r="AT748" s="152"/>
      <c r="AU748" s="73"/>
      <c r="AV748" s="73"/>
      <c r="AW748" s="73"/>
      <c r="AX748" s="73"/>
      <c r="BD748" s="24"/>
      <c r="BG748" s="24"/>
      <c r="BJ748" s="24"/>
    </row>
    <row r="749" spans="32:62" ht="15" customHeight="1" x14ac:dyDescent="0.2">
      <c r="AF749" s="151"/>
      <c r="AG749" s="152"/>
      <c r="AH749" s="152"/>
      <c r="AI749" s="152"/>
      <c r="AJ749" s="152"/>
      <c r="AK749" s="75"/>
      <c r="AL749" s="75"/>
      <c r="AM749" s="75"/>
      <c r="AN749" s="152"/>
      <c r="AO749" s="152"/>
      <c r="AP749" s="152"/>
      <c r="AQ749" s="73"/>
      <c r="AR749" s="152"/>
      <c r="AS749" s="152"/>
      <c r="AT749" s="152"/>
      <c r="AU749" s="73"/>
      <c r="AV749" s="73"/>
      <c r="AW749" s="73"/>
      <c r="AX749" s="73"/>
      <c r="BD749" s="24"/>
      <c r="BG749" s="24"/>
      <c r="BJ749" s="24"/>
    </row>
    <row r="750" spans="32:62" ht="15" customHeight="1" x14ac:dyDescent="0.2">
      <c r="AF750" s="151"/>
      <c r="AG750" s="152"/>
      <c r="AH750" s="152"/>
      <c r="AI750" s="152"/>
      <c r="AJ750" s="152"/>
      <c r="AK750" s="75"/>
      <c r="AL750" s="75"/>
      <c r="AM750" s="75"/>
      <c r="AN750" s="152"/>
      <c r="AO750" s="152"/>
      <c r="AP750" s="152"/>
      <c r="AQ750" s="73"/>
      <c r="AR750" s="152"/>
      <c r="AS750" s="152"/>
      <c r="AT750" s="152"/>
      <c r="AU750" s="73"/>
      <c r="AV750" s="73"/>
      <c r="AW750" s="73"/>
      <c r="AX750" s="73"/>
      <c r="BD750" s="24"/>
      <c r="BG750" s="24"/>
      <c r="BJ750" s="24"/>
    </row>
    <row r="751" spans="32:62" ht="15" customHeight="1" x14ac:dyDescent="0.2">
      <c r="AF751" s="151"/>
      <c r="AG751" s="152"/>
      <c r="AH751" s="152"/>
      <c r="AI751" s="152"/>
      <c r="AJ751" s="152"/>
      <c r="AK751" s="75"/>
      <c r="AL751" s="75"/>
      <c r="AM751" s="75"/>
      <c r="AN751" s="152"/>
      <c r="AO751" s="152"/>
      <c r="AP751" s="152"/>
      <c r="AQ751" s="73"/>
      <c r="AR751" s="152"/>
      <c r="AS751" s="152"/>
      <c r="AT751" s="152"/>
      <c r="AU751" s="73"/>
      <c r="AV751" s="73"/>
      <c r="AW751" s="73"/>
      <c r="AX751" s="73"/>
      <c r="BD751" s="24"/>
      <c r="BG751" s="24"/>
      <c r="BJ751" s="24"/>
    </row>
    <row r="752" spans="32:62" ht="15" customHeight="1" x14ac:dyDescent="0.2">
      <c r="AF752" s="151"/>
      <c r="AG752" s="152"/>
      <c r="AH752" s="152"/>
      <c r="AI752" s="152"/>
      <c r="AJ752" s="152"/>
      <c r="AK752" s="75"/>
      <c r="AL752" s="75"/>
      <c r="AM752" s="75"/>
      <c r="AN752" s="152"/>
      <c r="AO752" s="152"/>
      <c r="AP752" s="152"/>
      <c r="AQ752" s="73"/>
      <c r="AR752" s="152"/>
      <c r="AS752" s="152"/>
      <c r="AT752" s="152"/>
      <c r="AU752" s="73"/>
      <c r="AV752" s="73"/>
      <c r="AW752" s="73"/>
      <c r="AX752" s="73"/>
      <c r="BD752" s="24"/>
      <c r="BG752" s="24"/>
      <c r="BJ752" s="24"/>
    </row>
    <row r="753" spans="32:62" ht="15" customHeight="1" x14ac:dyDescent="0.2">
      <c r="AF753" s="151"/>
      <c r="AG753" s="152"/>
      <c r="AH753" s="152"/>
      <c r="AI753" s="152"/>
      <c r="AJ753" s="152"/>
      <c r="AK753" s="75"/>
      <c r="AL753" s="75"/>
      <c r="AM753" s="75"/>
      <c r="AN753" s="152"/>
      <c r="AO753" s="152"/>
      <c r="AP753" s="152"/>
      <c r="AQ753" s="73"/>
      <c r="AR753" s="152"/>
      <c r="AS753" s="152"/>
      <c r="AT753" s="152"/>
      <c r="AU753" s="73"/>
      <c r="AV753" s="73"/>
      <c r="AW753" s="73"/>
      <c r="AX753" s="73"/>
      <c r="BD753" s="24"/>
      <c r="BG753" s="24"/>
      <c r="BJ753" s="24"/>
    </row>
    <row r="754" spans="32:62" ht="15" customHeight="1" x14ac:dyDescent="0.2">
      <c r="AF754" s="151"/>
      <c r="AG754" s="152"/>
      <c r="AH754" s="152"/>
      <c r="AI754" s="152"/>
      <c r="AJ754" s="152"/>
      <c r="AK754" s="75"/>
      <c r="AL754" s="75"/>
      <c r="AM754" s="75"/>
      <c r="AN754" s="152"/>
      <c r="AO754" s="152"/>
      <c r="AP754" s="152"/>
      <c r="AQ754" s="73"/>
      <c r="AR754" s="152"/>
      <c r="AS754" s="152"/>
      <c r="AT754" s="152"/>
      <c r="AU754" s="73"/>
      <c r="AV754" s="73"/>
      <c r="AW754" s="73"/>
      <c r="AX754" s="73"/>
      <c r="BD754" s="24"/>
      <c r="BG754" s="24"/>
      <c r="BJ754" s="24"/>
    </row>
    <row r="755" spans="32:62" ht="15" customHeight="1" x14ac:dyDescent="0.2">
      <c r="AF755" s="151"/>
      <c r="AG755" s="152"/>
      <c r="AH755" s="152"/>
      <c r="AI755" s="152"/>
      <c r="AJ755" s="152"/>
      <c r="AK755" s="75"/>
      <c r="AL755" s="75"/>
      <c r="AM755" s="75"/>
      <c r="AN755" s="152"/>
      <c r="AO755" s="152"/>
      <c r="AP755" s="152"/>
      <c r="AQ755" s="73"/>
      <c r="AR755" s="152"/>
      <c r="AS755" s="152"/>
      <c r="AT755" s="152"/>
      <c r="AU755" s="73"/>
      <c r="AV755" s="73"/>
      <c r="AW755" s="73"/>
      <c r="AX755" s="73"/>
      <c r="BD755" s="24"/>
      <c r="BG755" s="24"/>
      <c r="BJ755" s="24"/>
    </row>
    <row r="756" spans="32:62" ht="15" customHeight="1" x14ac:dyDescent="0.2">
      <c r="AF756" s="151"/>
      <c r="AG756" s="152"/>
      <c r="AH756" s="152"/>
      <c r="AI756" s="152"/>
      <c r="AJ756" s="152"/>
      <c r="AK756" s="75"/>
      <c r="AL756" s="75"/>
      <c r="AM756" s="75"/>
      <c r="AN756" s="152"/>
      <c r="AO756" s="152"/>
      <c r="AP756" s="152"/>
      <c r="AQ756" s="73"/>
      <c r="AR756" s="152"/>
      <c r="AS756" s="152"/>
      <c r="AT756" s="152"/>
      <c r="AU756" s="73"/>
      <c r="AV756" s="73"/>
      <c r="AW756" s="73"/>
      <c r="AX756" s="73"/>
      <c r="BD756" s="24"/>
      <c r="BG756" s="24"/>
      <c r="BJ756" s="24"/>
    </row>
    <row r="757" spans="32:62" ht="15" customHeight="1" x14ac:dyDescent="0.2">
      <c r="AF757" s="151"/>
      <c r="AG757" s="152"/>
      <c r="AH757" s="152"/>
      <c r="AI757" s="152"/>
      <c r="AJ757" s="152"/>
      <c r="AK757" s="75"/>
      <c r="AL757" s="75"/>
      <c r="AM757" s="75"/>
      <c r="AN757" s="152"/>
      <c r="AO757" s="152"/>
      <c r="AP757" s="152"/>
      <c r="AQ757" s="73"/>
      <c r="AR757" s="152"/>
      <c r="AS757" s="152"/>
      <c r="AT757" s="152"/>
      <c r="AU757" s="73"/>
      <c r="AV757" s="73"/>
      <c r="AW757" s="73"/>
      <c r="AX757" s="73"/>
      <c r="BD757" s="24"/>
      <c r="BG757" s="24"/>
      <c r="BJ757" s="24"/>
    </row>
    <row r="758" spans="32:62" ht="15" customHeight="1" x14ac:dyDescent="0.2">
      <c r="AF758" s="151"/>
      <c r="AG758" s="152"/>
      <c r="AH758" s="152"/>
      <c r="AI758" s="152"/>
      <c r="AJ758" s="152"/>
      <c r="AK758" s="75"/>
      <c r="AL758" s="75"/>
      <c r="AM758" s="75"/>
      <c r="AN758" s="152"/>
      <c r="AO758" s="152"/>
      <c r="AP758" s="152"/>
      <c r="AQ758" s="73"/>
      <c r="AR758" s="152"/>
      <c r="AS758" s="152"/>
      <c r="AT758" s="152"/>
      <c r="AU758" s="73"/>
      <c r="AV758" s="73"/>
      <c r="AW758" s="73"/>
      <c r="AX758" s="73"/>
      <c r="BD758" s="24"/>
      <c r="BG758" s="24"/>
      <c r="BJ758" s="24"/>
    </row>
    <row r="759" spans="32:62" ht="15" customHeight="1" x14ac:dyDescent="0.2">
      <c r="AF759" s="151"/>
      <c r="AG759" s="152"/>
      <c r="AH759" s="152"/>
      <c r="AI759" s="152"/>
      <c r="AJ759" s="152"/>
      <c r="AK759" s="75"/>
      <c r="AL759" s="75"/>
      <c r="AM759" s="75"/>
      <c r="AN759" s="152"/>
      <c r="AO759" s="152"/>
      <c r="AP759" s="152"/>
      <c r="AQ759" s="73"/>
      <c r="AR759" s="152"/>
      <c r="AS759" s="152"/>
      <c r="AT759" s="152"/>
      <c r="AU759" s="73"/>
      <c r="AV759" s="73"/>
      <c r="AW759" s="73"/>
      <c r="AX759" s="73"/>
      <c r="BD759" s="24"/>
      <c r="BG759" s="24"/>
      <c r="BJ759" s="24"/>
    </row>
    <row r="760" spans="32:62" ht="15" customHeight="1" x14ac:dyDescent="0.2">
      <c r="AF760" s="151"/>
      <c r="AG760" s="152"/>
      <c r="AH760" s="152"/>
      <c r="AI760" s="152"/>
      <c r="AJ760" s="152"/>
      <c r="AK760" s="75"/>
      <c r="AL760" s="75"/>
      <c r="AM760" s="75"/>
      <c r="AN760" s="152"/>
      <c r="AO760" s="152"/>
      <c r="AP760" s="152"/>
      <c r="AQ760" s="73"/>
      <c r="AR760" s="152"/>
      <c r="AS760" s="152"/>
      <c r="AT760" s="152"/>
      <c r="AU760" s="73"/>
      <c r="AV760" s="73"/>
      <c r="AW760" s="73"/>
      <c r="AX760" s="73"/>
      <c r="BD760" s="24"/>
      <c r="BG760" s="24"/>
      <c r="BJ760" s="24"/>
    </row>
    <row r="761" spans="32:62" ht="15" customHeight="1" x14ac:dyDescent="0.2">
      <c r="AF761" s="151"/>
      <c r="AG761" s="152"/>
      <c r="AH761" s="152"/>
      <c r="AI761" s="152"/>
      <c r="AJ761" s="152"/>
      <c r="AK761" s="75"/>
      <c r="AL761" s="75"/>
      <c r="AM761" s="75"/>
      <c r="AN761" s="152"/>
      <c r="AO761" s="152"/>
      <c r="AP761" s="152"/>
      <c r="AQ761" s="73"/>
      <c r="AR761" s="152"/>
      <c r="AS761" s="152"/>
      <c r="AT761" s="152"/>
      <c r="AU761" s="73"/>
      <c r="AV761" s="73"/>
      <c r="AW761" s="73"/>
      <c r="AX761" s="73"/>
      <c r="BD761" s="24"/>
      <c r="BG761" s="24"/>
      <c r="BJ761" s="24"/>
    </row>
    <row r="762" spans="32:62" ht="15" customHeight="1" x14ac:dyDescent="0.2">
      <c r="AF762" s="151"/>
      <c r="AG762" s="152"/>
      <c r="AH762" s="152"/>
      <c r="AI762" s="152"/>
      <c r="AJ762" s="152"/>
      <c r="AK762" s="75"/>
      <c r="AL762" s="75"/>
      <c r="AM762" s="75"/>
      <c r="AN762" s="152"/>
      <c r="AO762" s="152"/>
      <c r="AP762" s="152"/>
      <c r="AQ762" s="73"/>
      <c r="AR762" s="152"/>
      <c r="AS762" s="152"/>
      <c r="AT762" s="152"/>
      <c r="AU762" s="73"/>
      <c r="AV762" s="73"/>
      <c r="AW762" s="73"/>
      <c r="AX762" s="73"/>
      <c r="BD762" s="24"/>
      <c r="BG762" s="24"/>
      <c r="BJ762" s="24"/>
    </row>
    <row r="763" spans="32:62" ht="15" customHeight="1" x14ac:dyDescent="0.2">
      <c r="AF763" s="151"/>
      <c r="AG763" s="152"/>
      <c r="AH763" s="152"/>
      <c r="AI763" s="152"/>
      <c r="AJ763" s="152"/>
      <c r="AK763" s="75"/>
      <c r="AL763" s="75"/>
      <c r="AM763" s="75"/>
      <c r="AN763" s="152"/>
      <c r="AO763" s="152"/>
      <c r="AP763" s="152"/>
      <c r="AQ763" s="73"/>
      <c r="AR763" s="152"/>
      <c r="AS763" s="152"/>
      <c r="AT763" s="152"/>
      <c r="AU763" s="73"/>
      <c r="AV763" s="73"/>
      <c r="AW763" s="73"/>
      <c r="AX763" s="73"/>
      <c r="BD763" s="24"/>
      <c r="BG763" s="24"/>
      <c r="BJ763" s="24"/>
    </row>
    <row r="764" spans="32:62" ht="15" customHeight="1" x14ac:dyDescent="0.2">
      <c r="AF764" s="151"/>
      <c r="AG764" s="152"/>
      <c r="AH764" s="152"/>
      <c r="AI764" s="152"/>
      <c r="AJ764" s="152"/>
      <c r="AK764" s="75"/>
      <c r="AL764" s="75"/>
      <c r="AM764" s="75"/>
      <c r="AN764" s="152"/>
      <c r="AO764" s="152"/>
      <c r="AP764" s="152"/>
      <c r="AQ764" s="73"/>
      <c r="AR764" s="152"/>
      <c r="AS764" s="152"/>
      <c r="AT764" s="152"/>
      <c r="AU764" s="73"/>
      <c r="AV764" s="73"/>
      <c r="AW764" s="73"/>
      <c r="AX764" s="73"/>
      <c r="BD764" s="24"/>
      <c r="BG764" s="24"/>
      <c r="BJ764" s="24"/>
    </row>
    <row r="765" spans="32:62" ht="15" customHeight="1" x14ac:dyDescent="0.2">
      <c r="AF765" s="151"/>
      <c r="AG765" s="152"/>
      <c r="AH765" s="152"/>
      <c r="AI765" s="152"/>
      <c r="AJ765" s="152"/>
      <c r="AK765" s="75"/>
      <c r="AL765" s="75"/>
      <c r="AM765" s="75"/>
      <c r="AN765" s="152"/>
      <c r="AO765" s="152"/>
      <c r="AP765" s="152"/>
      <c r="AQ765" s="73"/>
      <c r="AR765" s="152"/>
      <c r="AS765" s="152"/>
      <c r="AT765" s="152"/>
      <c r="AU765" s="73"/>
      <c r="AV765" s="73"/>
      <c r="AW765" s="73"/>
      <c r="AX765" s="73"/>
      <c r="BD765" s="24"/>
      <c r="BG765" s="24"/>
      <c r="BJ765" s="24"/>
    </row>
    <row r="766" spans="32:62" ht="15" customHeight="1" x14ac:dyDescent="0.2">
      <c r="AF766" s="151"/>
      <c r="AG766" s="152"/>
      <c r="AH766" s="152"/>
      <c r="AI766" s="152"/>
      <c r="AJ766" s="152"/>
      <c r="AK766" s="75"/>
      <c r="AL766" s="75"/>
      <c r="AM766" s="75"/>
      <c r="AN766" s="152"/>
      <c r="AO766" s="152"/>
      <c r="AP766" s="152"/>
      <c r="AQ766" s="73"/>
      <c r="AR766" s="152"/>
      <c r="AS766" s="152"/>
      <c r="AT766" s="152"/>
      <c r="AU766" s="73"/>
      <c r="AV766" s="73"/>
      <c r="AW766" s="73"/>
      <c r="AX766" s="73"/>
      <c r="BD766" s="24"/>
      <c r="BG766" s="24"/>
      <c r="BJ766" s="24"/>
    </row>
    <row r="767" spans="32:62" ht="15" customHeight="1" x14ac:dyDescent="0.2">
      <c r="AF767" s="151"/>
      <c r="AG767" s="152"/>
      <c r="AH767" s="152"/>
      <c r="AI767" s="152"/>
      <c r="AJ767" s="152"/>
      <c r="AK767" s="75"/>
      <c r="AL767" s="75"/>
      <c r="AM767" s="75"/>
      <c r="AN767" s="152"/>
      <c r="AO767" s="152"/>
      <c r="AP767" s="152"/>
      <c r="AQ767" s="73"/>
      <c r="AR767" s="152"/>
      <c r="AS767" s="152"/>
      <c r="AT767" s="152"/>
      <c r="AU767" s="73"/>
      <c r="AV767" s="73"/>
      <c r="AW767" s="73"/>
      <c r="AX767" s="73"/>
      <c r="BD767" s="24"/>
      <c r="BG767" s="24"/>
      <c r="BJ767" s="24"/>
    </row>
    <row r="768" spans="32:62" ht="15" customHeight="1" x14ac:dyDescent="0.2">
      <c r="AF768" s="151"/>
      <c r="AG768" s="152"/>
      <c r="AH768" s="152"/>
      <c r="AI768" s="152"/>
      <c r="AJ768" s="152"/>
      <c r="AK768" s="75"/>
      <c r="AL768" s="75"/>
      <c r="AM768" s="75"/>
      <c r="AN768" s="152"/>
      <c r="AO768" s="152"/>
      <c r="AP768" s="152"/>
      <c r="AQ768" s="73"/>
      <c r="AR768" s="152"/>
      <c r="AS768" s="152"/>
      <c r="AT768" s="152"/>
      <c r="AU768" s="73"/>
      <c r="AV768" s="73"/>
      <c r="AW768" s="73"/>
      <c r="AX768" s="73"/>
      <c r="BD768" s="24"/>
      <c r="BG768" s="24"/>
      <c r="BJ768" s="24"/>
    </row>
    <row r="769" spans="32:62" ht="15" customHeight="1" x14ac:dyDescent="0.2">
      <c r="AF769" s="151"/>
      <c r="AG769" s="152"/>
      <c r="AH769" s="152"/>
      <c r="AI769" s="152"/>
      <c r="AJ769" s="152"/>
      <c r="AK769" s="75"/>
      <c r="AL769" s="75"/>
      <c r="AM769" s="75"/>
      <c r="AN769" s="152"/>
      <c r="AO769" s="152"/>
      <c r="AP769" s="152"/>
      <c r="AQ769" s="73"/>
      <c r="AR769" s="152"/>
      <c r="AS769" s="152"/>
      <c r="AT769" s="152"/>
      <c r="AU769" s="73"/>
      <c r="AV769" s="73"/>
      <c r="AW769" s="73"/>
      <c r="AX769" s="73"/>
      <c r="BD769" s="24"/>
      <c r="BG769" s="24"/>
      <c r="BJ769" s="24"/>
    </row>
    <row r="770" spans="32:62" ht="15" customHeight="1" x14ac:dyDescent="0.2">
      <c r="AF770" s="151"/>
      <c r="AG770" s="152"/>
      <c r="AH770" s="152"/>
      <c r="AI770" s="152"/>
      <c r="AJ770" s="152"/>
      <c r="AK770" s="75"/>
      <c r="AL770" s="75"/>
      <c r="AM770" s="75"/>
      <c r="AN770" s="152"/>
      <c r="AO770" s="152"/>
      <c r="AP770" s="152"/>
      <c r="AQ770" s="73"/>
      <c r="AR770" s="152"/>
      <c r="AS770" s="152"/>
      <c r="AT770" s="152"/>
      <c r="AU770" s="73"/>
      <c r="AV770" s="73"/>
      <c r="AW770" s="73"/>
      <c r="AX770" s="73"/>
      <c r="BD770" s="24"/>
      <c r="BG770" s="24"/>
      <c r="BJ770" s="24"/>
    </row>
    <row r="771" spans="32:62" ht="15" customHeight="1" x14ac:dyDescent="0.2">
      <c r="AF771" s="151"/>
      <c r="AG771" s="152"/>
      <c r="AH771" s="152"/>
      <c r="AI771" s="152"/>
      <c r="AJ771" s="152"/>
      <c r="AK771" s="75"/>
      <c r="AL771" s="75"/>
      <c r="AM771" s="75"/>
      <c r="AN771" s="152"/>
      <c r="AO771" s="152"/>
      <c r="AP771" s="152"/>
      <c r="AQ771" s="73"/>
      <c r="AR771" s="152"/>
      <c r="AS771" s="152"/>
      <c r="AT771" s="152"/>
      <c r="AU771" s="73"/>
      <c r="AV771" s="73"/>
      <c r="AW771" s="73"/>
      <c r="AX771" s="73"/>
      <c r="BD771" s="24"/>
      <c r="BG771" s="24"/>
      <c r="BJ771" s="24"/>
    </row>
    <row r="772" spans="32:62" ht="15" customHeight="1" x14ac:dyDescent="0.2">
      <c r="AF772" s="151"/>
      <c r="AG772" s="152"/>
      <c r="AH772" s="152"/>
      <c r="AI772" s="152"/>
      <c r="AJ772" s="152"/>
      <c r="AK772" s="75"/>
      <c r="AL772" s="75"/>
      <c r="AM772" s="75"/>
      <c r="AN772" s="152"/>
      <c r="AO772" s="152"/>
      <c r="AP772" s="152"/>
      <c r="AQ772" s="73"/>
      <c r="AR772" s="152"/>
      <c r="AS772" s="152"/>
      <c r="AT772" s="152"/>
      <c r="AU772" s="73"/>
      <c r="AV772" s="73"/>
      <c r="AW772" s="73"/>
      <c r="AX772" s="73"/>
      <c r="BD772" s="24"/>
      <c r="BG772" s="24"/>
      <c r="BJ772" s="24"/>
    </row>
    <row r="773" spans="32:62" ht="15" customHeight="1" x14ac:dyDescent="0.2">
      <c r="AF773" s="151"/>
      <c r="AG773" s="152"/>
      <c r="AH773" s="152"/>
      <c r="AI773" s="152"/>
      <c r="AJ773" s="152"/>
      <c r="AK773" s="75"/>
      <c r="AL773" s="75"/>
      <c r="AM773" s="75"/>
      <c r="AN773" s="152"/>
      <c r="AO773" s="152"/>
      <c r="AP773" s="152"/>
      <c r="AQ773" s="73"/>
      <c r="AR773" s="152"/>
      <c r="AS773" s="152"/>
      <c r="AT773" s="152"/>
      <c r="AU773" s="73"/>
      <c r="AV773" s="73"/>
      <c r="AW773" s="73"/>
      <c r="AX773" s="73"/>
      <c r="BD773" s="24"/>
      <c r="BG773" s="24"/>
      <c r="BJ773" s="24"/>
    </row>
    <row r="774" spans="32:62" ht="15" customHeight="1" x14ac:dyDescent="0.2">
      <c r="AF774" s="151"/>
      <c r="AG774" s="152"/>
      <c r="AH774" s="152"/>
      <c r="AI774" s="152"/>
      <c r="AJ774" s="152"/>
      <c r="AK774" s="75"/>
      <c r="AL774" s="75"/>
      <c r="AM774" s="75"/>
      <c r="AN774" s="152"/>
      <c r="AO774" s="152"/>
      <c r="AP774" s="152"/>
      <c r="AQ774" s="73"/>
      <c r="AR774" s="152"/>
      <c r="AS774" s="152"/>
      <c r="AT774" s="152"/>
      <c r="AU774" s="73"/>
      <c r="AV774" s="73"/>
      <c r="AW774" s="73"/>
      <c r="AX774" s="73"/>
      <c r="BD774" s="24"/>
      <c r="BG774" s="24"/>
      <c r="BJ774" s="24"/>
    </row>
    <row r="775" spans="32:62" ht="15" customHeight="1" x14ac:dyDescent="0.2">
      <c r="AF775" s="151"/>
      <c r="AG775" s="152"/>
      <c r="AH775" s="152"/>
      <c r="AI775" s="152"/>
      <c r="AJ775" s="152"/>
      <c r="AK775" s="75"/>
      <c r="AL775" s="75"/>
      <c r="AM775" s="75"/>
      <c r="AN775" s="152"/>
      <c r="AO775" s="152"/>
      <c r="AP775" s="152"/>
      <c r="AQ775" s="73"/>
      <c r="AR775" s="152"/>
      <c r="AS775" s="152"/>
      <c r="AT775" s="152"/>
      <c r="AU775" s="73"/>
      <c r="AV775" s="73"/>
      <c r="AW775" s="73"/>
      <c r="AX775" s="73"/>
      <c r="BD775" s="24"/>
      <c r="BG775" s="24"/>
      <c r="BJ775" s="24"/>
    </row>
    <row r="776" spans="32:62" ht="15" customHeight="1" x14ac:dyDescent="0.2">
      <c r="AF776" s="151"/>
      <c r="AG776" s="152"/>
      <c r="AH776" s="152"/>
      <c r="AI776" s="152"/>
      <c r="AJ776" s="152"/>
      <c r="AK776" s="75"/>
      <c r="AL776" s="75"/>
      <c r="AM776" s="75"/>
      <c r="AN776" s="152"/>
      <c r="AO776" s="152"/>
      <c r="AP776" s="152"/>
      <c r="AQ776" s="73"/>
      <c r="AR776" s="152"/>
      <c r="AS776" s="152"/>
      <c r="AT776" s="152"/>
      <c r="AU776" s="73"/>
      <c r="AV776" s="73"/>
      <c r="AW776" s="73"/>
      <c r="AX776" s="73"/>
      <c r="BD776" s="24"/>
      <c r="BG776" s="24"/>
      <c r="BJ776" s="24"/>
    </row>
    <row r="777" spans="32:62" ht="15" customHeight="1" x14ac:dyDescent="0.2">
      <c r="AF777" s="151"/>
      <c r="AG777" s="152"/>
      <c r="AH777" s="152"/>
      <c r="AI777" s="152"/>
      <c r="AJ777" s="152"/>
      <c r="AK777" s="75"/>
      <c r="AL777" s="75"/>
      <c r="AM777" s="75"/>
      <c r="AN777" s="152"/>
      <c r="AO777" s="152"/>
      <c r="AP777" s="152"/>
      <c r="AQ777" s="73"/>
      <c r="AR777" s="152"/>
      <c r="AS777" s="152"/>
      <c r="AT777" s="152"/>
      <c r="AU777" s="73"/>
      <c r="AV777" s="73"/>
      <c r="AW777" s="73"/>
      <c r="AX777" s="73"/>
      <c r="BD777" s="24"/>
      <c r="BG777" s="24"/>
      <c r="BJ777" s="24"/>
    </row>
    <row r="778" spans="32:62" ht="15" customHeight="1" x14ac:dyDescent="0.2">
      <c r="AF778" s="151"/>
      <c r="AG778" s="152"/>
      <c r="AH778" s="152"/>
      <c r="AI778" s="152"/>
      <c r="AJ778" s="152"/>
      <c r="AK778" s="75"/>
      <c r="AL778" s="75"/>
      <c r="AM778" s="75"/>
      <c r="AN778" s="152"/>
      <c r="AO778" s="152"/>
      <c r="AP778" s="152"/>
      <c r="AQ778" s="73"/>
      <c r="AR778" s="152"/>
      <c r="AS778" s="152"/>
      <c r="AT778" s="152"/>
      <c r="AU778" s="73"/>
      <c r="AV778" s="73"/>
      <c r="AW778" s="73"/>
      <c r="AX778" s="73"/>
      <c r="BD778" s="24"/>
      <c r="BG778" s="24"/>
      <c r="BJ778" s="24"/>
    </row>
    <row r="779" spans="32:62" ht="15" customHeight="1" x14ac:dyDescent="0.2">
      <c r="AF779" s="151"/>
      <c r="AG779" s="152"/>
      <c r="AH779" s="152"/>
      <c r="AI779" s="152"/>
      <c r="AJ779" s="152"/>
      <c r="AK779" s="75"/>
      <c r="AL779" s="75"/>
      <c r="AM779" s="75"/>
      <c r="AN779" s="152"/>
      <c r="AO779" s="152"/>
      <c r="AP779" s="152"/>
      <c r="AQ779" s="73"/>
      <c r="AR779" s="152"/>
      <c r="AS779" s="152"/>
      <c r="AT779" s="152"/>
      <c r="AU779" s="73"/>
      <c r="AV779" s="73"/>
      <c r="AW779" s="73"/>
      <c r="AX779" s="73"/>
      <c r="BD779" s="24"/>
      <c r="BG779" s="24"/>
      <c r="BJ779" s="24"/>
    </row>
    <row r="780" spans="32:62" ht="15" customHeight="1" x14ac:dyDescent="0.2">
      <c r="AF780" s="151"/>
      <c r="AG780" s="152"/>
      <c r="AH780" s="152"/>
      <c r="AI780" s="152"/>
      <c r="AJ780" s="152"/>
      <c r="AK780" s="75"/>
      <c r="AL780" s="75"/>
      <c r="AM780" s="75"/>
      <c r="AN780" s="152"/>
      <c r="AO780" s="152"/>
      <c r="AP780" s="152"/>
      <c r="AQ780" s="73"/>
      <c r="AR780" s="152"/>
      <c r="AS780" s="152"/>
      <c r="AT780" s="152"/>
      <c r="AU780" s="73"/>
      <c r="AV780" s="73"/>
      <c r="AW780" s="73"/>
      <c r="AX780" s="73"/>
      <c r="BD780" s="24"/>
      <c r="BG780" s="24"/>
      <c r="BJ780" s="24"/>
    </row>
    <row r="781" spans="32:62" ht="15" customHeight="1" x14ac:dyDescent="0.2">
      <c r="AF781" s="151"/>
      <c r="AG781" s="152"/>
      <c r="AH781" s="152"/>
      <c r="AI781" s="152"/>
      <c r="AJ781" s="152"/>
      <c r="AK781" s="75"/>
      <c r="AL781" s="75"/>
      <c r="AM781" s="75"/>
      <c r="AN781" s="152"/>
      <c r="AO781" s="152"/>
      <c r="AP781" s="152"/>
      <c r="AQ781" s="73"/>
      <c r="AR781" s="152"/>
      <c r="AS781" s="152"/>
      <c r="AT781" s="152"/>
      <c r="AU781" s="73"/>
      <c r="AV781" s="73"/>
      <c r="AW781" s="73"/>
      <c r="AX781" s="73"/>
      <c r="BD781" s="24"/>
      <c r="BG781" s="24"/>
      <c r="BJ781" s="24"/>
    </row>
    <row r="782" spans="32:62" ht="15" customHeight="1" x14ac:dyDescent="0.2">
      <c r="AF782" s="151"/>
      <c r="AG782" s="152"/>
      <c r="AH782" s="152"/>
      <c r="AI782" s="152"/>
      <c r="AJ782" s="152"/>
      <c r="AK782" s="75"/>
      <c r="AL782" s="75"/>
      <c r="AM782" s="75"/>
      <c r="AN782" s="152"/>
      <c r="AO782" s="152"/>
      <c r="AP782" s="152"/>
      <c r="AQ782" s="73"/>
      <c r="AR782" s="152"/>
      <c r="AS782" s="152"/>
      <c r="AT782" s="152"/>
      <c r="AU782" s="73"/>
      <c r="AV782" s="73"/>
      <c r="AW782" s="73"/>
      <c r="AX782" s="73"/>
      <c r="BD782" s="24"/>
      <c r="BG782" s="24"/>
      <c r="BJ782" s="24"/>
    </row>
    <row r="783" spans="32:62" ht="15" customHeight="1" x14ac:dyDescent="0.2">
      <c r="AF783" s="151"/>
      <c r="AG783" s="152"/>
      <c r="AH783" s="152"/>
      <c r="AI783" s="152"/>
      <c r="AJ783" s="152"/>
      <c r="AK783" s="75"/>
      <c r="AL783" s="75"/>
      <c r="AM783" s="75"/>
      <c r="AN783" s="152"/>
      <c r="AO783" s="152"/>
      <c r="AP783" s="152"/>
      <c r="AQ783" s="73"/>
      <c r="AR783" s="152"/>
      <c r="AS783" s="152"/>
      <c r="AT783" s="152"/>
      <c r="AU783" s="73"/>
      <c r="AV783" s="73"/>
      <c r="AW783" s="73"/>
      <c r="AX783" s="73"/>
      <c r="BD783" s="24"/>
      <c r="BG783" s="24"/>
      <c r="BJ783" s="24"/>
    </row>
    <row r="784" spans="32:62" ht="15" customHeight="1" x14ac:dyDescent="0.2">
      <c r="AF784" s="151"/>
      <c r="AG784" s="152"/>
      <c r="AH784" s="152"/>
      <c r="AI784" s="152"/>
      <c r="AJ784" s="152"/>
      <c r="AK784" s="75"/>
      <c r="AL784" s="75"/>
      <c r="AM784" s="75"/>
      <c r="AN784" s="152"/>
      <c r="AO784" s="152"/>
      <c r="AP784" s="152"/>
      <c r="AQ784" s="73"/>
      <c r="AR784" s="152"/>
      <c r="AS784" s="152"/>
      <c r="AT784" s="152"/>
      <c r="AU784" s="73"/>
      <c r="AV784" s="73"/>
      <c r="AW784" s="73"/>
      <c r="AX784" s="73"/>
      <c r="BD784" s="24"/>
      <c r="BG784" s="24"/>
      <c r="BJ784" s="24"/>
    </row>
    <row r="785" spans="32:62" ht="15" customHeight="1" x14ac:dyDescent="0.2">
      <c r="AF785" s="151"/>
      <c r="AG785" s="152"/>
      <c r="AH785" s="152"/>
      <c r="AI785" s="152"/>
      <c r="AJ785" s="152"/>
      <c r="AK785" s="75"/>
      <c r="AL785" s="75"/>
      <c r="AM785" s="75"/>
      <c r="AN785" s="152"/>
      <c r="AO785" s="152"/>
      <c r="AP785" s="152"/>
      <c r="AQ785" s="73"/>
      <c r="AR785" s="152"/>
      <c r="AS785" s="152"/>
      <c r="AT785" s="152"/>
      <c r="AU785" s="73"/>
      <c r="AV785" s="73"/>
      <c r="AW785" s="73"/>
      <c r="AX785" s="73"/>
      <c r="BD785" s="24"/>
      <c r="BG785" s="24"/>
      <c r="BJ785" s="24"/>
    </row>
    <row r="786" spans="32:62" ht="15" customHeight="1" x14ac:dyDescent="0.2">
      <c r="AF786" s="151"/>
      <c r="AG786" s="152"/>
      <c r="AH786" s="152"/>
      <c r="AI786" s="152"/>
      <c r="AJ786" s="152"/>
      <c r="AK786" s="75"/>
      <c r="AL786" s="75"/>
      <c r="AM786" s="75"/>
      <c r="AN786" s="152"/>
      <c r="AO786" s="152"/>
      <c r="AP786" s="152"/>
      <c r="AQ786" s="73"/>
      <c r="AR786" s="152"/>
      <c r="AS786" s="152"/>
      <c r="AT786" s="152"/>
      <c r="AU786" s="73"/>
      <c r="AV786" s="73"/>
      <c r="AW786" s="73"/>
      <c r="AX786" s="73"/>
      <c r="BD786" s="24"/>
      <c r="BG786" s="24"/>
      <c r="BJ786" s="24"/>
    </row>
    <row r="787" spans="32:62" ht="15" customHeight="1" x14ac:dyDescent="0.2">
      <c r="AF787" s="151"/>
      <c r="AG787" s="152"/>
      <c r="AH787" s="152"/>
      <c r="AI787" s="152"/>
      <c r="AJ787" s="152"/>
      <c r="AK787" s="75"/>
      <c r="AL787" s="75"/>
      <c r="AM787" s="75"/>
      <c r="AN787" s="152"/>
      <c r="AO787" s="152"/>
      <c r="AP787" s="152"/>
      <c r="AQ787" s="73"/>
      <c r="AR787" s="152"/>
      <c r="AS787" s="152"/>
      <c r="AT787" s="152"/>
      <c r="AU787" s="73"/>
      <c r="AV787" s="73"/>
      <c r="AW787" s="73"/>
      <c r="AX787" s="73"/>
      <c r="BD787" s="24"/>
      <c r="BG787" s="24"/>
      <c r="BJ787" s="24"/>
    </row>
    <row r="788" spans="32:62" ht="15" customHeight="1" x14ac:dyDescent="0.2">
      <c r="AF788" s="151"/>
      <c r="AG788" s="152"/>
      <c r="AH788" s="152"/>
      <c r="AI788" s="152"/>
      <c r="AJ788" s="152"/>
      <c r="AK788" s="75"/>
      <c r="AL788" s="75"/>
      <c r="AM788" s="75"/>
      <c r="AN788" s="152"/>
      <c r="AO788" s="152"/>
      <c r="AP788" s="152"/>
      <c r="AQ788" s="73"/>
      <c r="AR788" s="152"/>
      <c r="AS788" s="152"/>
      <c r="AT788" s="152"/>
      <c r="AU788" s="73"/>
      <c r="AV788" s="73"/>
      <c r="AW788" s="73"/>
      <c r="AX788" s="73"/>
      <c r="BD788" s="24"/>
      <c r="BG788" s="24"/>
      <c r="BJ788" s="24"/>
    </row>
    <row r="789" spans="32:62" ht="15" customHeight="1" x14ac:dyDescent="0.2">
      <c r="AF789" s="151"/>
      <c r="AG789" s="152"/>
      <c r="AH789" s="152"/>
      <c r="AI789" s="152"/>
      <c r="AJ789" s="152"/>
      <c r="AK789" s="75"/>
      <c r="AL789" s="75"/>
      <c r="AM789" s="75"/>
      <c r="AN789" s="152"/>
      <c r="AO789" s="152"/>
      <c r="AP789" s="152"/>
      <c r="AQ789" s="73"/>
      <c r="AR789" s="152"/>
      <c r="AS789" s="152"/>
      <c r="AT789" s="152"/>
      <c r="AU789" s="73"/>
      <c r="AV789" s="73"/>
      <c r="AW789" s="73"/>
      <c r="AX789" s="73"/>
      <c r="BD789" s="24"/>
      <c r="BG789" s="24"/>
      <c r="BJ789" s="24"/>
    </row>
    <row r="790" spans="32:62" ht="15" customHeight="1" x14ac:dyDescent="0.2">
      <c r="AF790" s="151"/>
      <c r="AG790" s="152"/>
      <c r="AH790" s="152"/>
      <c r="AI790" s="152"/>
      <c r="AJ790" s="152"/>
      <c r="AK790" s="75"/>
      <c r="AL790" s="75"/>
      <c r="AM790" s="75"/>
      <c r="AN790" s="152"/>
      <c r="AO790" s="152"/>
      <c r="AP790" s="152"/>
      <c r="AQ790" s="73"/>
      <c r="AR790" s="152"/>
      <c r="AS790" s="152"/>
      <c r="AT790" s="152"/>
      <c r="AU790" s="73"/>
      <c r="AV790" s="73"/>
      <c r="AW790" s="73"/>
      <c r="AX790" s="73"/>
      <c r="BD790" s="24"/>
      <c r="BG790" s="24"/>
      <c r="BJ790" s="24"/>
    </row>
    <row r="791" spans="32:62" ht="15" customHeight="1" x14ac:dyDescent="0.2">
      <c r="AF791" s="151"/>
      <c r="AG791" s="152"/>
      <c r="AH791" s="152"/>
      <c r="AI791" s="152"/>
      <c r="AJ791" s="152"/>
      <c r="AK791" s="75"/>
      <c r="AL791" s="75"/>
      <c r="AM791" s="75"/>
      <c r="AN791" s="152"/>
      <c r="AO791" s="152"/>
      <c r="AP791" s="152"/>
      <c r="AQ791" s="73"/>
      <c r="AR791" s="152"/>
      <c r="AS791" s="152"/>
      <c r="AT791" s="152"/>
      <c r="AU791" s="73"/>
      <c r="AV791" s="73"/>
      <c r="AW791" s="73"/>
      <c r="AX791" s="73"/>
      <c r="BD791" s="24"/>
      <c r="BG791" s="24"/>
      <c r="BJ791" s="24"/>
    </row>
    <row r="792" spans="32:62" ht="15" customHeight="1" x14ac:dyDescent="0.2">
      <c r="AF792" s="151"/>
      <c r="AG792" s="152"/>
      <c r="AH792" s="152"/>
      <c r="AI792" s="152"/>
      <c r="AJ792" s="152"/>
      <c r="AK792" s="75"/>
      <c r="AL792" s="75"/>
      <c r="AM792" s="75"/>
      <c r="AN792" s="152"/>
      <c r="AO792" s="152"/>
      <c r="AP792" s="152"/>
      <c r="AQ792" s="73"/>
      <c r="AR792" s="152"/>
      <c r="AS792" s="152"/>
      <c r="AT792" s="152"/>
      <c r="AU792" s="73"/>
      <c r="AV792" s="73"/>
      <c r="AW792" s="73"/>
      <c r="AX792" s="73"/>
      <c r="BD792" s="24"/>
      <c r="BG792" s="24"/>
      <c r="BJ792" s="24"/>
    </row>
    <row r="793" spans="32:62" ht="15" customHeight="1" x14ac:dyDescent="0.2">
      <c r="AF793" s="151"/>
      <c r="AG793" s="152"/>
      <c r="AH793" s="152"/>
      <c r="AI793" s="152"/>
      <c r="AJ793" s="152"/>
      <c r="AK793" s="75"/>
      <c r="AL793" s="75"/>
      <c r="AM793" s="75"/>
      <c r="AN793" s="152"/>
      <c r="AO793" s="152"/>
      <c r="AP793" s="152"/>
      <c r="AQ793" s="73"/>
      <c r="AR793" s="152"/>
      <c r="AS793" s="152"/>
      <c r="AT793" s="152"/>
      <c r="AU793" s="73"/>
      <c r="AV793" s="73"/>
      <c r="AW793" s="73"/>
      <c r="AX793" s="73"/>
      <c r="BD793" s="24"/>
      <c r="BG793" s="24"/>
      <c r="BJ793" s="24"/>
    </row>
    <row r="794" spans="32:62" ht="15" customHeight="1" x14ac:dyDescent="0.2">
      <c r="AF794" s="151"/>
      <c r="AG794" s="152"/>
      <c r="AH794" s="152"/>
      <c r="AI794" s="152"/>
      <c r="AJ794" s="152"/>
      <c r="AK794" s="75"/>
      <c r="AL794" s="75"/>
      <c r="AM794" s="75"/>
      <c r="AN794" s="152"/>
      <c r="AO794" s="152"/>
      <c r="AP794" s="152"/>
      <c r="AQ794" s="73"/>
      <c r="AR794" s="152"/>
      <c r="AS794" s="152"/>
      <c r="AT794" s="152"/>
      <c r="AU794" s="73"/>
      <c r="AV794" s="73"/>
      <c r="AW794" s="73"/>
      <c r="AX794" s="73"/>
      <c r="BD794" s="24"/>
      <c r="BG794" s="24"/>
      <c r="BJ794" s="24"/>
    </row>
    <row r="795" spans="32:62" ht="15" customHeight="1" x14ac:dyDescent="0.2">
      <c r="AF795" s="151"/>
      <c r="AG795" s="152"/>
      <c r="AH795" s="152"/>
      <c r="AI795" s="152"/>
      <c r="AJ795" s="152"/>
      <c r="AK795" s="75"/>
      <c r="AL795" s="75"/>
      <c r="AM795" s="75"/>
      <c r="AN795" s="152"/>
      <c r="AO795" s="152"/>
      <c r="AP795" s="152"/>
      <c r="AQ795" s="73"/>
      <c r="AR795" s="152"/>
      <c r="AS795" s="152"/>
      <c r="AT795" s="152"/>
      <c r="AU795" s="73"/>
      <c r="AV795" s="73"/>
      <c r="AW795" s="73"/>
      <c r="AX795" s="73"/>
      <c r="BD795" s="24"/>
      <c r="BG795" s="24"/>
      <c r="BJ795" s="24"/>
    </row>
    <row r="796" spans="32:62" ht="15" customHeight="1" x14ac:dyDescent="0.2">
      <c r="AF796" s="151"/>
      <c r="AG796" s="152"/>
      <c r="AH796" s="152"/>
      <c r="AI796" s="152"/>
      <c r="AJ796" s="152"/>
      <c r="AK796" s="75"/>
      <c r="AL796" s="75"/>
      <c r="AM796" s="75"/>
      <c r="AN796" s="152"/>
      <c r="AO796" s="152"/>
      <c r="AP796" s="152"/>
      <c r="AQ796" s="73"/>
      <c r="AR796" s="152"/>
      <c r="AS796" s="152"/>
      <c r="AT796" s="152"/>
      <c r="AU796" s="73"/>
      <c r="AV796" s="73"/>
      <c r="AW796" s="73"/>
      <c r="AX796" s="73"/>
      <c r="BD796" s="24"/>
      <c r="BG796" s="24"/>
      <c r="BJ796" s="24"/>
    </row>
    <row r="797" spans="32:62" ht="15" customHeight="1" x14ac:dyDescent="0.2">
      <c r="AF797" s="151"/>
      <c r="AG797" s="152"/>
      <c r="AH797" s="152"/>
      <c r="AI797" s="152"/>
      <c r="AJ797" s="152"/>
      <c r="AK797" s="75"/>
      <c r="AL797" s="75"/>
      <c r="AM797" s="75"/>
      <c r="AN797" s="152"/>
      <c r="AO797" s="152"/>
      <c r="AP797" s="152"/>
      <c r="AQ797" s="73"/>
      <c r="AR797" s="152"/>
      <c r="AS797" s="152"/>
      <c r="AT797" s="152"/>
      <c r="AU797" s="73"/>
      <c r="AV797" s="73"/>
      <c r="AW797" s="73"/>
      <c r="AX797" s="73"/>
      <c r="BD797" s="24"/>
      <c r="BG797" s="24"/>
      <c r="BJ797" s="24"/>
    </row>
    <row r="798" spans="32:62" ht="15" customHeight="1" x14ac:dyDescent="0.2">
      <c r="AF798" s="151"/>
      <c r="AG798" s="152"/>
      <c r="AH798" s="152"/>
      <c r="AI798" s="152"/>
      <c r="AJ798" s="152"/>
      <c r="AK798" s="75"/>
      <c r="AL798" s="75"/>
      <c r="AM798" s="75"/>
      <c r="AN798" s="152"/>
      <c r="AO798" s="152"/>
      <c r="AP798" s="152"/>
      <c r="AQ798" s="73"/>
      <c r="AR798" s="152"/>
      <c r="AS798" s="152"/>
      <c r="AT798" s="152"/>
      <c r="AU798" s="73"/>
      <c r="AV798" s="73"/>
      <c r="AW798" s="73"/>
      <c r="AX798" s="73"/>
      <c r="BD798" s="24"/>
      <c r="BG798" s="24"/>
      <c r="BJ798" s="24"/>
    </row>
    <row r="799" spans="32:62" ht="15" customHeight="1" x14ac:dyDescent="0.2">
      <c r="AF799" s="151"/>
      <c r="AG799" s="152"/>
      <c r="AH799" s="152"/>
      <c r="AI799" s="152"/>
      <c r="AJ799" s="152"/>
      <c r="AK799" s="75"/>
      <c r="AL799" s="75"/>
      <c r="AM799" s="75"/>
      <c r="AN799" s="152"/>
      <c r="AO799" s="152"/>
      <c r="AP799" s="152"/>
      <c r="AQ799" s="73"/>
      <c r="AR799" s="152"/>
      <c r="AS799" s="152"/>
      <c r="AT799" s="152"/>
      <c r="AU799" s="73"/>
      <c r="AV799" s="73"/>
      <c r="AW799" s="73"/>
      <c r="AX799" s="73"/>
      <c r="BD799" s="24"/>
      <c r="BG799" s="24"/>
      <c r="BJ799" s="24"/>
    </row>
    <row r="800" spans="32:62" ht="15" customHeight="1" x14ac:dyDescent="0.2">
      <c r="AF800" s="151"/>
      <c r="AG800" s="152"/>
      <c r="AH800" s="152"/>
      <c r="AI800" s="152"/>
      <c r="AJ800" s="152"/>
      <c r="AK800" s="75"/>
      <c r="AL800" s="75"/>
      <c r="AM800" s="75"/>
      <c r="AN800" s="152"/>
      <c r="AO800" s="152"/>
      <c r="AP800" s="152"/>
      <c r="AQ800" s="73"/>
      <c r="AR800" s="152"/>
      <c r="AS800" s="152"/>
      <c r="AT800" s="152"/>
      <c r="AU800" s="73"/>
      <c r="AV800" s="73"/>
      <c r="AW800" s="73"/>
      <c r="AX800" s="73"/>
      <c r="BD800" s="24"/>
      <c r="BG800" s="24"/>
      <c r="BJ800" s="24"/>
    </row>
    <row r="801" spans="32:62" ht="15" customHeight="1" x14ac:dyDescent="0.2">
      <c r="AF801" s="151"/>
      <c r="AG801" s="152"/>
      <c r="AH801" s="152"/>
      <c r="AI801" s="152"/>
      <c r="AJ801" s="152"/>
      <c r="AK801" s="75"/>
      <c r="AL801" s="75"/>
      <c r="AM801" s="75"/>
      <c r="AN801" s="152"/>
      <c r="AO801" s="152"/>
      <c r="AP801" s="152"/>
      <c r="AQ801" s="73"/>
      <c r="AR801" s="152"/>
      <c r="AS801" s="152"/>
      <c r="AT801" s="152"/>
      <c r="AU801" s="73"/>
      <c r="AV801" s="73"/>
      <c r="AW801" s="73"/>
      <c r="AX801" s="73"/>
      <c r="BD801" s="24"/>
      <c r="BG801" s="24"/>
      <c r="BJ801" s="24"/>
    </row>
    <row r="802" spans="32:62" ht="15" customHeight="1" x14ac:dyDescent="0.2">
      <c r="AF802" s="151"/>
      <c r="AG802" s="152"/>
      <c r="AH802" s="152"/>
      <c r="AI802" s="152"/>
      <c r="AJ802" s="152"/>
      <c r="AK802" s="75"/>
      <c r="AL802" s="75"/>
      <c r="AM802" s="75"/>
      <c r="AN802" s="152"/>
      <c r="AO802" s="152"/>
      <c r="AP802" s="152"/>
      <c r="AQ802" s="73"/>
      <c r="AR802" s="152"/>
      <c r="AS802" s="152"/>
      <c r="AT802" s="152"/>
      <c r="AU802" s="73"/>
      <c r="AV802" s="73"/>
      <c r="AW802" s="73"/>
      <c r="AX802" s="73"/>
      <c r="BD802" s="24"/>
      <c r="BG802" s="24"/>
      <c r="BJ802" s="24"/>
    </row>
    <row r="803" spans="32:62" ht="15" customHeight="1" x14ac:dyDescent="0.2">
      <c r="AF803" s="151"/>
      <c r="AG803" s="152"/>
      <c r="AH803" s="152"/>
      <c r="AI803" s="152"/>
      <c r="AJ803" s="152"/>
      <c r="AK803" s="75"/>
      <c r="AL803" s="75"/>
      <c r="AM803" s="75"/>
      <c r="AN803" s="152"/>
      <c r="AO803" s="152"/>
      <c r="AP803" s="152"/>
      <c r="AQ803" s="73"/>
      <c r="AR803" s="152"/>
      <c r="AS803" s="152"/>
      <c r="AT803" s="152"/>
      <c r="AU803" s="73"/>
      <c r="AV803" s="73"/>
      <c r="AW803" s="73"/>
      <c r="AX803" s="73"/>
      <c r="BD803" s="24"/>
      <c r="BG803" s="24"/>
      <c r="BJ803" s="24"/>
    </row>
    <row r="804" spans="32:62" ht="15" customHeight="1" x14ac:dyDescent="0.2">
      <c r="AF804" s="151"/>
      <c r="AG804" s="152"/>
      <c r="AH804" s="152"/>
      <c r="AI804" s="152"/>
      <c r="AJ804" s="152"/>
      <c r="AK804" s="75"/>
      <c r="AL804" s="75"/>
      <c r="AM804" s="75"/>
      <c r="AN804" s="152"/>
      <c r="AO804" s="152"/>
      <c r="AP804" s="152"/>
      <c r="AQ804" s="73"/>
      <c r="AR804" s="152"/>
      <c r="AS804" s="152"/>
      <c r="AT804" s="152"/>
      <c r="AU804" s="73"/>
      <c r="AV804" s="73"/>
      <c r="AW804" s="73"/>
      <c r="AX804" s="73"/>
      <c r="BD804" s="24"/>
      <c r="BG804" s="24"/>
      <c r="BJ804" s="24"/>
    </row>
    <row r="805" spans="32:62" ht="15" customHeight="1" x14ac:dyDescent="0.2">
      <c r="AF805" s="151"/>
      <c r="AG805" s="152"/>
      <c r="AH805" s="152"/>
      <c r="AI805" s="152"/>
      <c r="AJ805" s="152"/>
      <c r="AK805" s="75"/>
      <c r="AL805" s="75"/>
      <c r="AM805" s="75"/>
      <c r="AN805" s="152"/>
      <c r="AO805" s="152"/>
      <c r="AP805" s="152"/>
      <c r="AQ805" s="73"/>
      <c r="AR805" s="152"/>
      <c r="AS805" s="152"/>
      <c r="AT805" s="152"/>
      <c r="AU805" s="73"/>
      <c r="AV805" s="73"/>
      <c r="AW805" s="73"/>
      <c r="AX805" s="73"/>
      <c r="BD805" s="24"/>
      <c r="BG805" s="24"/>
      <c r="BJ805" s="24"/>
    </row>
    <row r="806" spans="32:62" ht="15" customHeight="1" x14ac:dyDescent="0.2">
      <c r="AF806" s="151"/>
      <c r="AG806" s="152"/>
      <c r="AH806" s="152"/>
      <c r="AI806" s="152"/>
      <c r="AJ806" s="152"/>
      <c r="AK806" s="75"/>
      <c r="AL806" s="75"/>
      <c r="AM806" s="75"/>
      <c r="AN806" s="152"/>
      <c r="AO806" s="152"/>
      <c r="AP806" s="152"/>
      <c r="AQ806" s="73"/>
      <c r="AR806" s="152"/>
      <c r="AS806" s="152"/>
      <c r="AT806" s="152"/>
      <c r="AU806" s="73"/>
      <c r="AV806" s="73"/>
      <c r="AW806" s="73"/>
      <c r="AX806" s="73"/>
      <c r="BD806" s="24"/>
      <c r="BG806" s="24"/>
      <c r="BJ806" s="24"/>
    </row>
    <row r="807" spans="32:62" ht="15" customHeight="1" x14ac:dyDescent="0.2">
      <c r="AF807" s="151"/>
      <c r="AG807" s="152"/>
      <c r="AH807" s="152"/>
      <c r="AI807" s="152"/>
      <c r="AJ807" s="152"/>
      <c r="AK807" s="75"/>
      <c r="AL807" s="75"/>
      <c r="AM807" s="75"/>
      <c r="AN807" s="152"/>
      <c r="AO807" s="152"/>
      <c r="AP807" s="152"/>
      <c r="AQ807" s="73"/>
      <c r="AR807" s="152"/>
      <c r="AS807" s="152"/>
      <c r="AT807" s="152"/>
      <c r="AU807" s="73"/>
      <c r="AV807" s="73"/>
      <c r="AW807" s="73"/>
      <c r="AX807" s="73"/>
      <c r="BD807" s="24"/>
      <c r="BG807" s="24"/>
      <c r="BJ807" s="24"/>
    </row>
    <row r="808" spans="32:62" ht="15" customHeight="1" x14ac:dyDescent="0.2">
      <c r="AF808" s="151"/>
      <c r="AG808" s="152"/>
      <c r="AH808" s="152"/>
      <c r="AI808" s="152"/>
      <c r="AJ808" s="152"/>
      <c r="AK808" s="75"/>
      <c r="AL808" s="75"/>
      <c r="AM808" s="75"/>
      <c r="AN808" s="152"/>
      <c r="AO808" s="152"/>
      <c r="AP808" s="152"/>
      <c r="AQ808" s="73"/>
      <c r="AR808" s="152"/>
      <c r="AS808" s="152"/>
      <c r="AT808" s="152"/>
      <c r="AU808" s="73"/>
      <c r="AV808" s="73"/>
      <c r="AW808" s="73"/>
      <c r="AX808" s="73"/>
      <c r="BD808" s="24"/>
      <c r="BG808" s="24"/>
      <c r="BJ808" s="24"/>
    </row>
    <row r="809" spans="32:62" ht="15" customHeight="1" x14ac:dyDescent="0.2">
      <c r="AF809" s="151"/>
      <c r="AG809" s="152"/>
      <c r="AH809" s="152"/>
      <c r="AI809" s="152"/>
      <c r="AJ809" s="152"/>
      <c r="AK809" s="75"/>
      <c r="AL809" s="75"/>
      <c r="AM809" s="75"/>
      <c r="AN809" s="152"/>
      <c r="AO809" s="152"/>
      <c r="AP809" s="152"/>
      <c r="AQ809" s="73"/>
      <c r="AR809" s="152"/>
      <c r="AS809" s="152"/>
      <c r="AT809" s="152"/>
      <c r="AU809" s="73"/>
      <c r="AV809" s="73"/>
      <c r="AW809" s="73"/>
      <c r="AX809" s="73"/>
      <c r="BD809" s="24"/>
      <c r="BG809" s="24"/>
      <c r="BJ809" s="24"/>
    </row>
    <row r="810" spans="32:62" ht="15" customHeight="1" x14ac:dyDescent="0.2">
      <c r="AF810" s="151"/>
      <c r="AG810" s="152"/>
      <c r="AH810" s="152"/>
      <c r="AI810" s="152"/>
      <c r="AJ810" s="152"/>
      <c r="AK810" s="75"/>
      <c r="AL810" s="75"/>
      <c r="AM810" s="75"/>
      <c r="AN810" s="152"/>
      <c r="AO810" s="152"/>
      <c r="AP810" s="152"/>
      <c r="AQ810" s="73"/>
      <c r="AR810" s="152"/>
      <c r="AS810" s="152"/>
      <c r="AT810" s="152"/>
      <c r="AU810" s="73"/>
      <c r="AV810" s="73"/>
      <c r="AW810" s="73"/>
      <c r="AX810" s="73"/>
      <c r="BD810" s="24"/>
      <c r="BG810" s="24"/>
      <c r="BJ810" s="24"/>
    </row>
    <row r="811" spans="32:62" ht="15" customHeight="1" x14ac:dyDescent="0.2">
      <c r="AF811" s="151"/>
      <c r="AG811" s="152"/>
      <c r="AH811" s="152"/>
      <c r="AI811" s="152"/>
      <c r="AJ811" s="152"/>
      <c r="AK811" s="75"/>
      <c r="AL811" s="75"/>
      <c r="AM811" s="75"/>
      <c r="AN811" s="152"/>
      <c r="AO811" s="152"/>
      <c r="AP811" s="152"/>
      <c r="AQ811" s="73"/>
      <c r="AR811" s="152"/>
      <c r="AS811" s="152"/>
      <c r="AT811" s="152"/>
      <c r="AU811" s="73"/>
      <c r="AV811" s="73"/>
      <c r="AW811" s="73"/>
      <c r="AX811" s="73"/>
      <c r="BD811" s="24"/>
      <c r="BG811" s="24"/>
      <c r="BJ811" s="24"/>
    </row>
    <row r="812" spans="32:62" ht="15" customHeight="1" x14ac:dyDescent="0.2">
      <c r="AF812" s="151"/>
      <c r="AG812" s="152"/>
      <c r="AH812" s="152"/>
      <c r="AI812" s="152"/>
      <c r="AJ812" s="152"/>
      <c r="AK812" s="75"/>
      <c r="AL812" s="75"/>
      <c r="AM812" s="75"/>
      <c r="AN812" s="152"/>
      <c r="AO812" s="152"/>
      <c r="AP812" s="152"/>
      <c r="AQ812" s="73"/>
      <c r="AR812" s="152"/>
      <c r="AS812" s="152"/>
      <c r="AT812" s="152"/>
      <c r="AU812" s="73"/>
      <c r="AV812" s="73"/>
      <c r="AW812" s="73"/>
      <c r="AX812" s="73"/>
      <c r="BD812" s="24"/>
      <c r="BG812" s="24"/>
      <c r="BJ812" s="24"/>
    </row>
    <row r="813" spans="32:62" ht="15" customHeight="1" x14ac:dyDescent="0.2">
      <c r="AF813" s="151"/>
      <c r="AG813" s="152"/>
      <c r="AH813" s="152"/>
      <c r="AI813" s="152"/>
      <c r="AJ813" s="152"/>
      <c r="AK813" s="75"/>
      <c r="AL813" s="75"/>
      <c r="AM813" s="75"/>
      <c r="AN813" s="152"/>
      <c r="AO813" s="152"/>
      <c r="AP813" s="152"/>
      <c r="AQ813" s="73"/>
      <c r="AR813" s="152"/>
      <c r="AS813" s="152"/>
      <c r="AT813" s="152"/>
      <c r="AU813" s="73"/>
      <c r="AV813" s="73"/>
      <c r="AW813" s="73"/>
      <c r="AX813" s="73"/>
      <c r="BD813" s="24"/>
      <c r="BG813" s="24"/>
      <c r="BJ813" s="24"/>
    </row>
    <row r="814" spans="32:62" ht="15" customHeight="1" x14ac:dyDescent="0.2">
      <c r="AF814" s="151"/>
      <c r="AG814" s="152"/>
      <c r="AH814" s="152"/>
      <c r="AI814" s="152"/>
      <c r="AJ814" s="152"/>
      <c r="AK814" s="75"/>
      <c r="AL814" s="75"/>
      <c r="AM814" s="75"/>
      <c r="AN814" s="152"/>
      <c r="AO814" s="152"/>
      <c r="AP814" s="152"/>
      <c r="AQ814" s="73"/>
      <c r="AR814" s="152"/>
      <c r="AS814" s="152"/>
      <c r="AT814" s="152"/>
      <c r="AU814" s="73"/>
      <c r="AV814" s="73"/>
      <c r="AW814" s="73"/>
      <c r="AX814" s="73"/>
      <c r="BD814" s="24"/>
      <c r="BG814" s="24"/>
      <c r="BJ814" s="24"/>
    </row>
    <row r="815" spans="32:62" ht="15" customHeight="1" x14ac:dyDescent="0.2">
      <c r="AF815" s="151"/>
      <c r="AG815" s="152"/>
      <c r="AH815" s="152"/>
      <c r="AI815" s="152"/>
      <c r="AJ815" s="152"/>
      <c r="AK815" s="75"/>
      <c r="AL815" s="75"/>
      <c r="AM815" s="75"/>
      <c r="AN815" s="152"/>
      <c r="AO815" s="152"/>
      <c r="AP815" s="152"/>
      <c r="AQ815" s="73"/>
      <c r="AR815" s="152"/>
      <c r="AS815" s="152"/>
      <c r="AT815" s="152"/>
      <c r="AU815" s="73"/>
      <c r="AV815" s="73"/>
      <c r="AW815" s="73"/>
      <c r="AX815" s="73"/>
      <c r="BD815" s="24"/>
      <c r="BG815" s="24"/>
      <c r="BJ815" s="24"/>
    </row>
    <row r="816" spans="32:62" ht="15" customHeight="1" x14ac:dyDescent="0.2">
      <c r="AF816" s="151"/>
      <c r="AG816" s="152"/>
      <c r="AH816" s="152"/>
      <c r="AI816" s="152"/>
      <c r="AJ816" s="152"/>
      <c r="AK816" s="75"/>
      <c r="AL816" s="75"/>
      <c r="AM816" s="75"/>
      <c r="AN816" s="152"/>
      <c r="AO816" s="152"/>
      <c r="AP816" s="152"/>
      <c r="AQ816" s="73"/>
      <c r="AR816" s="152"/>
      <c r="AS816" s="152"/>
      <c r="AT816" s="152"/>
      <c r="AU816" s="73"/>
      <c r="AV816" s="73"/>
      <c r="AW816" s="73"/>
      <c r="AX816" s="73"/>
      <c r="BD816" s="24"/>
      <c r="BG816" s="24"/>
      <c r="BJ816" s="24"/>
    </row>
    <row r="817" spans="32:62" ht="15" customHeight="1" x14ac:dyDescent="0.2">
      <c r="AF817" s="151"/>
      <c r="AG817" s="152"/>
      <c r="AH817" s="152"/>
      <c r="AI817" s="152"/>
      <c r="AJ817" s="152"/>
      <c r="AK817" s="75"/>
      <c r="AL817" s="75"/>
      <c r="AM817" s="75"/>
      <c r="AN817" s="152"/>
      <c r="AO817" s="152"/>
      <c r="AP817" s="152"/>
      <c r="AQ817" s="73"/>
      <c r="AR817" s="152"/>
      <c r="AS817" s="152"/>
      <c r="AT817" s="152"/>
      <c r="AU817" s="73"/>
      <c r="AV817" s="73"/>
      <c r="AW817" s="73"/>
      <c r="AX817" s="73"/>
      <c r="BD817" s="24"/>
      <c r="BG817" s="24"/>
      <c r="BJ817" s="24"/>
    </row>
    <row r="818" spans="32:62" ht="15" customHeight="1" x14ac:dyDescent="0.2">
      <c r="AF818" s="151"/>
      <c r="AG818" s="152"/>
      <c r="AH818" s="152"/>
      <c r="AI818" s="152"/>
      <c r="AJ818" s="152"/>
      <c r="AK818" s="75"/>
      <c r="AL818" s="75"/>
      <c r="AM818" s="75"/>
      <c r="AN818" s="152"/>
      <c r="AO818" s="152"/>
      <c r="AP818" s="152"/>
      <c r="AQ818" s="73"/>
      <c r="AR818" s="152"/>
      <c r="AS818" s="152"/>
      <c r="AT818" s="152"/>
      <c r="AU818" s="73"/>
      <c r="AV818" s="73"/>
      <c r="AW818" s="73"/>
      <c r="AX818" s="73"/>
      <c r="BD818" s="24"/>
      <c r="BG818" s="24"/>
      <c r="BJ818" s="24"/>
    </row>
    <row r="819" spans="32:62" ht="15" customHeight="1" x14ac:dyDescent="0.2">
      <c r="AF819" s="151"/>
      <c r="AG819" s="152"/>
      <c r="AH819" s="152"/>
      <c r="AI819" s="152"/>
      <c r="AJ819" s="152"/>
      <c r="AK819" s="75"/>
      <c r="AL819" s="75"/>
      <c r="AM819" s="75"/>
      <c r="AN819" s="152"/>
      <c r="AO819" s="152"/>
      <c r="AP819" s="152"/>
      <c r="AQ819" s="73"/>
      <c r="AR819" s="152"/>
      <c r="AS819" s="152"/>
      <c r="AT819" s="152"/>
      <c r="AU819" s="73"/>
      <c r="AV819" s="73"/>
      <c r="AW819" s="73"/>
      <c r="AX819" s="73"/>
      <c r="BD819" s="24"/>
      <c r="BG819" s="24"/>
      <c r="BJ819" s="24"/>
    </row>
    <row r="820" spans="32:62" ht="15" customHeight="1" x14ac:dyDescent="0.2">
      <c r="AF820" s="151"/>
      <c r="AG820" s="152"/>
      <c r="AH820" s="152"/>
      <c r="AI820" s="152"/>
      <c r="AJ820" s="152"/>
      <c r="AK820" s="75"/>
      <c r="AL820" s="75"/>
      <c r="AM820" s="75"/>
      <c r="AN820" s="152"/>
      <c r="AO820" s="152"/>
      <c r="AP820" s="152"/>
      <c r="AQ820" s="73"/>
      <c r="AR820" s="152"/>
      <c r="AS820" s="152"/>
      <c r="AT820" s="152"/>
      <c r="AU820" s="73"/>
      <c r="AV820" s="73"/>
      <c r="AW820" s="73"/>
      <c r="AX820" s="73"/>
      <c r="BD820" s="24"/>
      <c r="BG820" s="24"/>
      <c r="BJ820" s="24"/>
    </row>
    <row r="821" spans="32:62" ht="15" customHeight="1" x14ac:dyDescent="0.2">
      <c r="AF821" s="151"/>
      <c r="AG821" s="152"/>
      <c r="AH821" s="152"/>
      <c r="AI821" s="152"/>
      <c r="AJ821" s="152"/>
      <c r="AK821" s="75"/>
      <c r="AL821" s="75"/>
      <c r="AM821" s="75"/>
      <c r="AN821" s="152"/>
      <c r="AO821" s="152"/>
      <c r="AP821" s="152"/>
      <c r="AQ821" s="73"/>
      <c r="AR821" s="152"/>
      <c r="AS821" s="152"/>
      <c r="AT821" s="152"/>
      <c r="AU821" s="73"/>
      <c r="AV821" s="73"/>
      <c r="AW821" s="73"/>
      <c r="AX821" s="73"/>
      <c r="BD821" s="24"/>
      <c r="BG821" s="24"/>
      <c r="BJ821" s="24"/>
    </row>
    <row r="822" spans="32:62" ht="15" customHeight="1" x14ac:dyDescent="0.2">
      <c r="AF822" s="151"/>
      <c r="AG822" s="152"/>
      <c r="AH822" s="152"/>
      <c r="AI822" s="152"/>
      <c r="AJ822" s="152"/>
      <c r="AK822" s="75"/>
      <c r="AL822" s="75"/>
      <c r="AM822" s="75"/>
      <c r="AN822" s="152"/>
      <c r="AO822" s="152"/>
      <c r="AP822" s="152"/>
      <c r="AQ822" s="73"/>
      <c r="AR822" s="152"/>
      <c r="AS822" s="152"/>
      <c r="AT822" s="152"/>
      <c r="AU822" s="73"/>
      <c r="AV822" s="73"/>
      <c r="AW822" s="73"/>
      <c r="AX822" s="73"/>
      <c r="BD822" s="24"/>
      <c r="BG822" s="24"/>
      <c r="BJ822" s="24"/>
    </row>
    <row r="823" spans="32:62" ht="15" customHeight="1" x14ac:dyDescent="0.2">
      <c r="AF823" s="151"/>
      <c r="AG823" s="152"/>
      <c r="AH823" s="152"/>
      <c r="AI823" s="152"/>
      <c r="AJ823" s="152"/>
      <c r="AK823" s="75"/>
      <c r="AL823" s="75"/>
      <c r="AM823" s="75"/>
      <c r="AN823" s="152"/>
      <c r="AO823" s="152"/>
      <c r="AP823" s="152"/>
      <c r="AQ823" s="73"/>
      <c r="AR823" s="152"/>
      <c r="AS823" s="152"/>
      <c r="AT823" s="152"/>
      <c r="AU823" s="73"/>
      <c r="AV823" s="73"/>
      <c r="AW823" s="73"/>
      <c r="AX823" s="73"/>
      <c r="BD823" s="24"/>
      <c r="BG823" s="24"/>
      <c r="BJ823" s="24"/>
    </row>
    <row r="824" spans="32:62" ht="15" customHeight="1" x14ac:dyDescent="0.2">
      <c r="AF824" s="151"/>
      <c r="AG824" s="152"/>
      <c r="AH824" s="152"/>
      <c r="AI824" s="152"/>
      <c r="AJ824" s="152"/>
      <c r="AK824" s="75"/>
      <c r="AL824" s="75"/>
      <c r="AM824" s="75"/>
      <c r="AN824" s="152"/>
      <c r="AO824" s="152"/>
      <c r="AP824" s="152"/>
      <c r="AQ824" s="73"/>
      <c r="AR824" s="152"/>
      <c r="AS824" s="152"/>
      <c r="AT824" s="152"/>
      <c r="AU824" s="73"/>
      <c r="AV824" s="73"/>
      <c r="AW824" s="73"/>
      <c r="AX824" s="73"/>
      <c r="BD824" s="24"/>
      <c r="BG824" s="24"/>
      <c r="BJ824" s="24"/>
    </row>
    <row r="825" spans="32:62" ht="15" customHeight="1" x14ac:dyDescent="0.2">
      <c r="AF825" s="151"/>
      <c r="AG825" s="152"/>
      <c r="AH825" s="152"/>
      <c r="AI825" s="152"/>
      <c r="AJ825" s="152"/>
      <c r="AK825" s="75"/>
      <c r="AL825" s="75"/>
      <c r="AM825" s="75"/>
      <c r="AN825" s="152"/>
      <c r="AO825" s="152"/>
      <c r="AP825" s="152"/>
      <c r="AQ825" s="73"/>
      <c r="AR825" s="152"/>
      <c r="AS825" s="152"/>
      <c r="AT825" s="152"/>
      <c r="AU825" s="73"/>
      <c r="AV825" s="73"/>
      <c r="AW825" s="73"/>
      <c r="AX825" s="73"/>
      <c r="BD825" s="24"/>
      <c r="BG825" s="24"/>
      <c r="BJ825" s="24"/>
    </row>
    <row r="826" spans="32:62" ht="15" customHeight="1" x14ac:dyDescent="0.2">
      <c r="AF826" s="151"/>
      <c r="AG826" s="152"/>
      <c r="AH826" s="152"/>
      <c r="AI826" s="152"/>
      <c r="AJ826" s="152"/>
      <c r="AK826" s="75"/>
      <c r="AL826" s="75"/>
      <c r="AM826" s="75"/>
      <c r="AN826" s="152"/>
      <c r="AO826" s="152"/>
      <c r="AP826" s="152"/>
      <c r="AQ826" s="73"/>
      <c r="AR826" s="152"/>
      <c r="AS826" s="152"/>
      <c r="AT826" s="152"/>
      <c r="AU826" s="73"/>
      <c r="AV826" s="73"/>
      <c r="AW826" s="73"/>
      <c r="AX826" s="73"/>
      <c r="BD826" s="24"/>
      <c r="BG826" s="24"/>
      <c r="BJ826" s="24"/>
    </row>
    <row r="827" spans="32:62" ht="15" customHeight="1" x14ac:dyDescent="0.2">
      <c r="AF827" s="151"/>
      <c r="AG827" s="152"/>
      <c r="AH827" s="152"/>
      <c r="AI827" s="152"/>
      <c r="AJ827" s="152"/>
      <c r="AK827" s="75"/>
      <c r="AL827" s="75"/>
      <c r="AM827" s="75"/>
      <c r="AN827" s="152"/>
      <c r="AO827" s="152"/>
      <c r="AP827" s="152"/>
      <c r="AQ827" s="73"/>
      <c r="AR827" s="152"/>
      <c r="AS827" s="152"/>
      <c r="AT827" s="152"/>
      <c r="AU827" s="73"/>
      <c r="AV827" s="73"/>
      <c r="AW827" s="73"/>
      <c r="AX827" s="73"/>
      <c r="BD827" s="24"/>
      <c r="BG827" s="24"/>
      <c r="BJ827" s="24"/>
    </row>
    <row r="828" spans="32:62" ht="15" customHeight="1" x14ac:dyDescent="0.2">
      <c r="AF828" s="151"/>
      <c r="AG828" s="152"/>
      <c r="AH828" s="152"/>
      <c r="AI828" s="152"/>
      <c r="AJ828" s="152"/>
      <c r="AK828" s="75"/>
      <c r="AL828" s="75"/>
      <c r="AM828" s="75"/>
      <c r="AN828" s="152"/>
      <c r="AO828" s="152"/>
      <c r="AP828" s="152"/>
      <c r="AQ828" s="73"/>
      <c r="AR828" s="152"/>
      <c r="AS828" s="152"/>
      <c r="AT828" s="152"/>
      <c r="AU828" s="73"/>
      <c r="AV828" s="73"/>
      <c r="AW828" s="73"/>
      <c r="AX828" s="73"/>
      <c r="BD828" s="24"/>
      <c r="BG828" s="24"/>
      <c r="BJ828" s="24"/>
    </row>
    <row r="829" spans="32:62" ht="15" customHeight="1" x14ac:dyDescent="0.2">
      <c r="AF829" s="151"/>
      <c r="AG829" s="152"/>
      <c r="AH829" s="152"/>
      <c r="AI829" s="152"/>
      <c r="AJ829" s="152"/>
      <c r="AK829" s="75"/>
      <c r="AL829" s="75"/>
      <c r="AM829" s="75"/>
      <c r="AN829" s="152"/>
      <c r="AO829" s="152"/>
      <c r="AP829" s="152"/>
      <c r="AQ829" s="73"/>
      <c r="AR829" s="152"/>
      <c r="AS829" s="152"/>
      <c r="AT829" s="152"/>
      <c r="AU829" s="73"/>
      <c r="AV829" s="73"/>
      <c r="AW829" s="73"/>
      <c r="AX829" s="73"/>
      <c r="BD829" s="24"/>
      <c r="BG829" s="24"/>
      <c r="BJ829" s="24"/>
    </row>
    <row r="830" spans="32:62" ht="15" customHeight="1" x14ac:dyDescent="0.2">
      <c r="AF830" s="151"/>
      <c r="AG830" s="152"/>
      <c r="AH830" s="152"/>
      <c r="AI830" s="152"/>
      <c r="AJ830" s="152"/>
      <c r="AK830" s="75"/>
      <c r="AL830" s="75"/>
      <c r="AM830" s="75"/>
      <c r="AN830" s="152"/>
      <c r="AO830" s="152"/>
      <c r="AP830" s="152"/>
      <c r="AQ830" s="73"/>
      <c r="AR830" s="152"/>
      <c r="AS830" s="152"/>
      <c r="AT830" s="152"/>
      <c r="AU830" s="73"/>
      <c r="AV830" s="73"/>
      <c r="AW830" s="73"/>
      <c r="AX830" s="73"/>
      <c r="BD830" s="24"/>
      <c r="BG830" s="24"/>
      <c r="BJ830" s="24"/>
    </row>
    <row r="831" spans="32:62" ht="15" customHeight="1" x14ac:dyDescent="0.2">
      <c r="AF831" s="151"/>
      <c r="AG831" s="152"/>
      <c r="AH831" s="152"/>
      <c r="AI831" s="152"/>
      <c r="AJ831" s="152"/>
      <c r="AK831" s="75"/>
      <c r="AL831" s="75"/>
      <c r="AM831" s="75"/>
      <c r="AN831" s="152"/>
      <c r="AO831" s="152"/>
      <c r="AP831" s="152"/>
      <c r="AQ831" s="73"/>
      <c r="AR831" s="152"/>
      <c r="AS831" s="152"/>
      <c r="AT831" s="152"/>
      <c r="AU831" s="73"/>
      <c r="AV831" s="73"/>
      <c r="AW831" s="73"/>
      <c r="AX831" s="73"/>
      <c r="BD831" s="24"/>
      <c r="BG831" s="24"/>
      <c r="BJ831" s="24"/>
    </row>
    <row r="832" spans="32:62" ht="15" customHeight="1" x14ac:dyDescent="0.2">
      <c r="AF832" s="151"/>
      <c r="AG832" s="152"/>
      <c r="AH832" s="152"/>
      <c r="AI832" s="152"/>
      <c r="AJ832" s="152"/>
      <c r="AK832" s="75"/>
      <c r="AL832" s="75"/>
      <c r="AM832" s="75"/>
      <c r="AN832" s="152"/>
      <c r="AO832" s="152"/>
      <c r="AP832" s="152"/>
      <c r="AQ832" s="73"/>
      <c r="AR832" s="152"/>
      <c r="AS832" s="152"/>
      <c r="AT832" s="152"/>
      <c r="AU832" s="73"/>
      <c r="AV832" s="73"/>
      <c r="AW832" s="73"/>
      <c r="AX832" s="73"/>
      <c r="BD832" s="24"/>
      <c r="BG832" s="24"/>
      <c r="BJ832" s="24"/>
    </row>
    <row r="833" spans="32:62" ht="15" customHeight="1" x14ac:dyDescent="0.2">
      <c r="AF833" s="151"/>
      <c r="AG833" s="152"/>
      <c r="AH833" s="152"/>
      <c r="AI833" s="152"/>
      <c r="AJ833" s="152"/>
      <c r="AK833" s="75"/>
      <c r="AL833" s="75"/>
      <c r="AM833" s="75"/>
      <c r="AN833" s="152"/>
      <c r="AO833" s="152"/>
      <c r="AP833" s="152"/>
      <c r="AQ833" s="73"/>
      <c r="AR833" s="152"/>
      <c r="AS833" s="152"/>
      <c r="AT833" s="152"/>
      <c r="AU833" s="73"/>
      <c r="AV833" s="73"/>
      <c r="AW833" s="73"/>
      <c r="AX833" s="73"/>
      <c r="BD833" s="24"/>
      <c r="BG833" s="24"/>
      <c r="BJ833" s="24"/>
    </row>
    <row r="834" spans="32:62" ht="15" customHeight="1" x14ac:dyDescent="0.2">
      <c r="AF834" s="151"/>
      <c r="AG834" s="152"/>
      <c r="AH834" s="152"/>
      <c r="AI834" s="152"/>
      <c r="AJ834" s="152"/>
      <c r="AK834" s="75"/>
      <c r="AL834" s="75"/>
      <c r="AM834" s="75"/>
      <c r="AN834" s="152"/>
      <c r="AO834" s="152"/>
      <c r="AP834" s="152"/>
      <c r="AQ834" s="73"/>
      <c r="AR834" s="152"/>
      <c r="AS834" s="152"/>
      <c r="AT834" s="152"/>
      <c r="AU834" s="73"/>
      <c r="AV834" s="73"/>
      <c r="AW834" s="73"/>
      <c r="AX834" s="73"/>
      <c r="BD834" s="24"/>
      <c r="BG834" s="24"/>
      <c r="BJ834" s="24"/>
    </row>
    <row r="835" spans="32:62" ht="15" customHeight="1" x14ac:dyDescent="0.2">
      <c r="AF835" s="151"/>
      <c r="AG835" s="152"/>
      <c r="AH835" s="152"/>
      <c r="AI835" s="152"/>
      <c r="AJ835" s="152"/>
      <c r="AK835" s="75"/>
      <c r="AL835" s="75"/>
      <c r="AM835" s="75"/>
      <c r="AN835" s="152"/>
      <c r="AO835" s="152"/>
      <c r="AP835" s="152"/>
      <c r="AQ835" s="73"/>
      <c r="AR835" s="152"/>
      <c r="AS835" s="152"/>
      <c r="AT835" s="152"/>
      <c r="AU835" s="73"/>
      <c r="AV835" s="73"/>
      <c r="AW835" s="73"/>
      <c r="AX835" s="73"/>
      <c r="BD835" s="24"/>
      <c r="BG835" s="24"/>
      <c r="BJ835" s="24"/>
    </row>
    <row r="836" spans="32:62" ht="15" customHeight="1" x14ac:dyDescent="0.2">
      <c r="AF836" s="151"/>
      <c r="AG836" s="152"/>
      <c r="AH836" s="152"/>
      <c r="AI836" s="152"/>
      <c r="AJ836" s="152"/>
      <c r="AK836" s="75"/>
      <c r="AL836" s="75"/>
      <c r="AM836" s="75"/>
      <c r="AN836" s="152"/>
      <c r="AO836" s="152"/>
      <c r="AP836" s="152"/>
      <c r="AQ836" s="73"/>
      <c r="AR836" s="152"/>
      <c r="AS836" s="152"/>
      <c r="AT836" s="152"/>
      <c r="AU836" s="73"/>
      <c r="AV836" s="73"/>
      <c r="AW836" s="73"/>
      <c r="AX836" s="73"/>
      <c r="BD836" s="24"/>
      <c r="BG836" s="24"/>
      <c r="BJ836" s="24"/>
    </row>
    <row r="837" spans="32:62" ht="15" customHeight="1" x14ac:dyDescent="0.2">
      <c r="AF837" s="151"/>
      <c r="AG837" s="152"/>
      <c r="AH837" s="152"/>
      <c r="AI837" s="152"/>
      <c r="AJ837" s="152"/>
      <c r="AK837" s="75"/>
      <c r="AL837" s="75"/>
      <c r="AM837" s="75"/>
      <c r="AN837" s="152"/>
      <c r="AO837" s="152"/>
      <c r="AP837" s="152"/>
      <c r="AQ837" s="73"/>
      <c r="AR837" s="152"/>
      <c r="AS837" s="152"/>
      <c r="AT837" s="152"/>
      <c r="AU837" s="73"/>
      <c r="AV837" s="73"/>
      <c r="AW837" s="73"/>
      <c r="AX837" s="73"/>
      <c r="BD837" s="24"/>
      <c r="BG837" s="24"/>
      <c r="BJ837" s="24"/>
    </row>
    <row r="838" spans="32:62" ht="15" customHeight="1" x14ac:dyDescent="0.2">
      <c r="AF838" s="151"/>
      <c r="AG838" s="152"/>
      <c r="AH838" s="152"/>
      <c r="AI838" s="152"/>
      <c r="AJ838" s="152"/>
      <c r="AK838" s="75"/>
      <c r="AL838" s="75"/>
      <c r="AM838" s="75"/>
      <c r="AN838" s="152"/>
      <c r="AO838" s="152"/>
      <c r="AP838" s="152"/>
      <c r="AQ838" s="73"/>
      <c r="AR838" s="152"/>
      <c r="AS838" s="152"/>
      <c r="AT838" s="152"/>
      <c r="AU838" s="73"/>
      <c r="AV838" s="73"/>
      <c r="AW838" s="73"/>
      <c r="AX838" s="73"/>
      <c r="BD838" s="24"/>
      <c r="BG838" s="24"/>
      <c r="BJ838" s="24"/>
    </row>
    <row r="839" spans="32:62" ht="15" customHeight="1" x14ac:dyDescent="0.2">
      <c r="AF839" s="151"/>
      <c r="AG839" s="152"/>
      <c r="AH839" s="152"/>
      <c r="AI839" s="152"/>
      <c r="AJ839" s="152"/>
      <c r="AK839" s="75"/>
      <c r="AL839" s="75"/>
      <c r="AM839" s="75"/>
      <c r="AN839" s="152"/>
      <c r="AO839" s="152"/>
      <c r="AP839" s="152"/>
      <c r="AQ839" s="73"/>
      <c r="AR839" s="152"/>
      <c r="AS839" s="152"/>
      <c r="AT839" s="152"/>
      <c r="AU839" s="73"/>
      <c r="AV839" s="73"/>
      <c r="AW839" s="73"/>
      <c r="AX839" s="73"/>
      <c r="BD839" s="24"/>
      <c r="BG839" s="24"/>
      <c r="BJ839" s="24"/>
    </row>
    <row r="840" spans="32:62" ht="15" customHeight="1" x14ac:dyDescent="0.2">
      <c r="AF840" s="151"/>
      <c r="AG840" s="152"/>
      <c r="AH840" s="152"/>
      <c r="AI840" s="152"/>
      <c r="AJ840" s="152"/>
      <c r="AK840" s="75"/>
      <c r="AL840" s="75"/>
      <c r="AM840" s="75"/>
      <c r="AN840" s="152"/>
      <c r="AO840" s="152"/>
      <c r="AP840" s="152"/>
      <c r="AQ840" s="73"/>
      <c r="AR840" s="152"/>
      <c r="AS840" s="152"/>
      <c r="AT840" s="152"/>
      <c r="AU840" s="73"/>
      <c r="AV840" s="73"/>
      <c r="AW840" s="73"/>
      <c r="AX840" s="73"/>
      <c r="BD840" s="24"/>
      <c r="BG840" s="24"/>
      <c r="BJ840" s="24"/>
    </row>
    <row r="841" spans="32:62" ht="15" customHeight="1" x14ac:dyDescent="0.2">
      <c r="AF841" s="151"/>
      <c r="AG841" s="152"/>
      <c r="AH841" s="152"/>
      <c r="AI841" s="152"/>
      <c r="AJ841" s="152"/>
      <c r="AK841" s="75"/>
      <c r="AL841" s="75"/>
      <c r="AM841" s="75"/>
      <c r="AN841" s="152"/>
      <c r="AO841" s="152"/>
      <c r="AP841" s="152"/>
      <c r="AQ841" s="73"/>
      <c r="AR841" s="152"/>
      <c r="AS841" s="152"/>
      <c r="AT841" s="152"/>
      <c r="AU841" s="73"/>
      <c r="AV841" s="73"/>
      <c r="AW841" s="73"/>
      <c r="AX841" s="73"/>
      <c r="BD841" s="24"/>
      <c r="BG841" s="24"/>
      <c r="BJ841" s="24"/>
    </row>
    <row r="842" spans="32:62" ht="15" customHeight="1" x14ac:dyDescent="0.2">
      <c r="AF842" s="151"/>
      <c r="AG842" s="152"/>
      <c r="AH842" s="152"/>
      <c r="AI842" s="152"/>
      <c r="AJ842" s="152"/>
      <c r="AK842" s="75"/>
      <c r="AL842" s="75"/>
      <c r="AM842" s="75"/>
      <c r="AN842" s="152"/>
      <c r="AO842" s="152"/>
      <c r="AP842" s="152"/>
      <c r="AQ842" s="73"/>
      <c r="AR842" s="152"/>
      <c r="AS842" s="152"/>
      <c r="AT842" s="152"/>
      <c r="AU842" s="73"/>
      <c r="AV842" s="73"/>
      <c r="AW842" s="73"/>
      <c r="AX842" s="73"/>
      <c r="BD842" s="24"/>
      <c r="BG842" s="24"/>
      <c r="BJ842" s="24"/>
    </row>
    <row r="843" spans="32:62" ht="15" customHeight="1" x14ac:dyDescent="0.2">
      <c r="AF843" s="151"/>
      <c r="AG843" s="152"/>
      <c r="AH843" s="152"/>
      <c r="AI843" s="152"/>
      <c r="AJ843" s="152"/>
      <c r="AK843" s="75"/>
      <c r="AL843" s="75"/>
      <c r="AM843" s="75"/>
      <c r="AN843" s="152"/>
      <c r="AO843" s="152"/>
      <c r="AP843" s="152"/>
      <c r="AQ843" s="73"/>
      <c r="AR843" s="152"/>
      <c r="AS843" s="152"/>
      <c r="AT843" s="152"/>
      <c r="AU843" s="73"/>
      <c r="AV843" s="73"/>
      <c r="AW843" s="73"/>
      <c r="AX843" s="73"/>
      <c r="BD843" s="24"/>
      <c r="BG843" s="24"/>
      <c r="BJ843" s="24"/>
    </row>
    <row r="844" spans="32:62" ht="15" customHeight="1" x14ac:dyDescent="0.2">
      <c r="AF844" s="151"/>
      <c r="AG844" s="152"/>
      <c r="AH844" s="152"/>
      <c r="AI844" s="152"/>
      <c r="AJ844" s="152"/>
      <c r="AK844" s="75"/>
      <c r="AL844" s="75"/>
      <c r="AM844" s="75"/>
      <c r="AN844" s="152"/>
      <c r="AO844" s="152"/>
      <c r="AP844" s="152"/>
      <c r="AQ844" s="73"/>
      <c r="AR844" s="152"/>
      <c r="AS844" s="152"/>
      <c r="AT844" s="152"/>
      <c r="AU844" s="73"/>
      <c r="AV844" s="73"/>
      <c r="AW844" s="73"/>
      <c r="AX844" s="73"/>
      <c r="BD844" s="24"/>
      <c r="BG844" s="24"/>
      <c r="BJ844" s="24"/>
    </row>
    <row r="845" spans="32:62" ht="15" customHeight="1" x14ac:dyDescent="0.2">
      <c r="AF845" s="151"/>
      <c r="AG845" s="152"/>
      <c r="AH845" s="152"/>
      <c r="AI845" s="152"/>
      <c r="AJ845" s="152"/>
      <c r="AK845" s="75"/>
      <c r="AL845" s="75"/>
      <c r="AM845" s="75"/>
      <c r="AN845" s="152"/>
      <c r="AO845" s="152"/>
      <c r="AP845" s="152"/>
      <c r="AQ845" s="73"/>
      <c r="AR845" s="152"/>
      <c r="AS845" s="152"/>
      <c r="AT845" s="152"/>
      <c r="AU845" s="73"/>
      <c r="AV845" s="73"/>
      <c r="AW845" s="73"/>
      <c r="AX845" s="73"/>
      <c r="BD845" s="24"/>
      <c r="BG845" s="24"/>
      <c r="BJ845" s="24"/>
    </row>
    <row r="846" spans="32:62" ht="15" customHeight="1" x14ac:dyDescent="0.2">
      <c r="AF846" s="151"/>
      <c r="AG846" s="152"/>
      <c r="AH846" s="152"/>
      <c r="AI846" s="152"/>
      <c r="AJ846" s="152"/>
      <c r="AK846" s="75"/>
      <c r="AL846" s="75"/>
      <c r="AM846" s="75"/>
      <c r="AN846" s="152"/>
      <c r="AO846" s="152"/>
      <c r="AP846" s="152"/>
      <c r="AQ846" s="73"/>
      <c r="AR846" s="152"/>
      <c r="AS846" s="152"/>
      <c r="AT846" s="152"/>
      <c r="AU846" s="73"/>
      <c r="AV846" s="73"/>
      <c r="AW846" s="73"/>
      <c r="AX846" s="73"/>
      <c r="BD846" s="24"/>
      <c r="BG846" s="24"/>
      <c r="BJ846" s="24"/>
    </row>
    <row r="847" spans="32:62" ht="15" customHeight="1" x14ac:dyDescent="0.2">
      <c r="AF847" s="151"/>
      <c r="AG847" s="152"/>
      <c r="AH847" s="152"/>
      <c r="AI847" s="152"/>
      <c r="AJ847" s="152"/>
      <c r="AK847" s="75"/>
      <c r="AL847" s="75"/>
      <c r="AM847" s="75"/>
      <c r="AN847" s="152"/>
      <c r="AO847" s="152"/>
      <c r="AP847" s="152"/>
      <c r="AQ847" s="73"/>
      <c r="AR847" s="152"/>
      <c r="AS847" s="152"/>
      <c r="AT847" s="152"/>
      <c r="AU847" s="73"/>
      <c r="AV847" s="73"/>
      <c r="AW847" s="73"/>
      <c r="AX847" s="73"/>
      <c r="BD847" s="24"/>
      <c r="BG847" s="24"/>
      <c r="BJ847" s="24"/>
    </row>
    <row r="848" spans="32:62" ht="15" customHeight="1" x14ac:dyDescent="0.2">
      <c r="AF848" s="151"/>
      <c r="AG848" s="152"/>
      <c r="AH848" s="152"/>
      <c r="AI848" s="152"/>
      <c r="AJ848" s="152"/>
      <c r="AK848" s="75"/>
      <c r="AL848" s="75"/>
      <c r="AM848" s="75"/>
      <c r="AN848" s="152"/>
      <c r="AO848" s="152"/>
      <c r="AP848" s="152"/>
      <c r="AQ848" s="73"/>
      <c r="AR848" s="152"/>
      <c r="AS848" s="152"/>
      <c r="AT848" s="152"/>
      <c r="AU848" s="73"/>
      <c r="AV848" s="73"/>
      <c r="AW848" s="73"/>
      <c r="AX848" s="73"/>
      <c r="BD848" s="24"/>
      <c r="BG848" s="24"/>
      <c r="BJ848" s="24"/>
    </row>
    <row r="849" spans="32:62" ht="15" customHeight="1" x14ac:dyDescent="0.2">
      <c r="AF849" s="151"/>
      <c r="AG849" s="152"/>
      <c r="AH849" s="152"/>
      <c r="AI849" s="152"/>
      <c r="AJ849" s="152"/>
      <c r="AK849" s="75"/>
      <c r="AL849" s="75"/>
      <c r="AM849" s="75"/>
      <c r="AN849" s="152"/>
      <c r="AO849" s="152"/>
      <c r="AP849" s="152"/>
      <c r="AQ849" s="73"/>
      <c r="AR849" s="152"/>
      <c r="AS849" s="152"/>
      <c r="AT849" s="152"/>
      <c r="AU849" s="73"/>
      <c r="AV849" s="73"/>
      <c r="AW849" s="73"/>
      <c r="AX849" s="73"/>
      <c r="BD849" s="24"/>
      <c r="BG849" s="24"/>
      <c r="BJ849" s="24"/>
    </row>
    <row r="850" spans="32:62" ht="15" customHeight="1" x14ac:dyDescent="0.2">
      <c r="AF850" s="151"/>
      <c r="AG850" s="152"/>
      <c r="AH850" s="152"/>
      <c r="AI850" s="152"/>
      <c r="AJ850" s="152"/>
      <c r="AK850" s="75"/>
      <c r="AL850" s="75"/>
      <c r="AM850" s="75"/>
      <c r="AN850" s="152"/>
      <c r="AO850" s="152"/>
      <c r="AP850" s="152"/>
      <c r="AQ850" s="73"/>
      <c r="AR850" s="152"/>
      <c r="AS850" s="152"/>
      <c r="AT850" s="152"/>
      <c r="AU850" s="73"/>
      <c r="AV850" s="73"/>
      <c r="AW850" s="73"/>
      <c r="AX850" s="73"/>
      <c r="BD850" s="24"/>
      <c r="BG850" s="24"/>
      <c r="BJ850" s="24"/>
    </row>
    <row r="851" spans="32:62" ht="15" customHeight="1" x14ac:dyDescent="0.2">
      <c r="AF851" s="151"/>
      <c r="AG851" s="152"/>
      <c r="AH851" s="152"/>
      <c r="AI851" s="152"/>
      <c r="AJ851" s="152"/>
      <c r="AK851" s="75"/>
      <c r="AL851" s="75"/>
      <c r="AM851" s="75"/>
      <c r="AN851" s="152"/>
      <c r="AO851" s="152"/>
      <c r="AP851" s="152"/>
      <c r="AQ851" s="73"/>
      <c r="AR851" s="152"/>
      <c r="AS851" s="152"/>
      <c r="AT851" s="152"/>
      <c r="AU851" s="73"/>
      <c r="AV851" s="73"/>
      <c r="AW851" s="73"/>
      <c r="AX851" s="73"/>
      <c r="BD851" s="24"/>
      <c r="BG851" s="24"/>
      <c r="BJ851" s="24"/>
    </row>
    <row r="852" spans="32:62" ht="15" customHeight="1" x14ac:dyDescent="0.2">
      <c r="AF852" s="151"/>
      <c r="AG852" s="152"/>
      <c r="AH852" s="152"/>
      <c r="AI852" s="152"/>
      <c r="AJ852" s="152"/>
      <c r="AK852" s="75"/>
      <c r="AL852" s="75"/>
      <c r="AM852" s="75"/>
      <c r="AN852" s="152"/>
      <c r="AO852" s="152"/>
      <c r="AP852" s="152"/>
      <c r="AQ852" s="73"/>
      <c r="AR852" s="152"/>
      <c r="AS852" s="152"/>
      <c r="AT852" s="152"/>
      <c r="AU852" s="73"/>
      <c r="AV852" s="73"/>
      <c r="AW852" s="73"/>
      <c r="AX852" s="73"/>
      <c r="BD852" s="24"/>
      <c r="BG852" s="24"/>
      <c r="BJ852" s="24"/>
    </row>
    <row r="853" spans="32:62" ht="15" customHeight="1" x14ac:dyDescent="0.2">
      <c r="AF853" s="151"/>
      <c r="AG853" s="152"/>
      <c r="AH853" s="152"/>
      <c r="AI853" s="152"/>
      <c r="AJ853" s="152"/>
      <c r="AK853" s="75"/>
      <c r="AL853" s="75"/>
      <c r="AM853" s="75"/>
      <c r="AN853" s="152"/>
      <c r="AO853" s="152"/>
      <c r="AP853" s="152"/>
      <c r="AQ853" s="73"/>
      <c r="AR853" s="152"/>
      <c r="AS853" s="152"/>
      <c r="AT853" s="152"/>
      <c r="AU853" s="73"/>
      <c r="AV853" s="73"/>
      <c r="AW853" s="73"/>
      <c r="AX853" s="73"/>
      <c r="BD853" s="24"/>
      <c r="BG853" s="24"/>
      <c r="BJ853" s="24"/>
    </row>
    <row r="854" spans="32:62" ht="15" customHeight="1" x14ac:dyDescent="0.2">
      <c r="AF854" s="151"/>
      <c r="AG854" s="152"/>
      <c r="AH854" s="152"/>
      <c r="AI854" s="152"/>
      <c r="AJ854" s="152"/>
      <c r="AK854" s="75"/>
      <c r="AL854" s="75"/>
      <c r="AM854" s="75"/>
      <c r="AN854" s="152"/>
      <c r="AO854" s="152"/>
      <c r="AP854" s="152"/>
      <c r="AQ854" s="73"/>
      <c r="AR854" s="152"/>
      <c r="AS854" s="152"/>
      <c r="AT854" s="152"/>
      <c r="AU854" s="73"/>
      <c r="AV854" s="73"/>
      <c r="AW854" s="73"/>
      <c r="AX854" s="73"/>
      <c r="BD854" s="24"/>
      <c r="BG854" s="24"/>
      <c r="BJ854" s="24"/>
    </row>
    <row r="855" spans="32:62" ht="15" customHeight="1" x14ac:dyDescent="0.2">
      <c r="AF855" s="151"/>
      <c r="AG855" s="152"/>
      <c r="AH855" s="152"/>
      <c r="AI855" s="152"/>
      <c r="AJ855" s="152"/>
      <c r="AK855" s="75"/>
      <c r="AL855" s="75"/>
      <c r="AM855" s="75"/>
      <c r="AN855" s="152"/>
      <c r="AO855" s="152"/>
      <c r="AP855" s="152"/>
      <c r="AQ855" s="73"/>
      <c r="AR855" s="152"/>
      <c r="AS855" s="152"/>
      <c r="AT855" s="152"/>
      <c r="AU855" s="73"/>
      <c r="AV855" s="73"/>
      <c r="AW855" s="73"/>
      <c r="AX855" s="73"/>
      <c r="BD855" s="24"/>
      <c r="BG855" s="24"/>
      <c r="BJ855" s="24"/>
    </row>
    <row r="856" spans="32:62" ht="15" customHeight="1" x14ac:dyDescent="0.2">
      <c r="AF856" s="151"/>
      <c r="AG856" s="152"/>
      <c r="AH856" s="152"/>
      <c r="AI856" s="152"/>
      <c r="AJ856" s="152"/>
      <c r="AK856" s="75"/>
      <c r="AL856" s="75"/>
      <c r="AM856" s="75"/>
      <c r="AN856" s="152"/>
      <c r="AO856" s="152"/>
      <c r="AP856" s="152"/>
      <c r="AQ856" s="73"/>
      <c r="AR856" s="152"/>
      <c r="AS856" s="152"/>
      <c r="AT856" s="152"/>
      <c r="AU856" s="73"/>
      <c r="AV856" s="73"/>
      <c r="AW856" s="73"/>
      <c r="AX856" s="73"/>
      <c r="BD856" s="24"/>
      <c r="BG856" s="24"/>
      <c r="BJ856" s="24"/>
    </row>
    <row r="857" spans="32:62" ht="15" customHeight="1" x14ac:dyDescent="0.2">
      <c r="AF857" s="151"/>
      <c r="AG857" s="152"/>
      <c r="AH857" s="152"/>
      <c r="AI857" s="152"/>
      <c r="AJ857" s="152"/>
      <c r="AK857" s="75"/>
      <c r="AL857" s="75"/>
      <c r="AM857" s="75"/>
      <c r="AN857" s="152"/>
      <c r="AO857" s="152"/>
      <c r="AP857" s="152"/>
      <c r="AQ857" s="73"/>
      <c r="AR857" s="152"/>
      <c r="AS857" s="152"/>
      <c r="AT857" s="152"/>
      <c r="AU857" s="73"/>
      <c r="AV857" s="73"/>
      <c r="AW857" s="73"/>
      <c r="AX857" s="73"/>
      <c r="BD857" s="24"/>
      <c r="BG857" s="24"/>
      <c r="BJ857" s="24"/>
    </row>
    <row r="858" spans="32:62" ht="15" customHeight="1" x14ac:dyDescent="0.2">
      <c r="AF858" s="151"/>
      <c r="AG858" s="152"/>
      <c r="AH858" s="152"/>
      <c r="AI858" s="152"/>
      <c r="AJ858" s="152"/>
      <c r="AK858" s="75"/>
      <c r="AL858" s="75"/>
      <c r="AM858" s="75"/>
      <c r="AN858" s="152"/>
      <c r="AO858" s="152"/>
      <c r="AP858" s="152"/>
      <c r="AQ858" s="73"/>
      <c r="AR858" s="152"/>
      <c r="AS858" s="152"/>
      <c r="AT858" s="152"/>
      <c r="AU858" s="73"/>
      <c r="AV858" s="73"/>
      <c r="AW858" s="73"/>
      <c r="AX858" s="73"/>
      <c r="BD858" s="24"/>
      <c r="BG858" s="24"/>
      <c r="BJ858" s="24"/>
    </row>
    <row r="859" spans="32:62" ht="15" customHeight="1" x14ac:dyDescent="0.2">
      <c r="AF859" s="151"/>
      <c r="AG859" s="152"/>
      <c r="AH859" s="152"/>
      <c r="AI859" s="152"/>
      <c r="AJ859" s="152"/>
      <c r="AK859" s="75"/>
      <c r="AL859" s="75"/>
      <c r="AM859" s="75"/>
      <c r="AN859" s="152"/>
      <c r="AO859" s="152"/>
      <c r="AP859" s="152"/>
      <c r="AQ859" s="73"/>
      <c r="AR859" s="152"/>
      <c r="AS859" s="152"/>
      <c r="AT859" s="152"/>
      <c r="AU859" s="73"/>
      <c r="AV859" s="73"/>
      <c r="AW859" s="73"/>
      <c r="AX859" s="73"/>
      <c r="BD859" s="24"/>
      <c r="BG859" s="24"/>
      <c r="BJ859" s="24"/>
    </row>
    <row r="860" spans="32:62" ht="15" customHeight="1" x14ac:dyDescent="0.2">
      <c r="AF860" s="151"/>
      <c r="AG860" s="152"/>
      <c r="AH860" s="152"/>
      <c r="AI860" s="152"/>
      <c r="AJ860" s="152"/>
      <c r="AK860" s="75"/>
      <c r="AL860" s="75"/>
      <c r="AM860" s="75"/>
      <c r="AN860" s="152"/>
      <c r="AO860" s="152"/>
      <c r="AP860" s="152"/>
      <c r="AQ860" s="73"/>
      <c r="AR860" s="152"/>
      <c r="AS860" s="152"/>
      <c r="AT860" s="152"/>
      <c r="AU860" s="73"/>
      <c r="AV860" s="73"/>
      <c r="AW860" s="73"/>
      <c r="AX860" s="73"/>
      <c r="BD860" s="24"/>
      <c r="BG860" s="24"/>
      <c r="BJ860" s="24"/>
    </row>
    <row r="861" spans="32:62" ht="15" customHeight="1" x14ac:dyDescent="0.2">
      <c r="AF861" s="151"/>
      <c r="AG861" s="152"/>
      <c r="AH861" s="152"/>
      <c r="AI861" s="152"/>
      <c r="AJ861" s="152"/>
      <c r="AK861" s="75"/>
      <c r="AL861" s="75"/>
      <c r="AM861" s="75"/>
      <c r="AN861" s="152"/>
      <c r="AO861" s="152"/>
      <c r="AP861" s="152"/>
      <c r="AQ861" s="73"/>
      <c r="AR861" s="152"/>
      <c r="AS861" s="152"/>
      <c r="AT861" s="152"/>
      <c r="AU861" s="73"/>
      <c r="AV861" s="73"/>
      <c r="AW861" s="73"/>
      <c r="AX861" s="73"/>
      <c r="BD861" s="24"/>
      <c r="BG861" s="24"/>
      <c r="BJ861" s="24"/>
    </row>
    <row r="862" spans="32:62" ht="15" customHeight="1" x14ac:dyDescent="0.2">
      <c r="AF862" s="151"/>
      <c r="AG862" s="152"/>
      <c r="AH862" s="152"/>
      <c r="AI862" s="152"/>
      <c r="AJ862" s="152"/>
      <c r="AK862" s="75"/>
      <c r="AL862" s="75"/>
      <c r="AM862" s="75"/>
      <c r="AN862" s="152"/>
      <c r="AO862" s="152"/>
      <c r="AP862" s="152"/>
      <c r="AQ862" s="73"/>
      <c r="AR862" s="152"/>
      <c r="AS862" s="152"/>
      <c r="AT862" s="152"/>
      <c r="AU862" s="73"/>
      <c r="AV862" s="73"/>
      <c r="AW862" s="73"/>
      <c r="AX862" s="73"/>
      <c r="BD862" s="24"/>
      <c r="BG862" s="24"/>
      <c r="BJ862" s="24"/>
    </row>
    <row r="863" spans="32:62" ht="15" customHeight="1" x14ac:dyDescent="0.2">
      <c r="AF863" s="151"/>
      <c r="AG863" s="152"/>
      <c r="AH863" s="152"/>
      <c r="AI863" s="152"/>
      <c r="AJ863" s="152"/>
      <c r="AK863" s="75"/>
      <c r="AL863" s="75"/>
      <c r="AM863" s="75"/>
      <c r="AN863" s="152"/>
      <c r="AO863" s="152"/>
      <c r="AP863" s="152"/>
      <c r="AQ863" s="73"/>
      <c r="AR863" s="152"/>
      <c r="AS863" s="152"/>
      <c r="AT863" s="152"/>
      <c r="AU863" s="73"/>
      <c r="AV863" s="73"/>
      <c r="AW863" s="73"/>
      <c r="AX863" s="73"/>
      <c r="BD863" s="24"/>
      <c r="BG863" s="24"/>
      <c r="BJ863" s="24"/>
    </row>
    <row r="864" spans="32:62" ht="15" customHeight="1" x14ac:dyDescent="0.2">
      <c r="AF864" s="151"/>
      <c r="AG864" s="152"/>
      <c r="AH864" s="152"/>
      <c r="AI864" s="152"/>
      <c r="AJ864" s="152"/>
      <c r="AK864" s="75"/>
      <c r="AL864" s="75"/>
      <c r="AM864" s="75"/>
      <c r="AN864" s="152"/>
      <c r="AO864" s="152"/>
      <c r="AP864" s="152"/>
      <c r="AQ864" s="73"/>
      <c r="AR864" s="152"/>
      <c r="AS864" s="152"/>
      <c r="AT864" s="152"/>
      <c r="AU864" s="73"/>
      <c r="AV864" s="73"/>
      <c r="AW864" s="73"/>
      <c r="AX864" s="73"/>
      <c r="BD864" s="24"/>
      <c r="BG864" s="24"/>
      <c r="BJ864" s="24"/>
    </row>
    <row r="865" spans="32:62" ht="15" customHeight="1" x14ac:dyDescent="0.2">
      <c r="AF865" s="151"/>
      <c r="AG865" s="152"/>
      <c r="AH865" s="152"/>
      <c r="AI865" s="152"/>
      <c r="AJ865" s="152"/>
      <c r="AK865" s="75"/>
      <c r="AL865" s="75"/>
      <c r="AM865" s="75"/>
      <c r="AN865" s="152"/>
      <c r="AO865" s="152"/>
      <c r="AP865" s="152"/>
      <c r="AQ865" s="73"/>
      <c r="AR865" s="152"/>
      <c r="AS865" s="152"/>
      <c r="AT865" s="152"/>
      <c r="AU865" s="73"/>
      <c r="AV865" s="73"/>
      <c r="AW865" s="73"/>
      <c r="AX865" s="73"/>
      <c r="BD865" s="24"/>
      <c r="BG865" s="24"/>
      <c r="BJ865" s="24"/>
    </row>
    <row r="866" spans="32:62" ht="15" customHeight="1" x14ac:dyDescent="0.2">
      <c r="AF866" s="151"/>
      <c r="AG866" s="152"/>
      <c r="AH866" s="152"/>
      <c r="AI866" s="152"/>
      <c r="AJ866" s="152"/>
      <c r="AK866" s="75"/>
      <c r="AL866" s="75"/>
      <c r="AM866" s="75"/>
      <c r="AN866" s="152"/>
      <c r="AO866" s="152"/>
      <c r="AP866" s="152"/>
      <c r="AQ866" s="73"/>
      <c r="AR866" s="152"/>
      <c r="AS866" s="152"/>
      <c r="AT866" s="152"/>
      <c r="AU866" s="73"/>
      <c r="AV866" s="73"/>
      <c r="AW866" s="73"/>
      <c r="AX866" s="73"/>
      <c r="BD866" s="24"/>
      <c r="BG866" s="24"/>
      <c r="BJ866" s="24"/>
    </row>
    <row r="867" spans="32:62" ht="15" customHeight="1" x14ac:dyDescent="0.2">
      <c r="AF867" s="151"/>
      <c r="AG867" s="152"/>
      <c r="AH867" s="152"/>
      <c r="AI867" s="152"/>
      <c r="AJ867" s="152"/>
      <c r="AK867" s="75"/>
      <c r="AL867" s="75"/>
      <c r="AM867" s="75"/>
      <c r="AN867" s="152"/>
      <c r="AO867" s="152"/>
      <c r="AP867" s="152"/>
      <c r="AQ867" s="73"/>
      <c r="AR867" s="152"/>
      <c r="AS867" s="152"/>
      <c r="AT867" s="152"/>
      <c r="AU867" s="73"/>
      <c r="AV867" s="73"/>
      <c r="AW867" s="73"/>
      <c r="AX867" s="73"/>
      <c r="BD867" s="24"/>
      <c r="BG867" s="24"/>
      <c r="BJ867" s="24"/>
    </row>
    <row r="868" spans="32:62" ht="15" customHeight="1" x14ac:dyDescent="0.2">
      <c r="AF868" s="151"/>
      <c r="AG868" s="152"/>
      <c r="AH868" s="152"/>
      <c r="AI868" s="152"/>
      <c r="AJ868" s="152"/>
      <c r="AK868" s="75"/>
      <c r="AL868" s="75"/>
      <c r="AM868" s="75"/>
      <c r="AN868" s="152"/>
      <c r="AO868" s="152"/>
      <c r="AP868" s="152"/>
      <c r="AQ868" s="73"/>
      <c r="AR868" s="152"/>
      <c r="AS868" s="152"/>
      <c r="AT868" s="152"/>
      <c r="AU868" s="73"/>
      <c r="AV868" s="73"/>
      <c r="AW868" s="73"/>
      <c r="AX868" s="73"/>
      <c r="BD868" s="24"/>
      <c r="BG868" s="24"/>
      <c r="BJ868" s="24"/>
    </row>
    <row r="869" spans="32:62" ht="15" customHeight="1" x14ac:dyDescent="0.2">
      <c r="AF869" s="151"/>
      <c r="AG869" s="152"/>
      <c r="AH869" s="152"/>
      <c r="AI869" s="152"/>
      <c r="AJ869" s="152"/>
      <c r="AK869" s="75"/>
      <c r="AL869" s="75"/>
      <c r="AM869" s="75"/>
      <c r="AN869" s="152"/>
      <c r="AO869" s="152"/>
      <c r="AP869" s="152"/>
      <c r="AQ869" s="73"/>
      <c r="AR869" s="152"/>
      <c r="AS869" s="152"/>
      <c r="AT869" s="152"/>
      <c r="AU869" s="73"/>
      <c r="AV869" s="73"/>
      <c r="AW869" s="73"/>
      <c r="AX869" s="73"/>
      <c r="BD869" s="24"/>
      <c r="BG869" s="24"/>
      <c r="BJ869" s="24"/>
    </row>
    <row r="870" spans="32:62" ht="15" customHeight="1" x14ac:dyDescent="0.2">
      <c r="AF870" s="151"/>
      <c r="AG870" s="152"/>
      <c r="AH870" s="152"/>
      <c r="AI870" s="152"/>
      <c r="AJ870" s="152"/>
      <c r="AK870" s="75"/>
      <c r="AL870" s="75"/>
      <c r="AM870" s="75"/>
      <c r="AN870" s="152"/>
      <c r="AO870" s="152"/>
      <c r="AP870" s="152"/>
      <c r="AQ870" s="73"/>
      <c r="AR870" s="152"/>
      <c r="AS870" s="152"/>
      <c r="AT870" s="152"/>
      <c r="AU870" s="73"/>
      <c r="AV870" s="73"/>
      <c r="AW870" s="73"/>
      <c r="AX870" s="73"/>
      <c r="BD870" s="24"/>
      <c r="BG870" s="24"/>
      <c r="BJ870" s="24"/>
    </row>
    <row r="871" spans="32:62" ht="15" customHeight="1" x14ac:dyDescent="0.2">
      <c r="AF871" s="151"/>
      <c r="AG871" s="152"/>
      <c r="AH871" s="152"/>
      <c r="AI871" s="152"/>
      <c r="AJ871" s="152"/>
      <c r="AK871" s="75"/>
      <c r="AL871" s="75"/>
      <c r="AM871" s="75"/>
      <c r="AN871" s="152"/>
      <c r="AO871" s="152"/>
      <c r="AP871" s="152"/>
      <c r="AQ871" s="73"/>
      <c r="AR871" s="152"/>
      <c r="AS871" s="152"/>
      <c r="AT871" s="152"/>
      <c r="AU871" s="73"/>
      <c r="AV871" s="73"/>
      <c r="AW871" s="73"/>
      <c r="AX871" s="73"/>
      <c r="BD871" s="24"/>
      <c r="BG871" s="24"/>
      <c r="BJ871" s="24"/>
    </row>
    <row r="872" spans="32:62" ht="15" customHeight="1" x14ac:dyDescent="0.2">
      <c r="AF872" s="151"/>
      <c r="AG872" s="152"/>
      <c r="AH872" s="152"/>
      <c r="AI872" s="152"/>
      <c r="AJ872" s="152"/>
      <c r="AK872" s="75"/>
      <c r="AL872" s="75"/>
      <c r="AM872" s="75"/>
      <c r="AN872" s="152"/>
      <c r="AO872" s="152"/>
      <c r="AP872" s="152"/>
      <c r="AQ872" s="73"/>
      <c r="AR872" s="152"/>
      <c r="AS872" s="152"/>
      <c r="AT872" s="152"/>
      <c r="AU872" s="73"/>
      <c r="AV872" s="73"/>
      <c r="AW872" s="73"/>
      <c r="AX872" s="73"/>
      <c r="BD872" s="24"/>
      <c r="BG872" s="24"/>
      <c r="BJ872" s="24"/>
    </row>
    <row r="873" spans="32:62" ht="15" customHeight="1" x14ac:dyDescent="0.2">
      <c r="AF873" s="151"/>
      <c r="AG873" s="152"/>
      <c r="AH873" s="152"/>
      <c r="AI873" s="152"/>
      <c r="AJ873" s="152"/>
      <c r="AK873" s="75"/>
      <c r="AL873" s="75"/>
      <c r="AM873" s="75"/>
      <c r="AN873" s="152"/>
      <c r="AO873" s="152"/>
      <c r="AP873" s="152"/>
      <c r="AQ873" s="73"/>
      <c r="AR873" s="152"/>
      <c r="AS873" s="152"/>
      <c r="AT873" s="152"/>
      <c r="AU873" s="73"/>
      <c r="AV873" s="73"/>
      <c r="AW873" s="73"/>
      <c r="AX873" s="73"/>
      <c r="BD873" s="24"/>
      <c r="BG873" s="24"/>
      <c r="BJ873" s="24"/>
    </row>
    <row r="874" spans="32:62" ht="15" customHeight="1" x14ac:dyDescent="0.2">
      <c r="AF874" s="151"/>
      <c r="AG874" s="152"/>
      <c r="AH874" s="152"/>
      <c r="AI874" s="152"/>
      <c r="AJ874" s="152"/>
      <c r="AK874" s="75"/>
      <c r="AL874" s="75"/>
      <c r="AM874" s="75"/>
      <c r="AN874" s="152"/>
      <c r="AO874" s="152"/>
      <c r="AP874" s="152"/>
      <c r="AQ874" s="73"/>
      <c r="AR874" s="152"/>
      <c r="AS874" s="152"/>
      <c r="AT874" s="152"/>
      <c r="AU874" s="73"/>
      <c r="AV874" s="73"/>
      <c r="AW874" s="73"/>
      <c r="AX874" s="73"/>
      <c r="BD874" s="24"/>
      <c r="BG874" s="24"/>
      <c r="BJ874" s="24"/>
    </row>
    <row r="875" spans="32:62" ht="15" customHeight="1" x14ac:dyDescent="0.2">
      <c r="AF875" s="151"/>
      <c r="AG875" s="152"/>
      <c r="AH875" s="152"/>
      <c r="AI875" s="152"/>
      <c r="AJ875" s="152"/>
      <c r="AK875" s="75"/>
      <c r="AL875" s="75"/>
      <c r="AM875" s="75"/>
      <c r="AN875" s="152"/>
      <c r="AO875" s="152"/>
      <c r="AP875" s="152"/>
      <c r="AQ875" s="73"/>
      <c r="AR875" s="152"/>
      <c r="AS875" s="152"/>
      <c r="AT875" s="152"/>
      <c r="AU875" s="73"/>
      <c r="AV875" s="73"/>
      <c r="AW875" s="73"/>
      <c r="AX875" s="73"/>
      <c r="BD875" s="24"/>
      <c r="BG875" s="24"/>
      <c r="BJ875" s="24"/>
    </row>
    <row r="876" spans="32:62" ht="15" customHeight="1" x14ac:dyDescent="0.2">
      <c r="AF876" s="151"/>
      <c r="AG876" s="152"/>
      <c r="AH876" s="152"/>
      <c r="AI876" s="152"/>
      <c r="AJ876" s="152"/>
      <c r="AK876" s="75"/>
      <c r="AL876" s="75"/>
      <c r="AM876" s="75"/>
      <c r="AN876" s="152"/>
      <c r="AO876" s="152"/>
      <c r="AP876" s="152"/>
      <c r="AQ876" s="73"/>
      <c r="AR876" s="152"/>
      <c r="AS876" s="152"/>
      <c r="AT876" s="152"/>
      <c r="AU876" s="73"/>
      <c r="AV876" s="73"/>
      <c r="AW876" s="73"/>
      <c r="AX876" s="73"/>
      <c r="BD876" s="24"/>
      <c r="BG876" s="24"/>
      <c r="BJ876" s="24"/>
    </row>
    <row r="877" spans="32:62" ht="15" customHeight="1" x14ac:dyDescent="0.2">
      <c r="AF877" s="151"/>
      <c r="AG877" s="152"/>
      <c r="AH877" s="152"/>
      <c r="AI877" s="152"/>
      <c r="AJ877" s="152"/>
      <c r="AK877" s="75"/>
      <c r="AL877" s="75"/>
      <c r="AM877" s="75"/>
      <c r="AN877" s="152"/>
      <c r="AO877" s="152"/>
      <c r="AP877" s="152"/>
      <c r="AQ877" s="73"/>
      <c r="AR877" s="152"/>
      <c r="AS877" s="152"/>
      <c r="AT877" s="152"/>
      <c r="AU877" s="73"/>
      <c r="AV877" s="73"/>
      <c r="AW877" s="73"/>
      <c r="AX877" s="73"/>
      <c r="BD877" s="24"/>
      <c r="BG877" s="24"/>
      <c r="BJ877" s="24"/>
    </row>
    <row r="878" spans="32:62" ht="15" customHeight="1" x14ac:dyDescent="0.2">
      <c r="AF878" s="151"/>
      <c r="AG878" s="152"/>
      <c r="AH878" s="152"/>
      <c r="AI878" s="152"/>
      <c r="AJ878" s="152"/>
      <c r="AK878" s="75"/>
      <c r="AL878" s="75"/>
      <c r="AM878" s="75"/>
      <c r="AN878" s="152"/>
      <c r="AO878" s="152"/>
      <c r="AP878" s="152"/>
      <c r="AQ878" s="73"/>
      <c r="AR878" s="152"/>
      <c r="AS878" s="152"/>
      <c r="AT878" s="152"/>
      <c r="AU878" s="73"/>
      <c r="AV878" s="73"/>
      <c r="AW878" s="73"/>
      <c r="AX878" s="73"/>
      <c r="BD878" s="24"/>
      <c r="BG878" s="24"/>
      <c r="BJ878" s="24"/>
    </row>
    <row r="879" spans="32:62" ht="15" customHeight="1" x14ac:dyDescent="0.2">
      <c r="AF879" s="151"/>
      <c r="AG879" s="152"/>
      <c r="AH879" s="152"/>
      <c r="AI879" s="152"/>
      <c r="AJ879" s="152"/>
      <c r="AK879" s="75"/>
      <c r="AL879" s="75"/>
      <c r="AM879" s="75"/>
      <c r="AN879" s="152"/>
      <c r="AO879" s="152"/>
      <c r="AP879" s="152"/>
      <c r="AQ879" s="73"/>
      <c r="AR879" s="152"/>
      <c r="AS879" s="152"/>
      <c r="AT879" s="152"/>
      <c r="AU879" s="73"/>
      <c r="AV879" s="73"/>
      <c r="AW879" s="73"/>
      <c r="AX879" s="73"/>
      <c r="BD879" s="24"/>
      <c r="BG879" s="24"/>
      <c r="BJ879" s="24"/>
    </row>
    <row r="880" spans="32:62" ht="15" customHeight="1" x14ac:dyDescent="0.2">
      <c r="AF880" s="151"/>
      <c r="AG880" s="152"/>
      <c r="AH880" s="152"/>
      <c r="AI880" s="152"/>
      <c r="AJ880" s="152"/>
      <c r="AK880" s="75"/>
      <c r="AL880" s="75"/>
      <c r="AM880" s="75"/>
      <c r="AN880" s="152"/>
      <c r="AO880" s="152"/>
      <c r="AP880" s="152"/>
      <c r="AQ880" s="73"/>
      <c r="AR880" s="152"/>
      <c r="AS880" s="152"/>
      <c r="AT880" s="152"/>
      <c r="AU880" s="73"/>
      <c r="AV880" s="73"/>
      <c r="AW880" s="73"/>
      <c r="AX880" s="73"/>
      <c r="BD880" s="24"/>
      <c r="BG880" s="24"/>
      <c r="BJ880" s="24"/>
    </row>
    <row r="881" spans="32:62" ht="15" customHeight="1" x14ac:dyDescent="0.2">
      <c r="AF881" s="151"/>
      <c r="AG881" s="152"/>
      <c r="AH881" s="152"/>
      <c r="AI881" s="152"/>
      <c r="AJ881" s="152"/>
      <c r="AK881" s="75"/>
      <c r="AL881" s="75"/>
      <c r="AM881" s="75"/>
      <c r="AN881" s="152"/>
      <c r="AO881" s="152"/>
      <c r="AP881" s="152"/>
      <c r="AQ881" s="73"/>
      <c r="AR881" s="152"/>
      <c r="AS881" s="152"/>
      <c r="AT881" s="152"/>
      <c r="AU881" s="73"/>
      <c r="AV881" s="73"/>
      <c r="AW881" s="73"/>
      <c r="AX881" s="73"/>
      <c r="BD881" s="24"/>
      <c r="BG881" s="24"/>
      <c r="BJ881" s="24"/>
    </row>
    <row r="882" spans="32:62" ht="15" customHeight="1" x14ac:dyDescent="0.2">
      <c r="AF882" s="151"/>
      <c r="AG882" s="152"/>
      <c r="AH882" s="152"/>
      <c r="AI882" s="152"/>
      <c r="AJ882" s="152"/>
      <c r="AK882" s="75"/>
      <c r="AL882" s="75"/>
      <c r="AM882" s="75"/>
      <c r="AN882" s="152"/>
      <c r="AO882" s="152"/>
      <c r="AP882" s="152"/>
      <c r="AQ882" s="73"/>
      <c r="AR882" s="152"/>
      <c r="AS882" s="152"/>
      <c r="AT882" s="152"/>
      <c r="AU882" s="73"/>
      <c r="AV882" s="73"/>
      <c r="AW882" s="73"/>
      <c r="AX882" s="73"/>
      <c r="BD882" s="24"/>
      <c r="BG882" s="24"/>
      <c r="BJ882" s="24"/>
    </row>
    <row r="883" spans="32:62" ht="15" customHeight="1" x14ac:dyDescent="0.2">
      <c r="AF883" s="151"/>
      <c r="AG883" s="152"/>
      <c r="AH883" s="152"/>
      <c r="AI883" s="152"/>
      <c r="AJ883" s="152"/>
      <c r="AK883" s="75"/>
      <c r="AL883" s="75"/>
      <c r="AM883" s="75"/>
      <c r="AN883" s="152"/>
      <c r="AO883" s="152"/>
      <c r="AP883" s="152"/>
      <c r="AQ883" s="73"/>
      <c r="AR883" s="152"/>
      <c r="AS883" s="152"/>
      <c r="AT883" s="152"/>
      <c r="AU883" s="73"/>
      <c r="AV883" s="73"/>
      <c r="AW883" s="73"/>
      <c r="AX883" s="73"/>
      <c r="BD883" s="24"/>
      <c r="BG883" s="24"/>
      <c r="BJ883" s="24"/>
    </row>
    <row r="884" spans="32:62" ht="15" customHeight="1" x14ac:dyDescent="0.2">
      <c r="AF884" s="151"/>
      <c r="AG884" s="152"/>
      <c r="AH884" s="152"/>
      <c r="AI884" s="152"/>
      <c r="AJ884" s="152"/>
      <c r="AK884" s="75"/>
      <c r="AL884" s="75"/>
      <c r="AM884" s="75"/>
      <c r="AN884" s="152"/>
      <c r="AO884" s="152"/>
      <c r="AP884" s="152"/>
      <c r="AQ884" s="73"/>
      <c r="AR884" s="152"/>
      <c r="AS884" s="152"/>
      <c r="AT884" s="152"/>
      <c r="AU884" s="73"/>
      <c r="AV884" s="73"/>
      <c r="AW884" s="73"/>
      <c r="AX884" s="73"/>
      <c r="BD884" s="24"/>
      <c r="BG884" s="24"/>
      <c r="BJ884" s="24"/>
    </row>
    <row r="885" spans="32:62" ht="15" customHeight="1" x14ac:dyDescent="0.2">
      <c r="AF885" s="151"/>
      <c r="AG885" s="152"/>
      <c r="AH885" s="152"/>
      <c r="AI885" s="152"/>
      <c r="AJ885" s="152"/>
      <c r="AK885" s="75"/>
      <c r="AL885" s="75"/>
      <c r="AM885" s="75"/>
      <c r="AN885" s="152"/>
      <c r="AO885" s="152"/>
      <c r="AP885" s="152"/>
      <c r="AQ885" s="73"/>
      <c r="AR885" s="152"/>
      <c r="AS885" s="152"/>
      <c r="AT885" s="152"/>
      <c r="AU885" s="73"/>
      <c r="AV885" s="73"/>
      <c r="AW885" s="73"/>
      <c r="AX885" s="73"/>
      <c r="BD885" s="24"/>
      <c r="BG885" s="24"/>
      <c r="BJ885" s="24"/>
    </row>
    <row r="886" spans="32:62" ht="15" customHeight="1" x14ac:dyDescent="0.2">
      <c r="AF886" s="151"/>
      <c r="AG886" s="152"/>
      <c r="AH886" s="152"/>
      <c r="AI886" s="152"/>
      <c r="AJ886" s="152"/>
      <c r="AK886" s="75"/>
      <c r="AL886" s="75"/>
      <c r="AM886" s="75"/>
      <c r="AN886" s="152"/>
      <c r="AO886" s="152"/>
      <c r="AP886" s="152"/>
      <c r="AQ886" s="73"/>
      <c r="AR886" s="152"/>
      <c r="AS886" s="152"/>
      <c r="AT886" s="152"/>
      <c r="AU886" s="73"/>
      <c r="AV886" s="73"/>
      <c r="AW886" s="73"/>
      <c r="AX886" s="73"/>
      <c r="BD886" s="24"/>
      <c r="BG886" s="24"/>
      <c r="BJ886" s="24"/>
    </row>
    <row r="887" spans="32:62" ht="15" customHeight="1" x14ac:dyDescent="0.2">
      <c r="AF887" s="151"/>
      <c r="AG887" s="152"/>
      <c r="AH887" s="152"/>
      <c r="AI887" s="152"/>
      <c r="AJ887" s="152"/>
      <c r="AK887" s="75"/>
      <c r="AL887" s="75"/>
      <c r="AM887" s="75"/>
      <c r="AN887" s="152"/>
      <c r="AO887" s="152"/>
      <c r="AP887" s="152"/>
      <c r="AQ887" s="73"/>
      <c r="AR887" s="152"/>
      <c r="AS887" s="152"/>
      <c r="AT887" s="152"/>
      <c r="AU887" s="73"/>
      <c r="AV887" s="73"/>
      <c r="AW887" s="73"/>
      <c r="AX887" s="73"/>
      <c r="BD887" s="24"/>
      <c r="BG887" s="24"/>
      <c r="BJ887" s="24"/>
    </row>
    <row r="888" spans="32:62" ht="15" customHeight="1" x14ac:dyDescent="0.2">
      <c r="AF888" s="151"/>
      <c r="AG888" s="152"/>
      <c r="AH888" s="152"/>
      <c r="AI888" s="152"/>
      <c r="AJ888" s="152"/>
      <c r="AK888" s="75"/>
      <c r="AL888" s="75"/>
      <c r="AM888" s="75"/>
      <c r="AN888" s="152"/>
      <c r="AO888" s="152"/>
      <c r="AP888" s="152"/>
      <c r="AQ888" s="73"/>
      <c r="AR888" s="152"/>
      <c r="AS888" s="152"/>
      <c r="AT888" s="152"/>
      <c r="AU888" s="73"/>
      <c r="AV888" s="73"/>
      <c r="AW888" s="73"/>
      <c r="AX888" s="73"/>
      <c r="BD888" s="24"/>
      <c r="BG888" s="24"/>
      <c r="BJ888" s="24"/>
    </row>
    <row r="889" spans="32:62" ht="15" customHeight="1" x14ac:dyDescent="0.2">
      <c r="AF889" s="151"/>
      <c r="AG889" s="152"/>
      <c r="AH889" s="152"/>
      <c r="AI889" s="152"/>
      <c r="AJ889" s="152"/>
      <c r="AK889" s="75"/>
      <c r="AL889" s="75"/>
      <c r="AM889" s="75"/>
      <c r="AN889" s="152"/>
      <c r="AO889" s="152"/>
      <c r="AP889" s="152"/>
      <c r="AQ889" s="73"/>
      <c r="AR889" s="152"/>
      <c r="AS889" s="152"/>
      <c r="AT889" s="152"/>
      <c r="AU889" s="73"/>
      <c r="AV889" s="73"/>
      <c r="AW889" s="73"/>
      <c r="AX889" s="73"/>
      <c r="BD889" s="24"/>
      <c r="BG889" s="24"/>
      <c r="BJ889" s="24"/>
    </row>
    <row r="890" spans="32:62" ht="15" customHeight="1" x14ac:dyDescent="0.2">
      <c r="AF890" s="151"/>
      <c r="AG890" s="152"/>
      <c r="AH890" s="152"/>
      <c r="AI890" s="152"/>
      <c r="AJ890" s="152"/>
      <c r="AK890" s="75"/>
      <c r="AL890" s="75"/>
      <c r="AM890" s="75"/>
      <c r="AN890" s="152"/>
      <c r="AO890" s="152"/>
      <c r="AP890" s="152"/>
      <c r="AQ890" s="73"/>
      <c r="AR890" s="152"/>
      <c r="AS890" s="152"/>
      <c r="AT890" s="152"/>
      <c r="AU890" s="73"/>
      <c r="AV890" s="73"/>
      <c r="AW890" s="73"/>
      <c r="AX890" s="73"/>
      <c r="BD890" s="24"/>
      <c r="BG890" s="24"/>
      <c r="BJ890" s="24"/>
    </row>
    <row r="891" spans="32:62" ht="15" customHeight="1" x14ac:dyDescent="0.2">
      <c r="AF891" s="151"/>
      <c r="AG891" s="152"/>
      <c r="AH891" s="152"/>
      <c r="AI891" s="152"/>
      <c r="AJ891" s="152"/>
      <c r="AK891" s="75"/>
      <c r="AL891" s="75"/>
      <c r="AM891" s="75"/>
      <c r="AN891" s="152"/>
      <c r="AO891" s="152"/>
      <c r="AP891" s="152"/>
      <c r="AQ891" s="73"/>
      <c r="AR891" s="152"/>
      <c r="AS891" s="152"/>
      <c r="AT891" s="152"/>
      <c r="AU891" s="73"/>
      <c r="AV891" s="73"/>
      <c r="AW891" s="73"/>
      <c r="AX891" s="73"/>
      <c r="BD891" s="24"/>
      <c r="BG891" s="24"/>
      <c r="BJ891" s="24"/>
    </row>
    <row r="892" spans="32:62" ht="15" customHeight="1" x14ac:dyDescent="0.2">
      <c r="AF892" s="151"/>
      <c r="AG892" s="152"/>
      <c r="AH892" s="152"/>
      <c r="AI892" s="152"/>
      <c r="AJ892" s="152"/>
      <c r="AK892" s="75"/>
      <c r="AL892" s="75"/>
      <c r="AM892" s="75"/>
      <c r="AN892" s="152"/>
      <c r="AO892" s="152"/>
      <c r="AP892" s="152"/>
      <c r="AQ892" s="73"/>
      <c r="AR892" s="152"/>
      <c r="AS892" s="152"/>
      <c r="AT892" s="152"/>
      <c r="AU892" s="73"/>
      <c r="AV892" s="73"/>
      <c r="AW892" s="73"/>
      <c r="AX892" s="73"/>
      <c r="BD892" s="24"/>
      <c r="BG892" s="24"/>
      <c r="BJ892" s="24"/>
    </row>
    <row r="893" spans="32:62" ht="15" customHeight="1" x14ac:dyDescent="0.2">
      <c r="AF893" s="151"/>
      <c r="AG893" s="152"/>
      <c r="AH893" s="152"/>
      <c r="AI893" s="152"/>
      <c r="AJ893" s="152"/>
      <c r="AK893" s="75"/>
      <c r="AL893" s="75"/>
      <c r="AM893" s="75"/>
      <c r="AN893" s="152"/>
      <c r="AO893" s="152"/>
      <c r="AP893" s="152"/>
      <c r="AQ893" s="73"/>
      <c r="AR893" s="152"/>
      <c r="AS893" s="152"/>
      <c r="AT893" s="152"/>
      <c r="AU893" s="73"/>
      <c r="AV893" s="73"/>
      <c r="AW893" s="73"/>
      <c r="AX893" s="73"/>
      <c r="BD893" s="24"/>
      <c r="BG893" s="24"/>
      <c r="BJ893" s="24"/>
    </row>
    <row r="894" spans="32:62" ht="15" customHeight="1" x14ac:dyDescent="0.2">
      <c r="AF894" s="151"/>
      <c r="AG894" s="152"/>
      <c r="AH894" s="152"/>
      <c r="AI894" s="152"/>
      <c r="AJ894" s="152"/>
      <c r="AK894" s="75"/>
      <c r="AL894" s="75"/>
      <c r="AM894" s="75"/>
      <c r="AN894" s="152"/>
      <c r="AO894" s="152"/>
      <c r="AP894" s="152"/>
      <c r="AQ894" s="73"/>
      <c r="AR894" s="152"/>
      <c r="AS894" s="152"/>
      <c r="AT894" s="152"/>
      <c r="AU894" s="73"/>
      <c r="AV894" s="73"/>
      <c r="AW894" s="73"/>
      <c r="AX894" s="73"/>
      <c r="BD894" s="24"/>
      <c r="BG894" s="24"/>
      <c r="BJ894" s="24"/>
    </row>
    <row r="895" spans="32:62" ht="15" customHeight="1" x14ac:dyDescent="0.2">
      <c r="AF895" s="151"/>
      <c r="AG895" s="152"/>
      <c r="AH895" s="152"/>
      <c r="AI895" s="152"/>
      <c r="AJ895" s="152"/>
      <c r="AK895" s="75"/>
      <c r="AL895" s="75"/>
      <c r="AM895" s="75"/>
      <c r="AN895" s="152"/>
      <c r="AO895" s="152"/>
      <c r="AP895" s="152"/>
      <c r="AQ895" s="73"/>
      <c r="AR895" s="152"/>
      <c r="AS895" s="152"/>
      <c r="AT895" s="152"/>
      <c r="AU895" s="73"/>
      <c r="AV895" s="73"/>
      <c r="AW895" s="73"/>
      <c r="AX895" s="73"/>
      <c r="BD895" s="24"/>
      <c r="BG895" s="24"/>
      <c r="BJ895" s="24"/>
    </row>
    <row r="896" spans="32:62" ht="15" customHeight="1" x14ac:dyDescent="0.2">
      <c r="AF896" s="151"/>
      <c r="AG896" s="152"/>
      <c r="AH896" s="152"/>
      <c r="AI896" s="152"/>
      <c r="AJ896" s="152"/>
      <c r="AK896" s="75"/>
      <c r="AL896" s="75"/>
      <c r="AM896" s="75"/>
      <c r="AN896" s="152"/>
      <c r="AO896" s="152"/>
      <c r="AP896" s="152"/>
      <c r="AQ896" s="73"/>
      <c r="AR896" s="152"/>
      <c r="AS896" s="152"/>
      <c r="AT896" s="152"/>
      <c r="AU896" s="73"/>
      <c r="AV896" s="73"/>
      <c r="AW896" s="73"/>
      <c r="AX896" s="73"/>
      <c r="BD896" s="24"/>
      <c r="BG896" s="24"/>
      <c r="BJ896" s="24"/>
    </row>
    <row r="897" spans="32:62" ht="15" customHeight="1" x14ac:dyDescent="0.2">
      <c r="AF897" s="151"/>
      <c r="AG897" s="152"/>
      <c r="AH897" s="152"/>
      <c r="AI897" s="152"/>
      <c r="AJ897" s="152"/>
      <c r="AK897" s="75"/>
      <c r="AL897" s="75"/>
      <c r="AM897" s="75"/>
      <c r="AN897" s="152"/>
      <c r="AO897" s="152"/>
      <c r="AP897" s="152"/>
      <c r="AQ897" s="73"/>
      <c r="AR897" s="152"/>
      <c r="AS897" s="152"/>
      <c r="AT897" s="152"/>
      <c r="AU897" s="73"/>
      <c r="AV897" s="73"/>
      <c r="AW897" s="73"/>
      <c r="AX897" s="73"/>
      <c r="BD897" s="24"/>
      <c r="BG897" s="24"/>
      <c r="BJ897" s="24"/>
    </row>
    <row r="898" spans="32:62" ht="15" customHeight="1" x14ac:dyDescent="0.2">
      <c r="AF898" s="151"/>
      <c r="AG898" s="152"/>
      <c r="AH898" s="152"/>
      <c r="AI898" s="152"/>
      <c r="AJ898" s="152"/>
      <c r="AK898" s="75"/>
      <c r="AL898" s="75"/>
      <c r="AM898" s="75"/>
      <c r="AN898" s="152"/>
      <c r="AO898" s="152"/>
      <c r="AP898" s="152"/>
      <c r="AQ898" s="73"/>
      <c r="AR898" s="152"/>
      <c r="AS898" s="152"/>
      <c r="AT898" s="152"/>
      <c r="AU898" s="73"/>
      <c r="AV898" s="73"/>
      <c r="AW898" s="73"/>
      <c r="AX898" s="73"/>
      <c r="BD898" s="24"/>
      <c r="BG898" s="24"/>
      <c r="BJ898" s="24"/>
    </row>
    <row r="899" spans="32:62" ht="15" customHeight="1" x14ac:dyDescent="0.2">
      <c r="AF899" s="151"/>
      <c r="AG899" s="152"/>
      <c r="AH899" s="152"/>
      <c r="AI899" s="152"/>
      <c r="AJ899" s="152"/>
      <c r="AK899" s="75"/>
      <c r="AL899" s="75"/>
      <c r="AM899" s="75"/>
      <c r="AN899" s="152"/>
      <c r="AO899" s="152"/>
      <c r="AP899" s="152"/>
      <c r="AQ899" s="73"/>
      <c r="AR899" s="152"/>
      <c r="AS899" s="152"/>
      <c r="AT899" s="152"/>
      <c r="AU899" s="73"/>
      <c r="AV899" s="73"/>
      <c r="AW899" s="73"/>
      <c r="AX899" s="73"/>
      <c r="BD899" s="24"/>
      <c r="BG899" s="24"/>
      <c r="BJ899" s="24"/>
    </row>
    <row r="900" spans="32:62" ht="15" customHeight="1" x14ac:dyDescent="0.2">
      <c r="AF900" s="151"/>
      <c r="AG900" s="152"/>
      <c r="AH900" s="152"/>
      <c r="AI900" s="152"/>
      <c r="AJ900" s="152"/>
      <c r="AK900" s="75"/>
      <c r="AL900" s="75"/>
      <c r="AM900" s="75"/>
      <c r="AN900" s="152"/>
      <c r="AO900" s="152"/>
      <c r="AP900" s="152"/>
      <c r="AQ900" s="73"/>
      <c r="AR900" s="152"/>
      <c r="AS900" s="152"/>
      <c r="AT900" s="152"/>
      <c r="AU900" s="73"/>
      <c r="AV900" s="73"/>
      <c r="AW900" s="73"/>
      <c r="AX900" s="73"/>
      <c r="BD900" s="24"/>
      <c r="BG900" s="24"/>
      <c r="BJ900" s="24"/>
    </row>
    <row r="901" spans="32:62" ht="15" customHeight="1" x14ac:dyDescent="0.2">
      <c r="AF901" s="151"/>
      <c r="AG901" s="152"/>
      <c r="AH901" s="152"/>
      <c r="AI901" s="152"/>
      <c r="AJ901" s="152"/>
      <c r="AK901" s="75"/>
      <c r="AL901" s="75"/>
      <c r="AM901" s="75"/>
      <c r="AN901" s="152"/>
      <c r="AO901" s="152"/>
      <c r="AP901" s="152"/>
      <c r="AQ901" s="73"/>
      <c r="AR901" s="152"/>
      <c r="AS901" s="152"/>
      <c r="AT901" s="152"/>
      <c r="AU901" s="73"/>
      <c r="AV901" s="73"/>
      <c r="AW901" s="73"/>
      <c r="AX901" s="73"/>
      <c r="BD901" s="24"/>
      <c r="BG901" s="24"/>
      <c r="BJ901" s="24"/>
    </row>
    <row r="902" spans="32:62" ht="15" customHeight="1" x14ac:dyDescent="0.2">
      <c r="AF902" s="151"/>
      <c r="AG902" s="152"/>
      <c r="AH902" s="152"/>
      <c r="AI902" s="152"/>
      <c r="AJ902" s="152"/>
      <c r="AK902" s="75"/>
      <c r="AL902" s="75"/>
      <c r="AM902" s="75"/>
      <c r="AN902" s="152"/>
      <c r="AO902" s="152"/>
      <c r="AP902" s="152"/>
      <c r="AQ902" s="73"/>
      <c r="AR902" s="152"/>
      <c r="AS902" s="152"/>
      <c r="AT902" s="152"/>
      <c r="AU902" s="73"/>
      <c r="AV902" s="73"/>
      <c r="AW902" s="73"/>
      <c r="AX902" s="73"/>
      <c r="BD902" s="24"/>
      <c r="BG902" s="24"/>
      <c r="BJ902" s="24"/>
    </row>
    <row r="903" spans="32:62" ht="15" customHeight="1" x14ac:dyDescent="0.2">
      <c r="AF903" s="151"/>
      <c r="AG903" s="152"/>
      <c r="AH903" s="152"/>
      <c r="AI903" s="152"/>
      <c r="AJ903" s="152"/>
      <c r="AK903" s="75"/>
      <c r="AL903" s="75"/>
      <c r="AM903" s="75"/>
      <c r="AN903" s="152"/>
      <c r="AO903" s="152"/>
      <c r="AP903" s="152"/>
      <c r="AQ903" s="73"/>
      <c r="AR903" s="152"/>
      <c r="AS903" s="152"/>
      <c r="AT903" s="152"/>
      <c r="AU903" s="73"/>
      <c r="AV903" s="73"/>
      <c r="AW903" s="73"/>
      <c r="AX903" s="73"/>
      <c r="BD903" s="24"/>
      <c r="BG903" s="24"/>
      <c r="BJ903" s="24"/>
    </row>
    <row r="904" spans="32:62" ht="15" customHeight="1" x14ac:dyDescent="0.2">
      <c r="AF904" s="151"/>
      <c r="AG904" s="152"/>
      <c r="AH904" s="152"/>
      <c r="AI904" s="152"/>
      <c r="AJ904" s="152"/>
      <c r="AK904" s="75"/>
      <c r="AL904" s="75"/>
      <c r="AM904" s="75"/>
      <c r="AN904" s="152"/>
      <c r="AO904" s="152"/>
      <c r="AP904" s="152"/>
      <c r="AQ904" s="73"/>
      <c r="AR904" s="152"/>
      <c r="AS904" s="152"/>
      <c r="AT904" s="152"/>
      <c r="AU904" s="73"/>
      <c r="AV904" s="73"/>
      <c r="AW904" s="73"/>
      <c r="AX904" s="73"/>
      <c r="BD904" s="24"/>
      <c r="BG904" s="24"/>
      <c r="BJ904" s="24"/>
    </row>
    <row r="905" spans="32:62" ht="15" customHeight="1" x14ac:dyDescent="0.2">
      <c r="AF905" s="151"/>
      <c r="AG905" s="152"/>
      <c r="AH905" s="152"/>
      <c r="AI905" s="152"/>
      <c r="AJ905" s="152"/>
      <c r="AK905" s="75"/>
      <c r="AL905" s="75"/>
      <c r="AM905" s="75"/>
      <c r="AN905" s="152"/>
      <c r="AO905" s="152"/>
      <c r="AP905" s="152"/>
      <c r="AQ905" s="73"/>
      <c r="AR905" s="152"/>
      <c r="AS905" s="152"/>
      <c r="AT905" s="152"/>
      <c r="AU905" s="73"/>
      <c r="AV905" s="73"/>
      <c r="AW905" s="73"/>
      <c r="AX905" s="73"/>
      <c r="BD905" s="24"/>
      <c r="BG905" s="24"/>
      <c r="BJ905" s="24"/>
    </row>
    <row r="906" spans="32:62" ht="15" customHeight="1" x14ac:dyDescent="0.2">
      <c r="AF906" s="151"/>
      <c r="AG906" s="152"/>
      <c r="AH906" s="152"/>
      <c r="AI906" s="152"/>
      <c r="AJ906" s="152"/>
      <c r="AK906" s="75"/>
      <c r="AL906" s="75"/>
      <c r="AM906" s="75"/>
      <c r="AN906" s="152"/>
      <c r="AO906" s="152"/>
      <c r="AP906" s="152"/>
      <c r="AQ906" s="73"/>
      <c r="AR906" s="152"/>
      <c r="AS906" s="152"/>
      <c r="AT906" s="152"/>
      <c r="AU906" s="73"/>
      <c r="AV906" s="73"/>
      <c r="AW906" s="73"/>
      <c r="AX906" s="73"/>
      <c r="BD906" s="24"/>
      <c r="BG906" s="24"/>
      <c r="BJ906" s="24"/>
    </row>
    <row r="907" spans="32:62" ht="15" customHeight="1" x14ac:dyDescent="0.2">
      <c r="AF907" s="151"/>
      <c r="AG907" s="152"/>
      <c r="AH907" s="152"/>
      <c r="AI907" s="152"/>
      <c r="AJ907" s="152"/>
      <c r="AK907" s="75"/>
      <c r="AL907" s="75"/>
      <c r="AM907" s="75"/>
      <c r="AN907" s="152"/>
      <c r="AO907" s="152"/>
      <c r="AP907" s="152"/>
      <c r="AQ907" s="73"/>
      <c r="AR907" s="152"/>
      <c r="AS907" s="152"/>
      <c r="AT907" s="152"/>
      <c r="AU907" s="73"/>
      <c r="AV907" s="73"/>
      <c r="AW907" s="73"/>
      <c r="AX907" s="73"/>
      <c r="BD907" s="24"/>
      <c r="BG907" s="24"/>
      <c r="BJ907" s="24"/>
    </row>
    <row r="908" spans="32:62" ht="15" customHeight="1" x14ac:dyDescent="0.2">
      <c r="AF908" s="151"/>
      <c r="AG908" s="152"/>
      <c r="AH908" s="152"/>
      <c r="AI908" s="152"/>
      <c r="AJ908" s="152"/>
      <c r="AK908" s="75"/>
      <c r="AL908" s="75"/>
      <c r="AM908" s="75"/>
      <c r="AN908" s="152"/>
      <c r="AO908" s="152"/>
      <c r="AP908" s="152"/>
      <c r="AQ908" s="73"/>
      <c r="AR908" s="152"/>
      <c r="AS908" s="152"/>
      <c r="AT908" s="152"/>
      <c r="AU908" s="73"/>
      <c r="AV908" s="73"/>
      <c r="AW908" s="73"/>
      <c r="AX908" s="73"/>
      <c r="BD908" s="24"/>
      <c r="BG908" s="24"/>
      <c r="BJ908" s="24"/>
    </row>
    <row r="909" spans="32:62" ht="15" customHeight="1" x14ac:dyDescent="0.2">
      <c r="AF909" s="151"/>
      <c r="AG909" s="152"/>
      <c r="AH909" s="152"/>
      <c r="AI909" s="152"/>
      <c r="AJ909" s="152"/>
      <c r="AK909" s="75"/>
      <c r="AL909" s="75"/>
      <c r="AM909" s="75"/>
      <c r="AN909" s="152"/>
      <c r="AO909" s="152"/>
      <c r="AP909" s="152"/>
      <c r="AQ909" s="73"/>
      <c r="AR909" s="152"/>
      <c r="AS909" s="152"/>
      <c r="AT909" s="152"/>
      <c r="AU909" s="73"/>
      <c r="AV909" s="73"/>
      <c r="AW909" s="73"/>
      <c r="AX909" s="73"/>
      <c r="BD909" s="24"/>
      <c r="BG909" s="24"/>
      <c r="BJ909" s="24"/>
    </row>
    <row r="910" spans="32:62" ht="15" customHeight="1" x14ac:dyDescent="0.2">
      <c r="AF910" s="151"/>
      <c r="AG910" s="152"/>
      <c r="AH910" s="152"/>
      <c r="AI910" s="152"/>
      <c r="AJ910" s="152"/>
      <c r="AK910" s="75"/>
      <c r="AL910" s="75"/>
      <c r="AM910" s="75"/>
      <c r="AN910" s="152"/>
      <c r="AO910" s="152"/>
      <c r="AP910" s="152"/>
      <c r="AQ910" s="73"/>
      <c r="AR910" s="152"/>
      <c r="AS910" s="152"/>
      <c r="AT910" s="152"/>
      <c r="AU910" s="73"/>
      <c r="AV910" s="73"/>
      <c r="AW910" s="73"/>
      <c r="AX910" s="73"/>
      <c r="BD910" s="24"/>
      <c r="BG910" s="24"/>
      <c r="BJ910" s="24"/>
    </row>
    <row r="911" spans="32:62" ht="15" customHeight="1" x14ac:dyDescent="0.2">
      <c r="AF911" s="151"/>
      <c r="AG911" s="152"/>
      <c r="AH911" s="152"/>
      <c r="AI911" s="152"/>
      <c r="AJ911" s="152"/>
      <c r="AK911" s="75"/>
      <c r="AL911" s="75"/>
      <c r="AM911" s="75"/>
      <c r="AN911" s="152"/>
      <c r="AO911" s="152"/>
      <c r="AP911" s="152"/>
      <c r="AQ911" s="73"/>
      <c r="AR911" s="152"/>
      <c r="AS911" s="152"/>
      <c r="AT911" s="152"/>
      <c r="AU911" s="73"/>
      <c r="AV911" s="73"/>
      <c r="AW911" s="73"/>
      <c r="AX911" s="73"/>
      <c r="BD911" s="24"/>
      <c r="BG911" s="24"/>
      <c r="BJ911" s="24"/>
    </row>
    <row r="912" spans="32:62" ht="15" customHeight="1" x14ac:dyDescent="0.2">
      <c r="AF912" s="151"/>
      <c r="AG912" s="152"/>
      <c r="AH912" s="152"/>
      <c r="AI912" s="152"/>
      <c r="AJ912" s="152"/>
      <c r="AK912" s="75"/>
      <c r="AL912" s="75"/>
      <c r="AM912" s="75"/>
      <c r="AN912" s="152"/>
      <c r="AO912" s="152"/>
      <c r="AP912" s="152"/>
      <c r="AQ912" s="73"/>
      <c r="AR912" s="152"/>
      <c r="AS912" s="152"/>
      <c r="AT912" s="152"/>
      <c r="AU912" s="73"/>
      <c r="AV912" s="73"/>
      <c r="AW912" s="73"/>
      <c r="AX912" s="73"/>
      <c r="BD912" s="24"/>
      <c r="BG912" s="24"/>
      <c r="BJ912" s="24"/>
    </row>
    <row r="913" spans="32:62" ht="15" customHeight="1" x14ac:dyDescent="0.2">
      <c r="AF913" s="151"/>
      <c r="AG913" s="152"/>
      <c r="AH913" s="152"/>
      <c r="AI913" s="152"/>
      <c r="AJ913" s="152"/>
      <c r="AK913" s="75"/>
      <c r="AL913" s="75"/>
      <c r="AM913" s="75"/>
      <c r="AN913" s="152"/>
      <c r="AO913" s="152"/>
      <c r="AP913" s="152"/>
      <c r="AQ913" s="73"/>
      <c r="AR913" s="152"/>
      <c r="AS913" s="152"/>
      <c r="AT913" s="152"/>
      <c r="AU913" s="73"/>
      <c r="AV913" s="73"/>
      <c r="AW913" s="73"/>
      <c r="AX913" s="73"/>
      <c r="BD913" s="24"/>
      <c r="BG913" s="24"/>
      <c r="BJ913" s="24"/>
    </row>
    <row r="914" spans="32:62" ht="15" customHeight="1" x14ac:dyDescent="0.2">
      <c r="AF914" s="151"/>
      <c r="AG914" s="152"/>
      <c r="AH914" s="152"/>
      <c r="AI914" s="152"/>
      <c r="AJ914" s="152"/>
      <c r="AK914" s="75"/>
      <c r="AL914" s="75"/>
      <c r="AM914" s="75"/>
      <c r="AN914" s="152"/>
      <c r="AO914" s="152"/>
      <c r="AP914" s="152"/>
      <c r="AQ914" s="73"/>
      <c r="AR914" s="152"/>
      <c r="AS914" s="152"/>
      <c r="AT914" s="152"/>
      <c r="AU914" s="73"/>
      <c r="AV914" s="73"/>
      <c r="AW914" s="73"/>
      <c r="AX914" s="73"/>
      <c r="BD914" s="24"/>
      <c r="BG914" s="24"/>
      <c r="BJ914" s="24"/>
    </row>
    <row r="915" spans="32:62" ht="15" customHeight="1" x14ac:dyDescent="0.2">
      <c r="AF915" s="151"/>
      <c r="AG915" s="152"/>
      <c r="AH915" s="152"/>
      <c r="AI915" s="152"/>
      <c r="AJ915" s="152"/>
      <c r="AK915" s="75"/>
      <c r="AL915" s="75"/>
      <c r="AM915" s="75"/>
      <c r="AN915" s="152"/>
      <c r="AO915" s="152"/>
      <c r="AP915" s="152"/>
      <c r="AQ915" s="73"/>
      <c r="AR915" s="152"/>
      <c r="AS915" s="152"/>
      <c r="AT915" s="152"/>
      <c r="AU915" s="73"/>
      <c r="AV915" s="73"/>
      <c r="AW915" s="73"/>
      <c r="AX915" s="73"/>
      <c r="BD915" s="24"/>
      <c r="BG915" s="24"/>
      <c r="BJ915" s="24"/>
    </row>
    <row r="916" spans="32:62" ht="15" customHeight="1" x14ac:dyDescent="0.2">
      <c r="AF916" s="151"/>
      <c r="AG916" s="152"/>
      <c r="AH916" s="152"/>
      <c r="AI916" s="152"/>
      <c r="AJ916" s="152"/>
      <c r="AK916" s="75"/>
      <c r="AL916" s="75"/>
      <c r="AM916" s="75"/>
      <c r="AN916" s="152"/>
      <c r="AO916" s="152"/>
      <c r="AP916" s="152"/>
      <c r="AQ916" s="73"/>
      <c r="AR916" s="152"/>
      <c r="AS916" s="152"/>
      <c r="AT916" s="152"/>
      <c r="AU916" s="73"/>
      <c r="AV916" s="73"/>
      <c r="AW916" s="73"/>
      <c r="AX916" s="73"/>
      <c r="BD916" s="24"/>
      <c r="BG916" s="24"/>
      <c r="BJ916" s="24"/>
    </row>
    <row r="917" spans="32:62" ht="15" customHeight="1" x14ac:dyDescent="0.2">
      <c r="AF917" s="151"/>
      <c r="AG917" s="152"/>
      <c r="AH917" s="152"/>
      <c r="AI917" s="152"/>
      <c r="AJ917" s="152"/>
      <c r="AK917" s="75"/>
      <c r="AL917" s="75"/>
      <c r="AM917" s="75"/>
      <c r="AN917" s="152"/>
      <c r="AO917" s="152"/>
      <c r="AP917" s="152"/>
      <c r="AQ917" s="73"/>
      <c r="AR917" s="152"/>
      <c r="AS917" s="152"/>
      <c r="AT917" s="152"/>
      <c r="AU917" s="73"/>
      <c r="AV917" s="73"/>
      <c r="AW917" s="73"/>
      <c r="AX917" s="73"/>
      <c r="BD917" s="24"/>
      <c r="BG917" s="24"/>
      <c r="BJ917" s="24"/>
    </row>
    <row r="918" spans="32:62" ht="15" customHeight="1" x14ac:dyDescent="0.2">
      <c r="AF918" s="151"/>
      <c r="AG918" s="152"/>
      <c r="AH918" s="152"/>
      <c r="AI918" s="152"/>
      <c r="AJ918" s="152"/>
      <c r="AK918" s="75"/>
      <c r="AL918" s="75"/>
      <c r="AM918" s="75"/>
      <c r="AN918" s="152"/>
      <c r="AO918" s="152"/>
      <c r="AP918" s="152"/>
      <c r="AQ918" s="73"/>
      <c r="AR918" s="152"/>
      <c r="AS918" s="152"/>
      <c r="AT918" s="152"/>
      <c r="AU918" s="73"/>
      <c r="AV918" s="73"/>
      <c r="AW918" s="73"/>
      <c r="AX918" s="73"/>
      <c r="BD918" s="24"/>
      <c r="BG918" s="24"/>
      <c r="BJ918" s="24"/>
    </row>
    <row r="919" spans="32:62" ht="15" customHeight="1" x14ac:dyDescent="0.2">
      <c r="AF919" s="151"/>
      <c r="AG919" s="152"/>
      <c r="AH919" s="152"/>
      <c r="AI919" s="152"/>
      <c r="AJ919" s="152"/>
      <c r="AK919" s="75"/>
      <c r="AL919" s="75"/>
      <c r="AM919" s="75"/>
      <c r="AN919" s="152"/>
      <c r="AO919" s="152"/>
      <c r="AP919" s="152"/>
      <c r="AQ919" s="73"/>
      <c r="AR919" s="152"/>
      <c r="AS919" s="152"/>
      <c r="AT919" s="152"/>
      <c r="AU919" s="73"/>
      <c r="AV919" s="73"/>
      <c r="AW919" s="73"/>
      <c r="AX919" s="73"/>
      <c r="BD919" s="24"/>
      <c r="BG919" s="24"/>
      <c r="BJ919" s="24"/>
    </row>
    <row r="920" spans="32:62" ht="15" customHeight="1" x14ac:dyDescent="0.2">
      <c r="AF920" s="151"/>
      <c r="AG920" s="152"/>
      <c r="AH920" s="152"/>
      <c r="AI920" s="152"/>
      <c r="AJ920" s="152"/>
      <c r="AK920" s="75"/>
      <c r="AL920" s="75"/>
      <c r="AM920" s="75"/>
      <c r="AN920" s="152"/>
      <c r="AO920" s="152"/>
      <c r="AP920" s="152"/>
      <c r="AQ920" s="73"/>
      <c r="AR920" s="152"/>
      <c r="AS920" s="152"/>
      <c r="AT920" s="152"/>
      <c r="AU920" s="73"/>
      <c r="AV920" s="73"/>
      <c r="AW920" s="73"/>
      <c r="AX920" s="73"/>
      <c r="BD920" s="24"/>
      <c r="BG920" s="24"/>
      <c r="BJ920" s="24"/>
    </row>
    <row r="921" spans="32:62" ht="15" customHeight="1" x14ac:dyDescent="0.2">
      <c r="AF921" s="151"/>
      <c r="AG921" s="152"/>
      <c r="AH921" s="152"/>
      <c r="AI921" s="152"/>
      <c r="AJ921" s="152"/>
      <c r="AK921" s="75"/>
      <c r="AL921" s="75"/>
      <c r="AM921" s="75"/>
      <c r="AN921" s="152"/>
      <c r="AO921" s="152"/>
      <c r="AP921" s="152"/>
      <c r="AQ921" s="73"/>
      <c r="AR921" s="152"/>
      <c r="AS921" s="152"/>
      <c r="AT921" s="152"/>
      <c r="AU921" s="73"/>
      <c r="AV921" s="73"/>
      <c r="AW921" s="73"/>
      <c r="AX921" s="73"/>
      <c r="BD921" s="24"/>
      <c r="BG921" s="24"/>
      <c r="BJ921" s="24"/>
    </row>
    <row r="922" spans="32:62" ht="15" customHeight="1" x14ac:dyDescent="0.2">
      <c r="AF922" s="151"/>
      <c r="AG922" s="152"/>
      <c r="AH922" s="152"/>
      <c r="AI922" s="152"/>
      <c r="AJ922" s="152"/>
      <c r="AK922" s="75"/>
      <c r="AL922" s="75"/>
      <c r="AM922" s="75"/>
      <c r="AN922" s="152"/>
      <c r="AO922" s="152"/>
      <c r="AP922" s="152"/>
      <c r="AQ922" s="73"/>
      <c r="AR922" s="152"/>
      <c r="AS922" s="152"/>
      <c r="AT922" s="152"/>
      <c r="AU922" s="73"/>
      <c r="AV922" s="73"/>
      <c r="AW922" s="73"/>
      <c r="AX922" s="73"/>
      <c r="BD922" s="24"/>
      <c r="BG922" s="24"/>
      <c r="BJ922" s="24"/>
    </row>
    <row r="923" spans="32:62" ht="15" customHeight="1" x14ac:dyDescent="0.2">
      <c r="AF923" s="151"/>
      <c r="AG923" s="152"/>
      <c r="AH923" s="152"/>
      <c r="AI923" s="152"/>
      <c r="AJ923" s="152"/>
      <c r="AK923" s="75"/>
      <c r="AL923" s="75"/>
      <c r="AM923" s="75"/>
      <c r="AN923" s="152"/>
      <c r="AO923" s="152"/>
      <c r="AP923" s="152"/>
      <c r="AQ923" s="73"/>
      <c r="AR923" s="152"/>
      <c r="AS923" s="152"/>
      <c r="AT923" s="152"/>
      <c r="AU923" s="73"/>
      <c r="AV923" s="73"/>
      <c r="AW923" s="73"/>
      <c r="AX923" s="73"/>
      <c r="BD923" s="24"/>
      <c r="BG923" s="24"/>
      <c r="BJ923" s="24"/>
    </row>
    <row r="924" spans="32:62" ht="15" customHeight="1" x14ac:dyDescent="0.2">
      <c r="AF924" s="151"/>
      <c r="AG924" s="152"/>
      <c r="AH924" s="152"/>
      <c r="AI924" s="152"/>
      <c r="AJ924" s="152"/>
      <c r="AK924" s="75"/>
      <c r="AL924" s="75"/>
      <c r="AM924" s="75"/>
      <c r="AN924" s="152"/>
      <c r="AO924" s="152"/>
      <c r="AP924" s="152"/>
      <c r="AQ924" s="73"/>
      <c r="AR924" s="152"/>
      <c r="AS924" s="152"/>
      <c r="AT924" s="152"/>
      <c r="AU924" s="73"/>
      <c r="AV924" s="73"/>
      <c r="AW924" s="73"/>
      <c r="AX924" s="73"/>
      <c r="BD924" s="24"/>
      <c r="BG924" s="24"/>
      <c r="BJ924" s="24"/>
    </row>
    <row r="925" spans="32:62" ht="15" customHeight="1" x14ac:dyDescent="0.2">
      <c r="AF925" s="151"/>
      <c r="AG925" s="152"/>
      <c r="AH925" s="152"/>
      <c r="AI925" s="152"/>
      <c r="AJ925" s="152"/>
      <c r="AK925" s="75"/>
      <c r="AL925" s="75"/>
      <c r="AM925" s="75"/>
      <c r="AN925" s="152"/>
      <c r="AO925" s="152"/>
      <c r="AP925" s="152"/>
      <c r="AQ925" s="73"/>
      <c r="AR925" s="152"/>
      <c r="AS925" s="152"/>
      <c r="AT925" s="152"/>
      <c r="AU925" s="73"/>
      <c r="AV925" s="73"/>
      <c r="AW925" s="73"/>
      <c r="AX925" s="73"/>
      <c r="BD925" s="24"/>
      <c r="BG925" s="24"/>
      <c r="BJ925" s="24"/>
    </row>
    <row r="926" spans="32:62" ht="15" customHeight="1" x14ac:dyDescent="0.2">
      <c r="AF926" s="151"/>
      <c r="AG926" s="152"/>
      <c r="AH926" s="152"/>
      <c r="AI926" s="152"/>
      <c r="AJ926" s="152"/>
      <c r="AK926" s="75"/>
      <c r="AL926" s="75"/>
      <c r="AM926" s="75"/>
      <c r="AN926" s="152"/>
      <c r="AO926" s="152"/>
      <c r="AP926" s="152"/>
      <c r="AQ926" s="73"/>
      <c r="AR926" s="152"/>
      <c r="AS926" s="152"/>
      <c r="AT926" s="152"/>
      <c r="AU926" s="73"/>
      <c r="AV926" s="73"/>
      <c r="AW926" s="73"/>
      <c r="AX926" s="73"/>
      <c r="BD926" s="24"/>
      <c r="BG926" s="24"/>
      <c r="BJ926" s="24"/>
    </row>
    <row r="927" spans="32:62" ht="15" customHeight="1" x14ac:dyDescent="0.2">
      <c r="AF927" s="151"/>
      <c r="AG927" s="152"/>
      <c r="AH927" s="152"/>
      <c r="AI927" s="152"/>
      <c r="AJ927" s="152"/>
      <c r="AK927" s="75"/>
      <c r="AL927" s="75"/>
      <c r="AM927" s="75"/>
      <c r="AN927" s="152"/>
      <c r="AO927" s="152"/>
      <c r="AP927" s="152"/>
      <c r="AQ927" s="73"/>
      <c r="AR927" s="152"/>
      <c r="AS927" s="152"/>
      <c r="AT927" s="152"/>
      <c r="AU927" s="73"/>
      <c r="AV927" s="73"/>
      <c r="AW927" s="73"/>
      <c r="AX927" s="73"/>
      <c r="BD927" s="24"/>
      <c r="BG927" s="24"/>
      <c r="BJ927" s="24"/>
    </row>
    <row r="928" spans="32:62" ht="15" customHeight="1" x14ac:dyDescent="0.2">
      <c r="AF928" s="151"/>
      <c r="AG928" s="152"/>
      <c r="AH928" s="152"/>
      <c r="AI928" s="152"/>
      <c r="AJ928" s="152"/>
      <c r="AK928" s="75"/>
      <c r="AL928" s="75"/>
      <c r="AM928" s="75"/>
      <c r="AN928" s="152"/>
      <c r="AO928" s="152"/>
      <c r="AP928" s="152"/>
      <c r="AQ928" s="73"/>
      <c r="AR928" s="152"/>
      <c r="AS928" s="152"/>
      <c r="AT928" s="152"/>
      <c r="AU928" s="73"/>
      <c r="AV928" s="73"/>
      <c r="AW928" s="73"/>
      <c r="AX928" s="73"/>
      <c r="BD928" s="24"/>
      <c r="BG928" s="24"/>
      <c r="BJ928" s="24"/>
    </row>
    <row r="929" spans="32:62" ht="15" customHeight="1" x14ac:dyDescent="0.2">
      <c r="AF929" s="151"/>
      <c r="AG929" s="152"/>
      <c r="AH929" s="152"/>
      <c r="AI929" s="152"/>
      <c r="AJ929" s="152"/>
      <c r="AK929" s="75"/>
      <c r="AL929" s="75"/>
      <c r="AM929" s="75"/>
      <c r="AN929" s="152"/>
      <c r="AO929" s="152"/>
      <c r="AP929" s="152"/>
      <c r="AQ929" s="73"/>
      <c r="AR929" s="152"/>
      <c r="AS929" s="152"/>
      <c r="AT929" s="152"/>
      <c r="AU929" s="73"/>
      <c r="AV929" s="73"/>
      <c r="AW929" s="73"/>
      <c r="AX929" s="73"/>
      <c r="BD929" s="24"/>
      <c r="BG929" s="24"/>
      <c r="BJ929" s="24"/>
    </row>
    <row r="930" spans="32:62" ht="15" customHeight="1" x14ac:dyDescent="0.2">
      <c r="AF930" s="151"/>
      <c r="AG930" s="152"/>
      <c r="AH930" s="152"/>
      <c r="AI930" s="152"/>
      <c r="AJ930" s="152"/>
      <c r="AK930" s="75"/>
      <c r="AL930" s="75"/>
      <c r="AM930" s="75"/>
      <c r="AN930" s="152"/>
      <c r="AO930" s="152"/>
      <c r="AP930" s="152"/>
      <c r="AQ930" s="73"/>
      <c r="AR930" s="152"/>
      <c r="AS930" s="152"/>
      <c r="AT930" s="152"/>
      <c r="AU930" s="73"/>
      <c r="AV930" s="73"/>
      <c r="AW930" s="73"/>
      <c r="AX930" s="73"/>
      <c r="BD930" s="24"/>
      <c r="BG930" s="24"/>
      <c r="BJ930" s="24"/>
    </row>
    <row r="931" spans="32:62" ht="15" customHeight="1" x14ac:dyDescent="0.2">
      <c r="AF931" s="151"/>
      <c r="AG931" s="152"/>
      <c r="AH931" s="152"/>
      <c r="AI931" s="152"/>
      <c r="AJ931" s="152"/>
      <c r="AK931" s="75"/>
      <c r="AL931" s="75"/>
      <c r="AM931" s="75"/>
      <c r="AN931" s="152"/>
      <c r="AO931" s="152"/>
      <c r="AP931" s="152"/>
      <c r="AQ931" s="73"/>
      <c r="AR931" s="152"/>
      <c r="AS931" s="152"/>
      <c r="AT931" s="152"/>
      <c r="AU931" s="73"/>
      <c r="AV931" s="73"/>
      <c r="AW931" s="73"/>
      <c r="AX931" s="73"/>
      <c r="BD931" s="24"/>
      <c r="BG931" s="24"/>
      <c r="BJ931" s="24"/>
    </row>
    <row r="932" spans="32:62" ht="15" customHeight="1" x14ac:dyDescent="0.2">
      <c r="AF932" s="151"/>
      <c r="AG932" s="152"/>
      <c r="AH932" s="152"/>
      <c r="AI932" s="152"/>
      <c r="AJ932" s="152"/>
      <c r="AK932" s="75"/>
      <c r="AL932" s="75"/>
      <c r="AM932" s="75"/>
      <c r="AN932" s="152"/>
      <c r="AO932" s="152"/>
      <c r="AP932" s="152"/>
      <c r="AQ932" s="73"/>
      <c r="AR932" s="152"/>
      <c r="AS932" s="152"/>
      <c r="AT932" s="152"/>
      <c r="AU932" s="73"/>
      <c r="AV932" s="73"/>
      <c r="AW932" s="73"/>
      <c r="AX932" s="73"/>
      <c r="BD932" s="24"/>
      <c r="BG932" s="24"/>
      <c r="BJ932" s="24"/>
    </row>
    <row r="933" spans="32:62" ht="15" customHeight="1" x14ac:dyDescent="0.2">
      <c r="AF933" s="151"/>
      <c r="AG933" s="152"/>
      <c r="AH933" s="152"/>
      <c r="AI933" s="152"/>
      <c r="AJ933" s="152"/>
      <c r="AK933" s="75"/>
      <c r="AL933" s="75"/>
      <c r="AM933" s="75"/>
      <c r="AN933" s="152"/>
      <c r="AO933" s="152"/>
      <c r="AP933" s="152"/>
      <c r="AQ933" s="73"/>
      <c r="AR933" s="152"/>
      <c r="AS933" s="153"/>
      <c r="AT933" s="151"/>
      <c r="BD933" s="24"/>
      <c r="BG933" s="24"/>
      <c r="BJ933" s="24"/>
    </row>
    <row r="934" spans="32:62" ht="15" customHeight="1" x14ac:dyDescent="0.2">
      <c r="AF934" s="151"/>
      <c r="AG934" s="152"/>
      <c r="AH934" s="152"/>
      <c r="AI934" s="152"/>
      <c r="AJ934" s="152"/>
      <c r="AK934" s="75"/>
      <c r="AL934" s="75"/>
      <c r="AM934" s="75"/>
      <c r="AN934" s="152"/>
      <c r="AO934" s="152"/>
      <c r="AP934" s="152"/>
      <c r="AQ934" s="73"/>
      <c r="AR934" s="152"/>
      <c r="AS934" s="153"/>
      <c r="AT934" s="151"/>
      <c r="BD934" s="24"/>
      <c r="BG934" s="24"/>
      <c r="BJ934" s="24"/>
    </row>
    <row r="935" spans="32:62" ht="15" customHeight="1" x14ac:dyDescent="0.2">
      <c r="AF935" s="151"/>
      <c r="AG935" s="152"/>
      <c r="AH935" s="152"/>
      <c r="AI935" s="152"/>
      <c r="AJ935" s="152"/>
      <c r="AK935" s="75"/>
      <c r="AL935" s="75"/>
      <c r="AM935" s="75"/>
      <c r="AN935" s="152"/>
      <c r="AO935" s="152"/>
      <c r="AP935" s="152"/>
      <c r="AQ935" s="73"/>
      <c r="AR935" s="152"/>
      <c r="AS935" s="153"/>
      <c r="AT935" s="151"/>
      <c r="BD935" s="24"/>
      <c r="BG935" s="24"/>
      <c r="BJ935" s="24"/>
    </row>
    <row r="936" spans="32:62" ht="15" customHeight="1" x14ac:dyDescent="0.2">
      <c r="AF936" s="151"/>
      <c r="AG936" s="152"/>
      <c r="AH936" s="152"/>
      <c r="AI936" s="152"/>
      <c r="AJ936" s="152"/>
      <c r="AK936" s="75"/>
      <c r="AL936" s="75"/>
      <c r="AM936" s="75"/>
      <c r="AN936" s="152"/>
      <c r="AO936" s="152"/>
      <c r="AP936" s="152"/>
      <c r="AQ936" s="73"/>
      <c r="AR936" s="152"/>
      <c r="AS936" s="153"/>
      <c r="AT936" s="151"/>
      <c r="BD936" s="24"/>
      <c r="BG936" s="24"/>
      <c r="BJ936" s="24"/>
    </row>
    <row r="937" spans="32:62" ht="15" customHeight="1" x14ac:dyDescent="0.2">
      <c r="AF937" s="151"/>
      <c r="AG937" s="152"/>
      <c r="AH937" s="152"/>
      <c r="AI937" s="152"/>
      <c r="AJ937" s="152"/>
      <c r="AK937" s="75"/>
      <c r="AL937" s="75"/>
      <c r="AM937" s="75"/>
      <c r="AN937" s="152"/>
      <c r="AO937" s="152"/>
      <c r="AP937" s="152"/>
      <c r="AQ937" s="73"/>
      <c r="AR937" s="152"/>
      <c r="AS937" s="153"/>
      <c r="AT937" s="151"/>
      <c r="BD937" s="24"/>
      <c r="BG937" s="24"/>
      <c r="BJ937" s="24"/>
    </row>
    <row r="938" spans="32:62" ht="15" customHeight="1" x14ac:dyDescent="0.2">
      <c r="AF938" s="151"/>
      <c r="AG938" s="152"/>
      <c r="AH938" s="152"/>
      <c r="AI938" s="152"/>
      <c r="AJ938" s="152"/>
      <c r="AK938" s="75"/>
      <c r="AL938" s="75"/>
      <c r="AM938" s="75"/>
      <c r="AN938" s="152"/>
      <c r="AO938" s="153"/>
      <c r="AP938" s="151"/>
      <c r="AR938" s="152"/>
      <c r="AS938" s="153"/>
      <c r="AT938" s="151"/>
      <c r="BD938" s="24"/>
      <c r="BG938" s="24"/>
      <c r="BJ938" s="24"/>
    </row>
    <row r="939" spans="32:62" ht="15" customHeight="1" x14ac:dyDescent="0.2">
      <c r="AF939" s="151"/>
      <c r="AG939" s="152"/>
      <c r="AH939" s="152"/>
      <c r="AI939" s="152"/>
      <c r="AJ939" s="152"/>
      <c r="AK939" s="75"/>
      <c r="AL939" s="75"/>
      <c r="AM939" s="75"/>
      <c r="AN939" s="152"/>
      <c r="AO939" s="153"/>
      <c r="AP939" s="151"/>
      <c r="AR939" s="152"/>
      <c r="AS939" s="153"/>
      <c r="AT939" s="151"/>
      <c r="BD939" s="24"/>
      <c r="BG939" s="24"/>
      <c r="BJ939" s="24"/>
    </row>
    <row r="940" spans="32:62" ht="15" customHeight="1" x14ac:dyDescent="0.2">
      <c r="AF940" s="151"/>
      <c r="AG940" s="152"/>
      <c r="AH940" s="152"/>
      <c r="AI940" s="152"/>
      <c r="AJ940" s="152"/>
      <c r="AK940" s="75"/>
      <c r="AL940" s="75"/>
      <c r="AM940" s="75"/>
      <c r="AN940" s="152"/>
      <c r="AO940" s="153"/>
      <c r="AP940" s="151"/>
      <c r="AR940" s="152"/>
      <c r="AS940" s="153"/>
      <c r="AT940" s="151"/>
      <c r="BD940" s="24"/>
      <c r="BG940" s="24"/>
      <c r="BJ940" s="24"/>
    </row>
    <row r="941" spans="32:62" ht="15" customHeight="1" x14ac:dyDescent="0.2">
      <c r="AF941" s="151"/>
      <c r="AG941" s="152"/>
      <c r="AH941" s="152"/>
      <c r="AI941" s="152"/>
      <c r="AJ941" s="152"/>
      <c r="AK941" s="75"/>
      <c r="AL941" s="75"/>
      <c r="AM941" s="75"/>
      <c r="AN941" s="152"/>
      <c r="AO941" s="153"/>
      <c r="AP941" s="151"/>
      <c r="AR941" s="152"/>
      <c r="AS941" s="153"/>
      <c r="AT941" s="151"/>
      <c r="BD941" s="24"/>
      <c r="BG941" s="24"/>
      <c r="BJ941" s="24"/>
    </row>
    <row r="942" spans="32:62" ht="15" customHeight="1" x14ac:dyDescent="0.2">
      <c r="AF942" s="151"/>
      <c r="AG942" s="152"/>
      <c r="AH942" s="152"/>
      <c r="AI942" s="152"/>
      <c r="AJ942" s="152"/>
      <c r="AK942" s="75"/>
      <c r="AL942" s="75"/>
      <c r="AM942" s="75"/>
      <c r="AN942" s="152"/>
      <c r="AO942" s="153"/>
      <c r="AP942" s="151"/>
      <c r="AR942" s="152"/>
      <c r="AS942" s="153"/>
      <c r="AT942" s="151"/>
      <c r="BD942" s="24"/>
      <c r="BG942" s="24"/>
      <c r="BJ942" s="24"/>
    </row>
    <row r="943" spans="32:62" ht="15" customHeight="1" x14ac:dyDescent="0.2">
      <c r="AF943" s="151"/>
      <c r="AG943" s="152"/>
      <c r="AH943" s="152"/>
      <c r="AI943" s="152"/>
      <c r="AJ943" s="152"/>
      <c r="AK943" s="75"/>
      <c r="AL943" s="75"/>
      <c r="AM943" s="75"/>
      <c r="AN943" s="152"/>
      <c r="AO943" s="153"/>
      <c r="AP943" s="151"/>
      <c r="AR943" s="152"/>
      <c r="AS943" s="153"/>
      <c r="AT943" s="151"/>
      <c r="BD943" s="24"/>
      <c r="BG943" s="24"/>
      <c r="BJ943" s="24"/>
    </row>
    <row r="944" spans="32:62" ht="15" customHeight="1" x14ac:dyDescent="0.2">
      <c r="AF944" s="151"/>
      <c r="AG944" s="152"/>
      <c r="AH944" s="152"/>
      <c r="AI944" s="152"/>
      <c r="AJ944" s="152"/>
      <c r="AK944" s="75"/>
      <c r="AL944" s="75"/>
      <c r="AM944" s="75"/>
      <c r="AN944" s="152"/>
      <c r="AO944" s="153"/>
      <c r="AP944" s="151"/>
      <c r="AR944" s="152"/>
      <c r="AS944" s="153"/>
      <c r="AT944" s="151"/>
      <c r="BD944" s="24"/>
      <c r="BG944" s="24"/>
      <c r="BJ944" s="24"/>
    </row>
    <row r="945" spans="32:62" ht="15" customHeight="1" x14ac:dyDescent="0.2">
      <c r="AF945" s="151"/>
      <c r="AG945" s="152"/>
      <c r="AH945" s="152"/>
      <c r="AI945" s="152"/>
      <c r="AJ945" s="152"/>
      <c r="AK945" s="75"/>
      <c r="AL945" s="75"/>
      <c r="AM945" s="75"/>
      <c r="AN945" s="152"/>
      <c r="AO945" s="153"/>
      <c r="AP945" s="151"/>
      <c r="AR945" s="152"/>
      <c r="AS945" s="153"/>
      <c r="AT945" s="151"/>
      <c r="BD945" s="24"/>
      <c r="BG945" s="24"/>
      <c r="BJ945" s="24"/>
    </row>
    <row r="946" spans="32:62" ht="15" customHeight="1" x14ac:dyDescent="0.2">
      <c r="AF946" s="151"/>
      <c r="AG946" s="152"/>
      <c r="AH946" s="152"/>
      <c r="AI946" s="152"/>
      <c r="AJ946" s="152"/>
      <c r="AK946" s="75"/>
      <c r="AL946" s="75"/>
      <c r="AM946" s="75"/>
      <c r="AN946" s="152"/>
      <c r="AO946" s="153"/>
      <c r="AP946" s="151"/>
      <c r="AR946" s="152"/>
      <c r="AS946" s="153"/>
      <c r="AT946" s="151"/>
      <c r="BD946" s="24"/>
      <c r="BG946" s="24"/>
      <c r="BJ946" s="24"/>
    </row>
    <row r="947" spans="32:62" ht="15" customHeight="1" x14ac:dyDescent="0.2">
      <c r="AF947" s="151"/>
      <c r="AG947" s="152"/>
      <c r="AH947" s="152"/>
      <c r="AI947" s="152"/>
      <c r="AJ947" s="152"/>
      <c r="AK947" s="75"/>
      <c r="AL947" s="75"/>
      <c r="AM947" s="75"/>
      <c r="AN947" s="152"/>
      <c r="AO947" s="153"/>
      <c r="AP947" s="151"/>
      <c r="AR947" s="152"/>
      <c r="AS947" s="153"/>
      <c r="AT947" s="151"/>
      <c r="BD947" s="24"/>
      <c r="BG947" s="24"/>
      <c r="BJ947" s="24"/>
    </row>
    <row r="948" spans="32:62" ht="15" customHeight="1" x14ac:dyDescent="0.2">
      <c r="AF948" s="151"/>
      <c r="AG948" s="152"/>
      <c r="AH948" s="152"/>
      <c r="AI948" s="152"/>
      <c r="AJ948" s="152"/>
      <c r="AK948" s="75"/>
      <c r="AL948" s="75"/>
      <c r="AM948" s="75"/>
      <c r="AN948" s="152"/>
      <c r="AO948" s="153"/>
      <c r="AP948" s="151"/>
      <c r="AR948" s="152"/>
      <c r="AS948" s="153"/>
      <c r="AT948" s="151"/>
      <c r="BD948" s="24"/>
      <c r="BG948" s="24"/>
      <c r="BJ948" s="24"/>
    </row>
    <row r="949" spans="32:62" ht="15" customHeight="1" x14ac:dyDescent="0.2">
      <c r="AF949" s="151"/>
      <c r="AG949" s="152"/>
      <c r="AH949" s="152"/>
      <c r="AI949" s="152"/>
      <c r="AJ949" s="152"/>
      <c r="AK949" s="75"/>
      <c r="AL949" s="75"/>
      <c r="AM949" s="75"/>
      <c r="AN949" s="152"/>
      <c r="AO949" s="153"/>
      <c r="AP949" s="151"/>
      <c r="AR949" s="152"/>
      <c r="AS949" s="153"/>
      <c r="AT949" s="151"/>
      <c r="BD949" s="24"/>
      <c r="BG949" s="24"/>
      <c r="BJ949" s="24"/>
    </row>
    <row r="950" spans="32:62" ht="15" customHeight="1" x14ac:dyDescent="0.2">
      <c r="AF950" s="151"/>
      <c r="AG950" s="152"/>
      <c r="AH950" s="152"/>
      <c r="AI950" s="152"/>
      <c r="AJ950" s="152"/>
      <c r="AK950" s="75"/>
      <c r="AL950" s="75"/>
      <c r="AM950" s="75"/>
      <c r="AN950" s="152"/>
      <c r="AO950" s="153"/>
      <c r="AP950" s="151"/>
      <c r="AR950" s="152"/>
      <c r="AS950" s="153"/>
      <c r="AT950" s="151"/>
      <c r="BD950" s="24"/>
      <c r="BG950" s="24"/>
      <c r="BJ950" s="24"/>
    </row>
    <row r="951" spans="32:62" ht="15" customHeight="1" x14ac:dyDescent="0.2">
      <c r="AF951" s="151"/>
      <c r="AG951" s="152"/>
      <c r="AH951" s="152"/>
      <c r="AI951" s="152"/>
      <c r="AJ951" s="152"/>
      <c r="AK951" s="75"/>
      <c r="AL951" s="75"/>
      <c r="AM951" s="75"/>
      <c r="AN951" s="152"/>
      <c r="AO951" s="153"/>
      <c r="AP951" s="151"/>
      <c r="AR951" s="152"/>
      <c r="AS951" s="153"/>
      <c r="AT951" s="151"/>
      <c r="BD951" s="24"/>
      <c r="BG951" s="24"/>
      <c r="BJ951" s="24"/>
    </row>
    <row r="952" spans="32:62" ht="15" customHeight="1" x14ac:dyDescent="0.2">
      <c r="AF952" s="151"/>
      <c r="AG952" s="152"/>
      <c r="AH952" s="152"/>
      <c r="AI952" s="152"/>
      <c r="AJ952" s="152"/>
      <c r="AK952" s="75"/>
      <c r="AL952" s="75"/>
      <c r="AM952" s="75"/>
      <c r="AN952" s="152"/>
      <c r="AO952" s="153"/>
      <c r="AP952" s="151"/>
      <c r="AR952" s="152"/>
      <c r="AS952" s="153"/>
      <c r="AT952" s="151"/>
      <c r="BD952" s="24"/>
      <c r="BG952" s="24"/>
      <c r="BJ952" s="24"/>
    </row>
    <row r="953" spans="32:62" ht="15" customHeight="1" x14ac:dyDescent="0.2">
      <c r="AF953" s="151"/>
      <c r="AG953" s="152"/>
      <c r="AH953" s="152"/>
      <c r="AI953" s="152"/>
      <c r="AJ953" s="152"/>
      <c r="AK953" s="75"/>
      <c r="AL953" s="75"/>
      <c r="AM953" s="75"/>
      <c r="AN953" s="152"/>
      <c r="AO953" s="153"/>
      <c r="AP953" s="151"/>
      <c r="AR953" s="152"/>
      <c r="AS953" s="153"/>
      <c r="AT953" s="151"/>
      <c r="BD953" s="24"/>
      <c r="BG953" s="24"/>
      <c r="BJ953" s="24"/>
    </row>
    <row r="954" spans="32:62" ht="15" customHeight="1" x14ac:dyDescent="0.2">
      <c r="AF954" s="151"/>
      <c r="AG954" s="152"/>
      <c r="AH954" s="152"/>
      <c r="AI954" s="152"/>
      <c r="AJ954" s="152"/>
      <c r="AK954" s="75"/>
      <c r="AL954" s="75"/>
      <c r="AM954" s="75"/>
      <c r="AN954" s="152"/>
      <c r="AO954" s="153"/>
      <c r="AP954" s="151"/>
      <c r="AR954" s="152"/>
      <c r="AS954" s="153"/>
      <c r="AT954" s="151"/>
      <c r="BD954" s="24"/>
      <c r="BG954" s="24"/>
      <c r="BJ954" s="24"/>
    </row>
    <row r="955" spans="32:62" ht="15" customHeight="1" x14ac:dyDescent="0.2">
      <c r="AF955" s="151"/>
      <c r="AG955" s="152"/>
      <c r="AH955" s="152"/>
      <c r="AI955" s="152"/>
      <c r="AJ955" s="152"/>
      <c r="AK955" s="75"/>
      <c r="AL955" s="75"/>
      <c r="AM955" s="75"/>
      <c r="AN955" s="152"/>
      <c r="AO955" s="153"/>
      <c r="AP955" s="151"/>
      <c r="AR955" s="152"/>
      <c r="AS955" s="153"/>
      <c r="AT955" s="151"/>
      <c r="BD955" s="24"/>
      <c r="BG955" s="24"/>
      <c r="BJ955" s="24"/>
    </row>
    <row r="956" spans="32:62" ht="15" customHeight="1" x14ac:dyDescent="0.2">
      <c r="AF956" s="151"/>
      <c r="AG956" s="152"/>
      <c r="AH956" s="152"/>
      <c r="AI956" s="152"/>
      <c r="AJ956" s="152"/>
      <c r="AK956" s="75"/>
      <c r="AL956" s="75"/>
      <c r="AM956" s="75"/>
      <c r="AN956" s="152"/>
      <c r="AO956" s="153"/>
      <c r="AP956" s="151"/>
      <c r="AR956" s="152"/>
      <c r="AS956" s="153"/>
      <c r="AT956" s="151"/>
      <c r="BD956" s="24"/>
      <c r="BG956" s="24"/>
      <c r="BJ956" s="24"/>
    </row>
    <row r="957" spans="32:62" ht="15" customHeight="1" x14ac:dyDescent="0.2">
      <c r="AF957" s="151"/>
      <c r="AG957" s="152"/>
      <c r="AH957" s="152"/>
      <c r="AI957" s="152"/>
      <c r="AJ957" s="152"/>
      <c r="AK957" s="75"/>
      <c r="AL957" s="75"/>
      <c r="AM957" s="75"/>
      <c r="AN957" s="152"/>
      <c r="AO957" s="153"/>
      <c r="AP957" s="151"/>
      <c r="AR957" s="152"/>
      <c r="AS957" s="153"/>
      <c r="AT957" s="151"/>
      <c r="BD957" s="24"/>
      <c r="BG957" s="24"/>
      <c r="BJ957" s="24"/>
    </row>
    <row r="958" spans="32:62" ht="15" customHeight="1" x14ac:dyDescent="0.2">
      <c r="AF958" s="151"/>
      <c r="AG958" s="152"/>
      <c r="AH958" s="152"/>
      <c r="AI958" s="152"/>
      <c r="AJ958" s="152"/>
      <c r="AK958" s="75"/>
      <c r="AL958" s="75"/>
      <c r="AM958" s="75"/>
      <c r="AN958" s="152"/>
      <c r="AO958" s="153"/>
      <c r="AP958" s="151"/>
      <c r="AR958" s="152"/>
      <c r="AS958" s="153"/>
      <c r="AT958" s="151"/>
      <c r="BD958" s="24"/>
      <c r="BG958" s="24"/>
      <c r="BJ958" s="24"/>
    </row>
    <row r="959" spans="32:62" ht="15" customHeight="1" x14ac:dyDescent="0.2">
      <c r="AF959" s="151"/>
      <c r="AG959" s="152"/>
      <c r="AH959" s="152"/>
      <c r="AI959" s="152"/>
      <c r="AJ959" s="152"/>
      <c r="AK959" s="75"/>
      <c r="AL959" s="75"/>
      <c r="AM959" s="75"/>
      <c r="AN959" s="152"/>
      <c r="AO959" s="153"/>
      <c r="AP959" s="151"/>
      <c r="AR959" s="152"/>
      <c r="AS959" s="153"/>
      <c r="AT959" s="151"/>
      <c r="BD959" s="24"/>
      <c r="BG959" s="24"/>
      <c r="BJ959" s="24"/>
    </row>
    <row r="960" spans="32:62" ht="15" customHeight="1" x14ac:dyDescent="0.2">
      <c r="AF960" s="151"/>
      <c r="AG960" s="152"/>
      <c r="AH960" s="152"/>
      <c r="AI960" s="152"/>
      <c r="AJ960" s="152"/>
      <c r="AK960" s="75"/>
      <c r="AL960" s="75"/>
      <c r="AM960" s="75"/>
      <c r="AN960" s="152"/>
      <c r="AO960" s="153"/>
      <c r="AP960" s="151"/>
      <c r="AR960" s="152"/>
      <c r="AS960" s="153"/>
      <c r="AT960" s="151"/>
      <c r="BD960" s="24"/>
      <c r="BG960" s="24"/>
      <c r="BJ960" s="24"/>
    </row>
    <row r="961" spans="32:62" ht="15" customHeight="1" x14ac:dyDescent="0.2">
      <c r="AF961" s="151"/>
      <c r="AG961" s="152"/>
      <c r="AH961" s="152"/>
      <c r="AI961" s="152"/>
      <c r="AJ961" s="152"/>
      <c r="AK961" s="75"/>
      <c r="AL961" s="75"/>
      <c r="AM961" s="75"/>
      <c r="AN961" s="152"/>
      <c r="AO961" s="153"/>
      <c r="AP961" s="151"/>
      <c r="AR961" s="152"/>
      <c r="AS961" s="153"/>
      <c r="AT961" s="151"/>
      <c r="BD961" s="24"/>
      <c r="BG961" s="24"/>
      <c r="BJ961" s="24"/>
    </row>
    <row r="962" spans="32:62" ht="15" customHeight="1" x14ac:dyDescent="0.2">
      <c r="AF962" s="151"/>
      <c r="AG962" s="152"/>
      <c r="AH962" s="152"/>
      <c r="AI962" s="152"/>
      <c r="AJ962" s="152"/>
      <c r="AK962" s="75"/>
      <c r="AL962" s="75"/>
      <c r="AM962" s="75"/>
      <c r="AN962" s="152"/>
      <c r="AO962" s="153"/>
      <c r="AP962" s="151"/>
      <c r="AR962" s="152"/>
      <c r="AS962" s="153"/>
      <c r="AT962" s="151"/>
      <c r="BD962" s="24"/>
      <c r="BG962" s="24"/>
      <c r="BJ962" s="24"/>
    </row>
    <row r="963" spans="32:62" ht="15" customHeight="1" x14ac:dyDescent="0.2">
      <c r="AF963" s="151"/>
      <c r="AG963" s="152"/>
      <c r="AH963" s="152"/>
      <c r="AI963" s="152"/>
      <c r="AJ963" s="152"/>
      <c r="AK963" s="75"/>
      <c r="AL963" s="75"/>
      <c r="AM963" s="75"/>
      <c r="AN963" s="152"/>
      <c r="AO963" s="153"/>
      <c r="AP963" s="151"/>
      <c r="AR963" s="152"/>
      <c r="AS963" s="153"/>
      <c r="AT963" s="151"/>
      <c r="BD963" s="24"/>
      <c r="BG963" s="24"/>
      <c r="BJ963" s="24"/>
    </row>
    <row r="964" spans="32:62" ht="15" customHeight="1" x14ac:dyDescent="0.2">
      <c r="AF964" s="151"/>
      <c r="AG964" s="152"/>
      <c r="AH964" s="152"/>
      <c r="AI964" s="152"/>
      <c r="AJ964" s="152"/>
      <c r="AK964" s="75"/>
      <c r="AL964" s="75"/>
      <c r="AM964" s="75"/>
      <c r="AN964" s="152"/>
      <c r="AO964" s="153"/>
      <c r="AP964" s="151"/>
      <c r="AR964" s="152"/>
      <c r="AS964" s="153"/>
      <c r="AT964" s="151"/>
      <c r="BD964" s="24"/>
      <c r="BG964" s="24"/>
      <c r="BJ964" s="24"/>
    </row>
    <row r="965" spans="32:62" ht="15" customHeight="1" x14ac:dyDescent="0.2">
      <c r="AF965" s="151"/>
      <c r="AG965" s="152"/>
      <c r="AH965" s="152"/>
      <c r="AI965" s="152"/>
      <c r="AJ965" s="152"/>
      <c r="AK965" s="75"/>
      <c r="AL965" s="75"/>
      <c r="AM965" s="75"/>
      <c r="AN965" s="152"/>
      <c r="AO965" s="153"/>
      <c r="AP965" s="151"/>
      <c r="AR965" s="152"/>
      <c r="AS965" s="153"/>
      <c r="AT965" s="151"/>
      <c r="BD965" s="24"/>
      <c r="BG965" s="24"/>
      <c r="BJ965" s="24"/>
    </row>
    <row r="966" spans="32:62" ht="15" customHeight="1" x14ac:dyDescent="0.2">
      <c r="AF966" s="151"/>
      <c r="AG966" s="152"/>
      <c r="AH966" s="152"/>
      <c r="AI966" s="152"/>
      <c r="AJ966" s="152"/>
      <c r="AK966" s="75"/>
      <c r="AL966" s="75"/>
      <c r="AM966" s="75"/>
      <c r="AN966" s="152"/>
      <c r="AO966" s="153"/>
      <c r="AP966" s="151"/>
      <c r="AR966" s="152"/>
      <c r="AS966" s="153"/>
      <c r="AT966" s="151"/>
      <c r="BD966" s="24"/>
      <c r="BG966" s="24"/>
      <c r="BJ966" s="24"/>
    </row>
    <row r="967" spans="32:62" ht="15" customHeight="1" x14ac:dyDescent="0.2">
      <c r="AF967" s="151"/>
      <c r="AG967" s="152"/>
      <c r="AH967" s="152"/>
      <c r="AI967" s="152"/>
      <c r="AJ967" s="152"/>
      <c r="AK967" s="75"/>
      <c r="AL967" s="75"/>
      <c r="AM967" s="75"/>
      <c r="AN967" s="152"/>
      <c r="AO967" s="153"/>
      <c r="AP967" s="151"/>
      <c r="AR967" s="152"/>
      <c r="AS967" s="153"/>
      <c r="AT967" s="151"/>
      <c r="BD967" s="24"/>
      <c r="BG967" s="24"/>
      <c r="BJ967" s="24"/>
    </row>
    <row r="968" spans="32:62" ht="15" customHeight="1" x14ac:dyDescent="0.2">
      <c r="AF968" s="151"/>
      <c r="AG968" s="152"/>
      <c r="AH968" s="152"/>
      <c r="AI968" s="152"/>
      <c r="AJ968" s="152"/>
      <c r="AK968" s="75"/>
      <c r="AL968" s="75"/>
      <c r="AM968" s="75"/>
      <c r="AN968" s="152"/>
      <c r="AO968" s="153"/>
      <c r="AP968" s="151"/>
      <c r="AR968" s="152"/>
      <c r="AS968" s="153"/>
      <c r="AT968" s="151"/>
      <c r="BD968" s="24"/>
      <c r="BG968" s="24"/>
      <c r="BJ968" s="24"/>
    </row>
    <row r="969" spans="32:62" ht="15" customHeight="1" x14ac:dyDescent="0.2">
      <c r="AF969" s="151"/>
      <c r="AG969" s="152"/>
      <c r="AH969" s="152"/>
      <c r="AI969" s="152"/>
      <c r="AJ969" s="152"/>
      <c r="AK969" s="75"/>
      <c r="AL969" s="75"/>
      <c r="AM969" s="75"/>
      <c r="AN969" s="152"/>
      <c r="AO969" s="153"/>
      <c r="AP969" s="151"/>
      <c r="AR969" s="152"/>
      <c r="AS969" s="153"/>
      <c r="AT969" s="151"/>
      <c r="BD969" s="24"/>
      <c r="BG969" s="24"/>
      <c r="BJ969" s="24"/>
    </row>
    <row r="970" spans="32:62" ht="15" customHeight="1" x14ac:dyDescent="0.2">
      <c r="AF970" s="151"/>
      <c r="AG970" s="152"/>
      <c r="AH970" s="152"/>
      <c r="AI970" s="152"/>
      <c r="AJ970" s="152"/>
      <c r="AK970" s="75"/>
      <c r="AL970" s="75"/>
      <c r="AM970" s="75"/>
      <c r="AN970" s="152"/>
      <c r="AO970" s="153"/>
      <c r="AP970" s="151"/>
      <c r="AR970" s="152"/>
      <c r="AS970" s="153"/>
      <c r="AT970" s="151"/>
      <c r="BD970" s="24"/>
      <c r="BG970" s="24"/>
      <c r="BJ970" s="24"/>
    </row>
    <row r="971" spans="32:62" ht="15" customHeight="1" x14ac:dyDescent="0.2">
      <c r="AF971" s="151"/>
      <c r="AG971" s="152"/>
      <c r="AH971" s="152"/>
      <c r="AI971" s="152"/>
      <c r="AJ971" s="152"/>
      <c r="AK971" s="75"/>
      <c r="AL971" s="75"/>
      <c r="AM971" s="75"/>
      <c r="AN971" s="152"/>
      <c r="AO971" s="153"/>
      <c r="AP971" s="151"/>
      <c r="AR971" s="152"/>
      <c r="AS971" s="153"/>
      <c r="AT971" s="151"/>
      <c r="BD971" s="24"/>
      <c r="BG971" s="24"/>
      <c r="BJ971" s="24"/>
    </row>
    <row r="972" spans="32:62" ht="15" customHeight="1" x14ac:dyDescent="0.2">
      <c r="AF972" s="151"/>
      <c r="AG972" s="152"/>
      <c r="AH972" s="152"/>
      <c r="AI972" s="152"/>
      <c r="AJ972" s="152"/>
      <c r="AK972" s="75"/>
      <c r="AL972" s="75"/>
      <c r="AM972" s="75"/>
      <c r="AN972" s="152"/>
      <c r="AO972" s="153"/>
      <c r="AP972" s="151"/>
      <c r="AR972" s="152"/>
      <c r="AS972" s="153"/>
      <c r="AT972" s="151"/>
      <c r="BD972" s="24"/>
      <c r="BG972" s="24"/>
      <c r="BJ972" s="24"/>
    </row>
    <row r="973" spans="32:62" ht="15" customHeight="1" x14ac:dyDescent="0.2">
      <c r="AF973" s="151"/>
      <c r="AG973" s="152"/>
      <c r="AH973" s="152"/>
      <c r="AI973" s="152"/>
      <c r="AJ973" s="152"/>
      <c r="AK973" s="75"/>
      <c r="AL973" s="75"/>
      <c r="AM973" s="75"/>
      <c r="AN973" s="152"/>
      <c r="AO973" s="153"/>
      <c r="AP973" s="151"/>
      <c r="AR973" s="152"/>
      <c r="AS973" s="153"/>
      <c r="AT973" s="151"/>
      <c r="BD973" s="24"/>
      <c r="BG973" s="24"/>
      <c r="BJ973" s="24"/>
    </row>
    <row r="974" spans="32:62" ht="15" customHeight="1" x14ac:dyDescent="0.2">
      <c r="AF974" s="151"/>
      <c r="AG974" s="152"/>
      <c r="AH974" s="152"/>
      <c r="AI974" s="152"/>
      <c r="AJ974" s="152"/>
      <c r="AK974" s="75"/>
      <c r="AL974" s="75"/>
      <c r="AM974" s="75"/>
      <c r="AN974" s="152"/>
      <c r="AO974" s="153"/>
      <c r="AP974" s="151"/>
      <c r="AR974" s="152"/>
      <c r="AS974" s="153"/>
      <c r="AT974" s="151"/>
      <c r="BD974" s="24"/>
      <c r="BG974" s="24"/>
      <c r="BJ974" s="24"/>
    </row>
    <row r="975" spans="32:62" ht="15" customHeight="1" x14ac:dyDescent="0.2">
      <c r="AF975" s="151"/>
      <c r="AG975" s="152"/>
      <c r="AH975" s="152"/>
      <c r="AI975" s="152"/>
      <c r="AJ975" s="152"/>
      <c r="AK975" s="75"/>
      <c r="AL975" s="75"/>
      <c r="AM975" s="75"/>
      <c r="AN975" s="152"/>
      <c r="AO975" s="153"/>
      <c r="AP975" s="151"/>
      <c r="AR975" s="152"/>
      <c r="AS975" s="153"/>
      <c r="AT975" s="151"/>
      <c r="BD975" s="24"/>
      <c r="BG975" s="24"/>
      <c r="BJ975" s="24"/>
    </row>
    <row r="976" spans="32:62" ht="15" customHeight="1" x14ac:dyDescent="0.2">
      <c r="AF976" s="151"/>
      <c r="AG976" s="152"/>
      <c r="AH976" s="152"/>
      <c r="AI976" s="152"/>
      <c r="AJ976" s="152"/>
      <c r="AK976" s="75"/>
      <c r="AL976" s="75"/>
      <c r="AM976" s="75"/>
      <c r="AN976" s="152"/>
      <c r="AO976" s="153"/>
      <c r="AP976" s="151"/>
      <c r="AR976" s="152"/>
      <c r="AS976" s="153"/>
      <c r="AT976" s="151"/>
      <c r="BD976" s="24"/>
      <c r="BG976" s="24"/>
      <c r="BJ976" s="24"/>
    </row>
    <row r="977" spans="32:62" ht="15" customHeight="1" x14ac:dyDescent="0.2">
      <c r="AF977" s="151"/>
      <c r="AG977" s="152"/>
      <c r="AH977" s="152"/>
      <c r="AI977" s="152"/>
      <c r="AJ977" s="152"/>
      <c r="AK977" s="75"/>
      <c r="AL977" s="75"/>
      <c r="AM977" s="75"/>
      <c r="AN977" s="152"/>
      <c r="AO977" s="153"/>
      <c r="AP977" s="151"/>
      <c r="AR977" s="152"/>
      <c r="AS977" s="153"/>
      <c r="AT977" s="151"/>
      <c r="BD977" s="24"/>
      <c r="BG977" s="24"/>
      <c r="BJ977" s="24"/>
    </row>
    <row r="978" spans="32:62" ht="15" customHeight="1" x14ac:dyDescent="0.2">
      <c r="AF978" s="151"/>
      <c r="AG978" s="152"/>
      <c r="AH978" s="152"/>
      <c r="AI978" s="152"/>
      <c r="AJ978" s="152"/>
      <c r="AK978" s="75"/>
      <c r="AL978" s="75"/>
      <c r="AM978" s="75"/>
      <c r="AN978" s="152"/>
      <c r="AO978" s="153"/>
      <c r="AP978" s="151"/>
      <c r="AR978" s="152"/>
      <c r="AS978" s="153"/>
      <c r="AT978" s="151"/>
      <c r="BD978" s="24"/>
      <c r="BG978" s="24"/>
      <c r="BJ978" s="24"/>
    </row>
    <row r="979" spans="32:62" ht="15" customHeight="1" x14ac:dyDescent="0.2">
      <c r="AF979" s="151"/>
      <c r="AG979" s="152"/>
      <c r="AH979" s="152"/>
      <c r="AI979" s="152"/>
      <c r="AJ979" s="152"/>
      <c r="AK979" s="75"/>
      <c r="AL979" s="75"/>
      <c r="AM979" s="75"/>
      <c r="AN979" s="152"/>
      <c r="AO979" s="153"/>
      <c r="AP979" s="151"/>
      <c r="AR979" s="152"/>
      <c r="AS979" s="153"/>
      <c r="AT979" s="151"/>
      <c r="BD979" s="24"/>
      <c r="BG979" s="24"/>
      <c r="BJ979" s="24"/>
    </row>
    <row r="980" spans="32:62" ht="15" customHeight="1" x14ac:dyDescent="0.2">
      <c r="AF980" s="151"/>
      <c r="AG980" s="152"/>
      <c r="AH980" s="152"/>
      <c r="AI980" s="152"/>
      <c r="AJ980" s="152"/>
      <c r="AK980" s="75"/>
      <c r="AL980" s="75"/>
      <c r="AM980" s="75"/>
      <c r="AN980" s="152"/>
      <c r="AO980" s="153"/>
      <c r="AP980" s="151"/>
      <c r="AR980" s="152"/>
      <c r="AS980" s="153"/>
      <c r="AT980" s="151"/>
      <c r="BD980" s="24"/>
      <c r="BG980" s="24"/>
      <c r="BJ980" s="24"/>
    </row>
    <row r="981" spans="32:62" ht="15" customHeight="1" x14ac:dyDescent="0.2">
      <c r="AF981" s="151"/>
      <c r="AG981" s="152"/>
      <c r="AH981" s="152"/>
      <c r="AI981" s="152"/>
      <c r="AJ981" s="152"/>
      <c r="AK981" s="75"/>
      <c r="AL981" s="75"/>
      <c r="AM981" s="75"/>
      <c r="AN981" s="152"/>
      <c r="AO981" s="153"/>
      <c r="AP981" s="151"/>
      <c r="AR981" s="152"/>
      <c r="AS981" s="153"/>
      <c r="AT981" s="151"/>
      <c r="BD981" s="24"/>
      <c r="BG981" s="24"/>
      <c r="BJ981" s="24"/>
    </row>
    <row r="982" spans="32:62" ht="15" customHeight="1" x14ac:dyDescent="0.2">
      <c r="AF982" s="151"/>
      <c r="AG982" s="152"/>
      <c r="AH982" s="152"/>
      <c r="AI982" s="152"/>
      <c r="AJ982" s="152"/>
      <c r="AK982" s="75"/>
      <c r="AL982" s="75"/>
      <c r="AM982" s="75"/>
      <c r="AN982" s="152"/>
      <c r="AO982" s="153"/>
      <c r="AP982" s="151"/>
      <c r="AR982" s="152"/>
      <c r="AS982" s="153"/>
      <c r="AT982" s="151"/>
      <c r="BD982" s="24"/>
      <c r="BG982" s="24"/>
      <c r="BJ982" s="24"/>
    </row>
    <row r="983" spans="32:62" ht="15" customHeight="1" x14ac:dyDescent="0.2">
      <c r="AF983" s="151"/>
      <c r="AG983" s="152"/>
      <c r="AH983" s="152"/>
      <c r="AI983" s="152"/>
      <c r="AJ983" s="152"/>
      <c r="AK983" s="75"/>
      <c r="AL983" s="75"/>
      <c r="AM983" s="75"/>
      <c r="AN983" s="152"/>
      <c r="AO983" s="153"/>
      <c r="AP983" s="151"/>
      <c r="AR983" s="152"/>
      <c r="AS983" s="153"/>
      <c r="AT983" s="151"/>
      <c r="BD983" s="24"/>
      <c r="BG983" s="24"/>
      <c r="BJ983" s="24"/>
    </row>
    <row r="984" spans="32:62" ht="15" customHeight="1" x14ac:dyDescent="0.2">
      <c r="AF984" s="151"/>
      <c r="AG984" s="152"/>
      <c r="AH984" s="152"/>
      <c r="AI984" s="152"/>
      <c r="AJ984" s="152"/>
      <c r="AK984" s="75"/>
      <c r="AL984" s="75"/>
      <c r="AM984" s="75"/>
      <c r="AN984" s="152"/>
      <c r="AO984" s="153"/>
      <c r="AP984" s="151"/>
      <c r="AR984" s="152"/>
      <c r="AS984" s="153"/>
      <c r="AT984" s="151"/>
      <c r="BD984" s="24"/>
      <c r="BG984" s="24"/>
      <c r="BJ984" s="24"/>
    </row>
    <row r="985" spans="32:62" ht="15" customHeight="1" x14ac:dyDescent="0.2">
      <c r="AF985" s="151"/>
      <c r="AG985" s="152"/>
      <c r="AH985" s="152"/>
      <c r="AI985" s="152"/>
      <c r="AJ985" s="152"/>
      <c r="AK985" s="75"/>
      <c r="AL985" s="75"/>
      <c r="AM985" s="75"/>
      <c r="AN985" s="152"/>
      <c r="AO985" s="153"/>
      <c r="AP985" s="151"/>
      <c r="AR985" s="152"/>
      <c r="AS985" s="153"/>
      <c r="AT985" s="151"/>
      <c r="BD985" s="24"/>
      <c r="BG985" s="24"/>
      <c r="BJ985" s="24"/>
    </row>
    <row r="986" spans="32:62" ht="15" customHeight="1" x14ac:dyDescent="0.2">
      <c r="AF986" s="151"/>
      <c r="AG986" s="152"/>
      <c r="AH986" s="152"/>
      <c r="AI986" s="152"/>
      <c r="AJ986" s="152"/>
      <c r="AK986" s="75"/>
      <c r="AL986" s="75"/>
      <c r="AM986" s="75"/>
      <c r="AN986" s="152"/>
      <c r="AO986" s="153"/>
      <c r="AP986" s="151"/>
      <c r="AR986" s="152"/>
      <c r="AS986" s="153"/>
      <c r="AT986" s="151"/>
      <c r="BD986" s="24"/>
      <c r="BG986" s="24"/>
      <c r="BJ986" s="24"/>
    </row>
    <row r="987" spans="32:62" ht="15" customHeight="1" x14ac:dyDescent="0.2">
      <c r="AF987" s="151"/>
      <c r="AG987" s="152"/>
      <c r="AH987" s="152"/>
      <c r="AI987" s="152"/>
      <c r="AJ987" s="152"/>
      <c r="AK987" s="75"/>
      <c r="AL987" s="75"/>
      <c r="AM987" s="75"/>
      <c r="AN987" s="152"/>
      <c r="AO987" s="153"/>
      <c r="AP987" s="151"/>
      <c r="AR987" s="152"/>
      <c r="AS987" s="153"/>
      <c r="AT987" s="151"/>
      <c r="BD987" s="24"/>
      <c r="BG987" s="24"/>
      <c r="BJ987" s="24"/>
    </row>
    <row r="988" spans="32:62" ht="15" customHeight="1" x14ac:dyDescent="0.2">
      <c r="AF988" s="151"/>
      <c r="AG988" s="152"/>
      <c r="AH988" s="152"/>
      <c r="AI988" s="152"/>
      <c r="AJ988" s="152"/>
      <c r="AK988" s="75"/>
      <c r="AL988" s="75"/>
      <c r="AM988" s="75"/>
      <c r="AN988" s="152"/>
      <c r="AO988" s="153"/>
      <c r="AP988" s="151"/>
      <c r="AR988" s="152"/>
      <c r="AS988" s="153"/>
      <c r="AT988" s="151"/>
      <c r="BD988" s="24"/>
      <c r="BG988" s="24"/>
      <c r="BJ988" s="24"/>
    </row>
    <row r="989" spans="32:62" ht="15" customHeight="1" x14ac:dyDescent="0.2">
      <c r="AF989" s="151"/>
      <c r="AG989" s="152"/>
      <c r="AH989" s="152"/>
      <c r="AI989" s="152"/>
      <c r="AJ989" s="152"/>
      <c r="AK989" s="75"/>
      <c r="AL989" s="75"/>
      <c r="AM989" s="75"/>
      <c r="AN989" s="152"/>
      <c r="AO989" s="153"/>
      <c r="AP989" s="151"/>
      <c r="AR989" s="152"/>
      <c r="AS989" s="153"/>
      <c r="AT989" s="151"/>
      <c r="BD989" s="24"/>
      <c r="BG989" s="24"/>
      <c r="BJ989" s="24"/>
    </row>
    <row r="990" spans="32:62" ht="15" customHeight="1" x14ac:dyDescent="0.2">
      <c r="AF990" s="151"/>
      <c r="AG990" s="152"/>
      <c r="AH990" s="152"/>
      <c r="AI990" s="152"/>
      <c r="AJ990" s="152"/>
      <c r="AK990" s="75"/>
      <c r="AL990" s="75"/>
      <c r="AM990" s="75"/>
      <c r="AN990" s="152"/>
      <c r="AO990" s="153"/>
      <c r="AP990" s="151"/>
      <c r="AR990" s="152"/>
      <c r="AS990" s="153"/>
      <c r="AT990" s="151"/>
      <c r="BD990" s="24"/>
      <c r="BG990" s="24"/>
      <c r="BJ990" s="24"/>
    </row>
    <row r="991" spans="32:62" ht="15" customHeight="1" x14ac:dyDescent="0.2">
      <c r="AF991" s="151"/>
      <c r="AG991" s="152"/>
      <c r="AH991" s="152"/>
      <c r="AI991" s="152"/>
      <c r="AJ991" s="152"/>
      <c r="AK991" s="75"/>
      <c r="AL991" s="75"/>
      <c r="AM991" s="75"/>
      <c r="AN991" s="152"/>
      <c r="AO991" s="153"/>
      <c r="AP991" s="151"/>
      <c r="AR991" s="152"/>
      <c r="AS991" s="153"/>
      <c r="AT991" s="151"/>
      <c r="BD991" s="24"/>
      <c r="BG991" s="24"/>
      <c r="BJ991" s="24"/>
    </row>
    <row r="992" spans="32:62" ht="15" customHeight="1" x14ac:dyDescent="0.2">
      <c r="AF992" s="151"/>
      <c r="AG992" s="152"/>
      <c r="AH992" s="152"/>
      <c r="AI992" s="152"/>
      <c r="AJ992" s="152"/>
      <c r="AK992" s="75"/>
      <c r="AL992" s="75"/>
      <c r="AM992" s="75"/>
      <c r="AN992" s="152"/>
      <c r="AO992" s="153"/>
      <c r="AP992" s="151"/>
      <c r="AR992" s="152"/>
      <c r="AS992" s="153"/>
      <c r="AT992" s="151"/>
      <c r="BD992" s="24"/>
      <c r="BG992" s="24"/>
      <c r="BJ992" s="24"/>
    </row>
    <row r="993" spans="32:62" ht="15" customHeight="1" x14ac:dyDescent="0.2">
      <c r="AF993" s="151"/>
      <c r="AG993" s="152"/>
      <c r="AH993" s="152"/>
      <c r="AI993" s="152"/>
      <c r="AJ993" s="152"/>
      <c r="AK993" s="75"/>
      <c r="AL993" s="75"/>
      <c r="AM993" s="75"/>
      <c r="AN993" s="152"/>
      <c r="AO993" s="153"/>
      <c r="AP993" s="151"/>
      <c r="AR993" s="152"/>
      <c r="AS993" s="153"/>
      <c r="AT993" s="151"/>
      <c r="BD993" s="24"/>
      <c r="BG993" s="24"/>
      <c r="BJ993" s="24"/>
    </row>
    <row r="994" spans="32:62" ht="15" customHeight="1" x14ac:dyDescent="0.2">
      <c r="AF994" s="151"/>
      <c r="AG994" s="152"/>
      <c r="AH994" s="152"/>
      <c r="AI994" s="152"/>
      <c r="AJ994" s="152"/>
      <c r="AK994" s="75"/>
      <c r="AL994" s="75"/>
      <c r="AM994" s="75"/>
      <c r="AN994" s="152"/>
      <c r="AO994" s="153"/>
      <c r="AP994" s="151"/>
      <c r="AR994" s="152"/>
      <c r="AS994" s="153"/>
      <c r="AT994" s="151"/>
      <c r="BD994" s="24"/>
      <c r="BG994" s="24"/>
      <c r="BJ994" s="24"/>
    </row>
    <row r="995" spans="32:62" ht="15" customHeight="1" x14ac:dyDescent="0.2">
      <c r="AF995" s="151"/>
      <c r="AG995" s="152"/>
      <c r="AH995" s="152"/>
      <c r="AI995" s="152"/>
      <c r="AJ995" s="152"/>
      <c r="AK995" s="75"/>
      <c r="AL995" s="75"/>
      <c r="AM995" s="75"/>
      <c r="AN995" s="152"/>
      <c r="AO995" s="153"/>
      <c r="AP995" s="151"/>
      <c r="AR995" s="152"/>
      <c r="AS995" s="153"/>
      <c r="AT995" s="151"/>
      <c r="BD995" s="24"/>
      <c r="BG995" s="24"/>
      <c r="BJ995" s="24"/>
    </row>
    <row r="996" spans="32:62" ht="15" customHeight="1" x14ac:dyDescent="0.2">
      <c r="AF996" s="151"/>
      <c r="AG996" s="152"/>
      <c r="AH996" s="152"/>
      <c r="AI996" s="152"/>
      <c r="AJ996" s="152"/>
      <c r="AK996" s="75"/>
      <c r="AL996" s="75"/>
      <c r="AM996" s="75"/>
      <c r="AN996" s="152"/>
      <c r="AO996" s="153"/>
      <c r="AP996" s="151"/>
      <c r="AR996" s="152"/>
      <c r="AS996" s="153"/>
      <c r="AT996" s="151"/>
      <c r="BD996" s="24"/>
      <c r="BG996" s="24"/>
      <c r="BJ996" s="24"/>
    </row>
    <row r="997" spans="32:62" ht="15" customHeight="1" x14ac:dyDescent="0.2">
      <c r="AF997" s="151"/>
      <c r="AG997" s="152"/>
      <c r="AH997" s="152"/>
      <c r="AI997" s="152"/>
      <c r="AJ997" s="152"/>
      <c r="AK997" s="75"/>
      <c r="AL997" s="75"/>
      <c r="AM997" s="75"/>
      <c r="AN997" s="152"/>
      <c r="AO997" s="153"/>
      <c r="AP997" s="151"/>
      <c r="AR997" s="152"/>
      <c r="AS997" s="153"/>
      <c r="AT997" s="151"/>
      <c r="BD997" s="24"/>
      <c r="BG997" s="24"/>
      <c r="BJ997" s="24"/>
    </row>
    <row r="998" spans="32:62" ht="15" customHeight="1" x14ac:dyDescent="0.2">
      <c r="AF998" s="151"/>
      <c r="AG998" s="152"/>
      <c r="AH998" s="152"/>
      <c r="AI998" s="152"/>
      <c r="AJ998" s="152"/>
      <c r="AK998" s="75"/>
      <c r="AL998" s="75"/>
      <c r="AM998" s="75"/>
      <c r="AN998" s="152"/>
      <c r="AO998" s="153"/>
      <c r="AP998" s="151"/>
      <c r="AR998" s="152"/>
      <c r="AS998" s="153"/>
      <c r="AT998" s="151"/>
      <c r="BD998" s="24"/>
      <c r="BG998" s="24"/>
      <c r="BJ998" s="24"/>
    </row>
    <row r="999" spans="32:62" ht="15" customHeight="1" x14ac:dyDescent="0.2">
      <c r="AF999" s="151"/>
      <c r="AG999" s="152"/>
      <c r="AH999" s="152"/>
      <c r="AI999" s="152"/>
      <c r="AJ999" s="152"/>
      <c r="AK999" s="75"/>
      <c r="AL999" s="75"/>
      <c r="AM999" s="75"/>
      <c r="AN999" s="152"/>
      <c r="AO999" s="153"/>
      <c r="AP999" s="151"/>
      <c r="AR999" s="152"/>
      <c r="AS999" s="153"/>
      <c r="AT999" s="151"/>
      <c r="BD999" s="24"/>
      <c r="BG999" s="24"/>
      <c r="BJ999" s="24"/>
    </row>
    <row r="1000" spans="32:62" ht="15" customHeight="1" x14ac:dyDescent="0.2">
      <c r="AF1000" s="151"/>
      <c r="AG1000" s="152"/>
      <c r="AH1000" s="152"/>
      <c r="AI1000" s="152"/>
      <c r="AJ1000" s="152"/>
      <c r="AK1000" s="75"/>
      <c r="AL1000" s="75"/>
      <c r="AM1000" s="75"/>
      <c r="AN1000" s="152"/>
      <c r="AO1000" s="153"/>
      <c r="AP1000" s="151"/>
      <c r="AR1000" s="152"/>
      <c r="AS1000" s="153"/>
      <c r="AT1000" s="151"/>
      <c r="BD1000" s="24"/>
      <c r="BG1000" s="24"/>
      <c r="BJ1000" s="24"/>
    </row>
    <row r="1001" spans="32:62" ht="15" customHeight="1" x14ac:dyDescent="0.2">
      <c r="AF1001" s="151"/>
      <c r="AG1001" s="152"/>
      <c r="AH1001" s="152"/>
      <c r="AI1001" s="152"/>
      <c r="AJ1001" s="152"/>
      <c r="AK1001" s="75"/>
      <c r="AL1001" s="75"/>
      <c r="AM1001" s="75"/>
      <c r="AN1001" s="152"/>
      <c r="AO1001" s="153"/>
      <c r="AP1001" s="151"/>
      <c r="AR1001" s="152"/>
      <c r="AS1001" s="153"/>
      <c r="AT1001" s="151"/>
      <c r="BD1001" s="24"/>
      <c r="BG1001" s="24"/>
      <c r="BJ1001" s="24"/>
    </row>
    <row r="1002" spans="32:62" ht="15" customHeight="1" x14ac:dyDescent="0.2">
      <c r="AF1002" s="151"/>
      <c r="AG1002" s="152"/>
      <c r="AH1002" s="152"/>
      <c r="AI1002" s="152"/>
      <c r="AJ1002" s="152"/>
      <c r="AK1002" s="75"/>
      <c r="AL1002" s="75"/>
      <c r="AM1002" s="75"/>
      <c r="AN1002" s="152"/>
      <c r="AO1002" s="153"/>
      <c r="AP1002" s="151"/>
      <c r="AR1002" s="152"/>
      <c r="AS1002" s="153"/>
      <c r="AT1002" s="151"/>
      <c r="BD1002" s="24"/>
      <c r="BG1002" s="24"/>
      <c r="BJ1002" s="24"/>
    </row>
    <row r="1003" spans="32:62" ht="15" customHeight="1" x14ac:dyDescent="0.2">
      <c r="AF1003" s="151"/>
      <c r="AG1003" s="152"/>
      <c r="AH1003" s="152"/>
      <c r="AI1003" s="152"/>
      <c r="AJ1003" s="152"/>
      <c r="AK1003" s="75"/>
      <c r="AL1003" s="75"/>
      <c r="AM1003" s="75"/>
      <c r="AN1003" s="152"/>
      <c r="AO1003" s="153"/>
      <c r="AP1003" s="151"/>
      <c r="AR1003" s="152"/>
      <c r="AS1003" s="153"/>
      <c r="AT1003" s="151"/>
      <c r="BD1003" s="24"/>
      <c r="BG1003" s="24"/>
      <c r="BJ1003" s="24"/>
    </row>
    <row r="1004" spans="32:62" ht="15" customHeight="1" x14ac:dyDescent="0.2">
      <c r="AF1004" s="151"/>
      <c r="AG1004" s="152"/>
      <c r="AH1004" s="152"/>
      <c r="AI1004" s="152"/>
      <c r="AJ1004" s="152"/>
      <c r="AK1004" s="75"/>
      <c r="AL1004" s="75"/>
      <c r="AM1004" s="75"/>
      <c r="AN1004" s="152"/>
      <c r="AO1004" s="153"/>
      <c r="AP1004" s="151"/>
      <c r="AR1004" s="152"/>
      <c r="AS1004" s="153"/>
      <c r="AT1004" s="151"/>
      <c r="BD1004" s="24"/>
      <c r="BG1004" s="24"/>
      <c r="BJ1004" s="24"/>
    </row>
    <row r="1005" spans="32:62" ht="15" customHeight="1" x14ac:dyDescent="0.2">
      <c r="AF1005" s="151"/>
      <c r="AG1005" s="152"/>
      <c r="AH1005" s="152"/>
      <c r="AI1005" s="152"/>
      <c r="AJ1005" s="152"/>
      <c r="AK1005" s="75"/>
      <c r="AL1005" s="75"/>
      <c r="AM1005" s="75"/>
      <c r="AN1005" s="152"/>
      <c r="AO1005" s="153"/>
      <c r="AP1005" s="151"/>
      <c r="AR1005" s="152"/>
      <c r="AS1005" s="153"/>
      <c r="AT1005" s="151"/>
      <c r="BD1005" s="24"/>
      <c r="BG1005" s="24"/>
      <c r="BJ1005" s="24"/>
    </row>
    <row r="1006" spans="32:62" ht="15" customHeight="1" x14ac:dyDescent="0.2">
      <c r="AF1006" s="151"/>
      <c r="AG1006" s="152"/>
      <c r="AH1006" s="152"/>
      <c r="AI1006" s="152"/>
      <c r="AJ1006" s="152"/>
      <c r="AK1006" s="75"/>
      <c r="AL1006" s="75"/>
      <c r="AM1006" s="75"/>
      <c r="AN1006" s="152"/>
      <c r="AO1006" s="153"/>
      <c r="AP1006" s="151"/>
      <c r="AR1006" s="152"/>
      <c r="AS1006" s="153"/>
      <c r="AT1006" s="151"/>
      <c r="BD1006" s="24"/>
      <c r="BG1006" s="24"/>
      <c r="BJ1006" s="24"/>
    </row>
    <row r="1007" spans="32:62" ht="15" customHeight="1" x14ac:dyDescent="0.2">
      <c r="AF1007" s="151"/>
      <c r="AG1007" s="152"/>
      <c r="AH1007" s="152"/>
      <c r="AI1007" s="152"/>
      <c r="AJ1007" s="152"/>
      <c r="AK1007" s="75"/>
      <c r="AL1007" s="75"/>
      <c r="AM1007" s="75"/>
      <c r="AN1007" s="152"/>
      <c r="AO1007" s="153"/>
      <c r="AP1007" s="151"/>
      <c r="AR1007" s="152"/>
      <c r="AS1007" s="153"/>
      <c r="AT1007" s="151"/>
      <c r="BD1007" s="24"/>
      <c r="BG1007" s="24"/>
      <c r="BJ1007" s="24"/>
    </row>
    <row r="1008" spans="32:62" ht="15" customHeight="1" x14ac:dyDescent="0.2">
      <c r="AF1008" s="151"/>
      <c r="AG1008" s="152"/>
      <c r="AH1008" s="152"/>
      <c r="AI1008" s="152"/>
      <c r="AJ1008" s="152"/>
      <c r="AK1008" s="75"/>
      <c r="AL1008" s="75"/>
      <c r="AM1008" s="75"/>
      <c r="AN1008" s="152"/>
      <c r="AO1008" s="153"/>
      <c r="AP1008" s="151"/>
      <c r="AR1008" s="152"/>
      <c r="AS1008" s="153"/>
      <c r="AT1008" s="151"/>
      <c r="BD1008" s="24"/>
      <c r="BG1008" s="24"/>
      <c r="BJ1008" s="24"/>
    </row>
    <row r="1009" spans="32:62" ht="15" customHeight="1" x14ac:dyDescent="0.2">
      <c r="AF1009" s="151"/>
      <c r="AG1009" s="152"/>
      <c r="AH1009" s="152"/>
      <c r="AI1009" s="152"/>
      <c r="AJ1009" s="152"/>
      <c r="AK1009" s="75"/>
      <c r="AL1009" s="75"/>
      <c r="AM1009" s="75"/>
      <c r="AN1009" s="152"/>
      <c r="AO1009" s="153"/>
      <c r="AP1009" s="151"/>
      <c r="AR1009" s="152"/>
      <c r="AS1009" s="153"/>
      <c r="AT1009" s="151"/>
      <c r="BD1009" s="24"/>
      <c r="BG1009" s="24"/>
      <c r="BJ1009" s="24"/>
    </row>
    <row r="1010" spans="32:62" ht="15" customHeight="1" x14ac:dyDescent="0.2">
      <c r="AF1010" s="151"/>
      <c r="AG1010" s="152"/>
      <c r="AH1010" s="152"/>
      <c r="AI1010" s="152"/>
      <c r="AJ1010" s="152"/>
      <c r="AK1010" s="75"/>
      <c r="AL1010" s="75"/>
      <c r="AM1010" s="75"/>
      <c r="AN1010" s="152"/>
      <c r="AO1010" s="153"/>
      <c r="AP1010" s="151"/>
      <c r="AR1010" s="152"/>
      <c r="AS1010" s="153"/>
      <c r="AT1010" s="151"/>
      <c r="BD1010" s="24"/>
      <c r="BG1010" s="24"/>
      <c r="BJ1010" s="24"/>
    </row>
    <row r="1011" spans="32:62" ht="15" customHeight="1" x14ac:dyDescent="0.2">
      <c r="AF1011" s="151"/>
      <c r="AG1011" s="152"/>
      <c r="AH1011" s="152"/>
      <c r="AI1011" s="152"/>
      <c r="AJ1011" s="152"/>
      <c r="AK1011" s="75"/>
      <c r="AL1011" s="75"/>
      <c r="AM1011" s="75"/>
      <c r="AN1011" s="152"/>
      <c r="AO1011" s="153"/>
      <c r="AP1011" s="151"/>
      <c r="AR1011" s="152"/>
      <c r="AS1011" s="153"/>
      <c r="AT1011" s="151"/>
      <c r="BD1011" s="24"/>
      <c r="BG1011" s="24"/>
      <c r="BJ1011" s="24"/>
    </row>
    <row r="1012" spans="32:62" ht="15" customHeight="1" x14ac:dyDescent="0.2">
      <c r="AF1012" s="151"/>
      <c r="AG1012" s="152"/>
      <c r="AH1012" s="152"/>
      <c r="AI1012" s="152"/>
      <c r="AJ1012" s="152"/>
      <c r="AK1012" s="75"/>
      <c r="AL1012" s="75"/>
      <c r="AM1012" s="75"/>
      <c r="AN1012" s="152"/>
      <c r="AO1012" s="153"/>
      <c r="AP1012" s="151"/>
      <c r="AR1012" s="152"/>
      <c r="AS1012" s="153"/>
      <c r="AT1012" s="151"/>
      <c r="BD1012" s="24"/>
      <c r="BG1012" s="24"/>
      <c r="BJ1012" s="24"/>
    </row>
    <row r="1013" spans="32:62" ht="15" customHeight="1" x14ac:dyDescent="0.2">
      <c r="AF1013" s="151"/>
      <c r="AG1013" s="152"/>
      <c r="AH1013" s="152"/>
      <c r="AI1013" s="152"/>
      <c r="AJ1013" s="152"/>
      <c r="AK1013" s="75"/>
      <c r="AL1013" s="75"/>
      <c r="AM1013" s="75"/>
      <c r="AN1013" s="152"/>
      <c r="AO1013" s="153"/>
      <c r="AP1013" s="151"/>
      <c r="AR1013" s="152"/>
      <c r="AS1013" s="153"/>
      <c r="AT1013" s="151"/>
      <c r="BD1013" s="24"/>
      <c r="BG1013" s="24"/>
      <c r="BJ1013" s="24"/>
    </row>
    <row r="1014" spans="32:62" ht="15" customHeight="1" x14ac:dyDescent="0.2">
      <c r="AF1014" s="151"/>
      <c r="AG1014" s="152"/>
      <c r="AH1014" s="152"/>
      <c r="AI1014" s="152"/>
      <c r="AJ1014" s="152"/>
      <c r="AK1014" s="75"/>
      <c r="AL1014" s="75"/>
      <c r="AM1014" s="75"/>
      <c r="AN1014" s="152"/>
      <c r="AO1014" s="153"/>
      <c r="AP1014" s="151"/>
      <c r="AR1014" s="152"/>
      <c r="AS1014" s="153"/>
      <c r="AT1014" s="151"/>
      <c r="BD1014" s="24"/>
      <c r="BG1014" s="24"/>
      <c r="BJ1014" s="24"/>
    </row>
    <row r="1015" spans="32:62" ht="15" customHeight="1" x14ac:dyDescent="0.2">
      <c r="AF1015" s="151"/>
      <c r="AG1015" s="152"/>
      <c r="AH1015" s="152"/>
      <c r="AI1015" s="152"/>
      <c r="AJ1015" s="152"/>
      <c r="AK1015" s="75"/>
      <c r="AL1015" s="75"/>
      <c r="AM1015" s="75"/>
      <c r="AN1015" s="152"/>
      <c r="AO1015" s="153"/>
      <c r="AP1015" s="151"/>
      <c r="AR1015" s="152"/>
      <c r="AS1015" s="153"/>
      <c r="AT1015" s="151"/>
      <c r="BD1015" s="24"/>
      <c r="BG1015" s="24"/>
      <c r="BJ1015" s="24"/>
    </row>
    <row r="1016" spans="32:62" ht="15" customHeight="1" x14ac:dyDescent="0.2">
      <c r="AF1016" s="151"/>
      <c r="AG1016" s="152"/>
      <c r="AH1016" s="152"/>
      <c r="AI1016" s="152"/>
      <c r="AJ1016" s="152"/>
      <c r="AK1016" s="75"/>
      <c r="AL1016" s="75"/>
      <c r="AM1016" s="75"/>
      <c r="AN1016" s="152"/>
      <c r="AO1016" s="153"/>
      <c r="AP1016" s="151"/>
      <c r="AR1016" s="152"/>
      <c r="AS1016" s="153"/>
      <c r="AT1016" s="151"/>
      <c r="BD1016" s="24"/>
      <c r="BG1016" s="24"/>
      <c r="BJ1016" s="24"/>
    </row>
    <row r="1017" spans="32:62" ht="15" customHeight="1" x14ac:dyDescent="0.2">
      <c r="AF1017" s="151"/>
      <c r="AG1017" s="152"/>
      <c r="AH1017" s="152"/>
      <c r="AI1017" s="152"/>
      <c r="AJ1017" s="152"/>
      <c r="AK1017" s="75"/>
      <c r="AL1017" s="75"/>
      <c r="AM1017" s="75"/>
      <c r="AN1017" s="152"/>
      <c r="AO1017" s="153"/>
      <c r="AP1017" s="151"/>
      <c r="AR1017" s="152"/>
      <c r="AS1017" s="153"/>
      <c r="AT1017" s="151"/>
      <c r="BD1017" s="24"/>
      <c r="BG1017" s="24"/>
      <c r="BJ1017" s="24"/>
    </row>
    <row r="1018" spans="32:62" ht="15" customHeight="1" x14ac:dyDescent="0.2">
      <c r="AF1018" s="151"/>
      <c r="AG1018" s="152"/>
      <c r="AH1018" s="152"/>
      <c r="AI1018" s="152"/>
      <c r="AJ1018" s="152"/>
      <c r="AK1018" s="75"/>
      <c r="AL1018" s="75"/>
      <c r="AM1018" s="75"/>
      <c r="AN1018" s="152"/>
      <c r="AO1018" s="153"/>
      <c r="AP1018" s="151"/>
      <c r="AR1018" s="152"/>
      <c r="AS1018" s="153"/>
      <c r="AT1018" s="151"/>
      <c r="BD1018" s="24"/>
      <c r="BG1018" s="24"/>
      <c r="BJ1018" s="24"/>
    </row>
    <row r="1019" spans="32:62" ht="15" customHeight="1" x14ac:dyDescent="0.2">
      <c r="AF1019" s="151"/>
      <c r="AG1019" s="152"/>
      <c r="AH1019" s="152"/>
      <c r="AI1019" s="152"/>
      <c r="AJ1019" s="152"/>
      <c r="AK1019" s="75"/>
      <c r="AL1019" s="75"/>
      <c r="AM1019" s="75"/>
      <c r="AN1019" s="152"/>
      <c r="AO1019" s="153"/>
      <c r="AP1019" s="151"/>
      <c r="AR1019" s="152"/>
      <c r="AS1019" s="153"/>
      <c r="AT1019" s="151"/>
      <c r="BD1019" s="24"/>
      <c r="BG1019" s="24"/>
      <c r="BJ1019" s="24"/>
    </row>
    <row r="1020" spans="32:62" ht="15" customHeight="1" x14ac:dyDescent="0.2">
      <c r="AF1020" s="151"/>
      <c r="AG1020" s="152"/>
      <c r="AH1020" s="152"/>
      <c r="AI1020" s="152"/>
      <c r="AJ1020" s="152"/>
      <c r="AK1020" s="75"/>
      <c r="AL1020" s="75"/>
      <c r="AM1020" s="75"/>
      <c r="AN1020" s="152"/>
      <c r="AO1020" s="153"/>
      <c r="AP1020" s="151"/>
      <c r="AR1020" s="152"/>
      <c r="AS1020" s="153"/>
      <c r="AT1020" s="151"/>
      <c r="BD1020" s="24"/>
      <c r="BG1020" s="24"/>
      <c r="BJ1020" s="24"/>
    </row>
    <row r="1021" spans="32:62" ht="15" customHeight="1" x14ac:dyDescent="0.2">
      <c r="AF1021" s="151"/>
      <c r="AG1021" s="152"/>
      <c r="AH1021" s="152"/>
      <c r="AI1021" s="152"/>
      <c r="AJ1021" s="152"/>
      <c r="AK1021" s="75"/>
      <c r="AL1021" s="75"/>
      <c r="AM1021" s="75"/>
      <c r="AN1021" s="152"/>
      <c r="AO1021" s="153"/>
      <c r="AP1021" s="151"/>
      <c r="AR1021" s="152"/>
      <c r="AS1021" s="153"/>
      <c r="AT1021" s="151"/>
      <c r="BD1021" s="24"/>
      <c r="BG1021" s="24"/>
      <c r="BJ1021" s="24"/>
    </row>
    <row r="1022" spans="32:62" ht="15" customHeight="1" x14ac:dyDescent="0.2">
      <c r="AF1022" s="151"/>
      <c r="AG1022" s="152"/>
      <c r="AH1022" s="152"/>
      <c r="AI1022" s="152"/>
      <c r="AJ1022" s="152"/>
      <c r="AK1022" s="75"/>
      <c r="AL1022" s="75"/>
      <c r="AM1022" s="75"/>
      <c r="AN1022" s="152"/>
      <c r="AO1022" s="153"/>
      <c r="AP1022" s="151"/>
      <c r="AR1022" s="152"/>
      <c r="AS1022" s="153"/>
      <c r="AT1022" s="151"/>
      <c r="BD1022" s="24"/>
      <c r="BG1022" s="24"/>
      <c r="BJ1022" s="24"/>
    </row>
    <row r="1023" spans="32:62" ht="15" customHeight="1" x14ac:dyDescent="0.2">
      <c r="AF1023" s="151"/>
      <c r="AG1023" s="152"/>
      <c r="AH1023" s="152"/>
      <c r="AI1023" s="152"/>
      <c r="AJ1023" s="152"/>
      <c r="AK1023" s="75"/>
      <c r="AL1023" s="75"/>
      <c r="AM1023" s="75"/>
      <c r="AN1023" s="152"/>
      <c r="AO1023" s="153"/>
      <c r="AP1023" s="151"/>
      <c r="AR1023" s="152"/>
      <c r="AS1023" s="153"/>
      <c r="AT1023" s="151"/>
      <c r="BD1023" s="24"/>
      <c r="BG1023" s="24"/>
      <c r="BJ1023" s="24"/>
    </row>
    <row r="1024" spans="32:62" ht="15" customHeight="1" x14ac:dyDescent="0.2">
      <c r="AF1024" s="151"/>
      <c r="AG1024" s="152"/>
      <c r="AH1024" s="152"/>
      <c r="AI1024" s="152"/>
      <c r="AJ1024" s="152"/>
      <c r="AK1024" s="75"/>
      <c r="AL1024" s="75"/>
      <c r="AM1024" s="75"/>
      <c r="AN1024" s="152"/>
      <c r="AO1024" s="153"/>
      <c r="AP1024" s="151"/>
      <c r="AR1024" s="152"/>
      <c r="AS1024" s="153"/>
      <c r="AT1024" s="151"/>
      <c r="BD1024" s="24"/>
      <c r="BG1024" s="24"/>
      <c r="BJ1024" s="24"/>
    </row>
    <row r="1025" spans="32:62" ht="15" customHeight="1" x14ac:dyDescent="0.2">
      <c r="AF1025" s="151"/>
      <c r="AG1025" s="152"/>
      <c r="AH1025" s="152"/>
      <c r="AI1025" s="152"/>
      <c r="AJ1025" s="152"/>
      <c r="AK1025" s="75"/>
      <c r="AL1025" s="75"/>
      <c r="AM1025" s="75"/>
      <c r="AN1025" s="152"/>
      <c r="AO1025" s="153"/>
      <c r="AP1025" s="151"/>
      <c r="AR1025" s="152"/>
      <c r="AS1025" s="153"/>
      <c r="AT1025" s="151"/>
      <c r="BD1025" s="24"/>
      <c r="BG1025" s="24"/>
      <c r="BJ1025" s="24"/>
    </row>
    <row r="1026" spans="32:62" ht="15" customHeight="1" x14ac:dyDescent="0.2">
      <c r="AF1026" s="151"/>
      <c r="AG1026" s="152"/>
      <c r="AH1026" s="152"/>
      <c r="AI1026" s="152"/>
      <c r="AJ1026" s="152"/>
      <c r="AK1026" s="75"/>
      <c r="AL1026" s="75"/>
      <c r="AM1026" s="75"/>
      <c r="AN1026" s="152"/>
      <c r="AO1026" s="153"/>
      <c r="AP1026" s="151"/>
      <c r="AR1026" s="152"/>
      <c r="AS1026" s="153"/>
      <c r="AT1026" s="151"/>
      <c r="BD1026" s="24"/>
      <c r="BG1026" s="24"/>
      <c r="BJ1026" s="24"/>
    </row>
    <row r="1027" spans="32:62" ht="15" customHeight="1" x14ac:dyDescent="0.2">
      <c r="AF1027" s="151"/>
      <c r="AG1027" s="152"/>
      <c r="AH1027" s="152"/>
      <c r="AI1027" s="152"/>
      <c r="AJ1027" s="152"/>
      <c r="AK1027" s="75"/>
      <c r="AL1027" s="75"/>
      <c r="AM1027" s="75"/>
      <c r="AN1027" s="152"/>
      <c r="AO1027" s="153"/>
      <c r="AP1027" s="151"/>
      <c r="AR1027" s="152"/>
      <c r="AS1027" s="153"/>
      <c r="AT1027" s="151"/>
      <c r="BD1027" s="24"/>
      <c r="BG1027" s="24"/>
      <c r="BJ1027" s="24"/>
    </row>
    <row r="1028" spans="32:62" ht="15" customHeight="1" x14ac:dyDescent="0.2">
      <c r="AF1028" s="151"/>
      <c r="AG1028" s="152"/>
      <c r="AH1028" s="152"/>
      <c r="AI1028" s="152"/>
      <c r="AJ1028" s="152"/>
      <c r="AK1028" s="75"/>
      <c r="AL1028" s="75"/>
      <c r="AM1028" s="75"/>
      <c r="AN1028" s="152"/>
      <c r="AO1028" s="153"/>
      <c r="AP1028" s="151"/>
      <c r="AR1028" s="152"/>
      <c r="AS1028" s="153"/>
      <c r="AT1028" s="151"/>
      <c r="BD1028" s="24"/>
      <c r="BG1028" s="24"/>
      <c r="BJ1028" s="24"/>
    </row>
    <row r="1029" spans="32:62" ht="15" customHeight="1" x14ac:dyDescent="0.2">
      <c r="AF1029" s="151"/>
      <c r="AG1029" s="152"/>
      <c r="AH1029" s="152"/>
      <c r="AI1029" s="152"/>
      <c r="AJ1029" s="152"/>
      <c r="AK1029" s="75"/>
      <c r="AL1029" s="75"/>
      <c r="AM1029" s="75"/>
      <c r="AN1029" s="152"/>
      <c r="AO1029" s="153"/>
      <c r="AP1029" s="151"/>
      <c r="AR1029" s="152"/>
      <c r="AS1029" s="153"/>
      <c r="AT1029" s="151"/>
      <c r="BD1029" s="24"/>
      <c r="BG1029" s="24"/>
      <c r="BJ1029" s="24"/>
    </row>
    <row r="1030" spans="32:62" ht="15" customHeight="1" x14ac:dyDescent="0.2">
      <c r="AF1030" s="151"/>
      <c r="AG1030" s="152"/>
      <c r="AH1030" s="152"/>
      <c r="AI1030" s="152"/>
      <c r="AJ1030" s="152"/>
      <c r="AK1030" s="75"/>
      <c r="AL1030" s="75"/>
      <c r="AM1030" s="75"/>
      <c r="AN1030" s="152"/>
      <c r="AO1030" s="153"/>
      <c r="AP1030" s="151"/>
      <c r="AR1030" s="152"/>
      <c r="AS1030" s="153"/>
      <c r="AT1030" s="151"/>
      <c r="BD1030" s="24"/>
      <c r="BG1030" s="24"/>
      <c r="BJ1030" s="24"/>
    </row>
    <row r="1031" spans="32:62" ht="15" customHeight="1" x14ac:dyDescent="0.2">
      <c r="AF1031" s="151"/>
      <c r="AG1031" s="152"/>
      <c r="AH1031" s="152"/>
      <c r="AI1031" s="152"/>
      <c r="AJ1031" s="152"/>
      <c r="AK1031" s="75"/>
      <c r="AL1031" s="75"/>
      <c r="AM1031" s="75"/>
      <c r="AN1031" s="152"/>
      <c r="AO1031" s="153"/>
      <c r="AP1031" s="151"/>
      <c r="AR1031" s="152"/>
      <c r="AS1031" s="153"/>
      <c r="AT1031" s="151"/>
      <c r="BD1031" s="24"/>
      <c r="BG1031" s="24"/>
      <c r="BJ1031" s="24"/>
    </row>
    <row r="1032" spans="32:62" ht="15" customHeight="1" x14ac:dyDescent="0.2">
      <c r="AF1032" s="151"/>
      <c r="AG1032" s="152"/>
      <c r="AH1032" s="152"/>
      <c r="AI1032" s="152"/>
      <c r="AJ1032" s="152"/>
      <c r="AK1032" s="75"/>
      <c r="AL1032" s="75"/>
      <c r="AM1032" s="75"/>
      <c r="AN1032" s="152"/>
      <c r="AO1032" s="153"/>
      <c r="AP1032" s="151"/>
      <c r="AR1032" s="152"/>
      <c r="AS1032" s="153"/>
      <c r="AT1032" s="151"/>
      <c r="BD1032" s="24"/>
      <c r="BG1032" s="24"/>
      <c r="BJ1032" s="24"/>
    </row>
    <row r="1033" spans="32:62" ht="15" customHeight="1" x14ac:dyDescent="0.2">
      <c r="AF1033" s="151"/>
      <c r="AG1033" s="152"/>
      <c r="AH1033" s="152"/>
      <c r="AI1033" s="152"/>
      <c r="AJ1033" s="152"/>
      <c r="AK1033" s="75"/>
      <c r="AL1033" s="75"/>
      <c r="AM1033" s="75"/>
      <c r="AN1033" s="152"/>
      <c r="AO1033" s="153"/>
      <c r="AP1033" s="151"/>
      <c r="AR1033" s="152"/>
      <c r="AS1033" s="153"/>
      <c r="AT1033" s="151"/>
      <c r="BD1033" s="24"/>
      <c r="BG1033" s="24"/>
      <c r="BJ1033" s="24"/>
    </row>
    <row r="1034" spans="32:62" ht="15" customHeight="1" x14ac:dyDescent="0.2">
      <c r="AF1034" s="151"/>
      <c r="AG1034" s="152"/>
      <c r="AH1034" s="152"/>
      <c r="AI1034" s="152"/>
      <c r="AJ1034" s="152"/>
      <c r="AK1034" s="75"/>
      <c r="AL1034" s="75"/>
      <c r="AM1034" s="75"/>
      <c r="AN1034" s="152"/>
      <c r="AO1034" s="153"/>
      <c r="AP1034" s="151"/>
      <c r="AR1034" s="152"/>
      <c r="AS1034" s="153"/>
      <c r="AT1034" s="151"/>
      <c r="BD1034" s="24"/>
      <c r="BG1034" s="24"/>
      <c r="BJ1034" s="24"/>
    </row>
    <row r="1035" spans="32:62" ht="15" customHeight="1" x14ac:dyDescent="0.2">
      <c r="AF1035" s="151"/>
      <c r="AG1035" s="152"/>
      <c r="AH1035" s="152"/>
      <c r="AI1035" s="152"/>
      <c r="AJ1035" s="152"/>
      <c r="AK1035" s="75"/>
      <c r="AL1035" s="75"/>
      <c r="AM1035" s="75"/>
      <c r="AN1035" s="152"/>
      <c r="AO1035" s="153"/>
      <c r="AP1035" s="151"/>
      <c r="AR1035" s="152"/>
      <c r="AS1035" s="153"/>
      <c r="AT1035" s="151"/>
      <c r="BD1035" s="24"/>
      <c r="BG1035" s="24"/>
      <c r="BJ1035" s="24"/>
    </row>
    <row r="1036" spans="32:62" ht="15" customHeight="1" x14ac:dyDescent="0.2">
      <c r="AF1036" s="151"/>
      <c r="AG1036" s="152"/>
      <c r="AH1036" s="152"/>
      <c r="AI1036" s="152"/>
      <c r="AJ1036" s="152"/>
      <c r="AK1036" s="75"/>
      <c r="AL1036" s="75"/>
      <c r="AM1036" s="75"/>
      <c r="AN1036" s="152"/>
      <c r="AO1036" s="153"/>
      <c r="AP1036" s="151"/>
      <c r="AR1036" s="152"/>
      <c r="AS1036" s="153"/>
      <c r="AT1036" s="151"/>
      <c r="BD1036" s="24"/>
      <c r="BG1036" s="24"/>
      <c r="BJ1036" s="24"/>
    </row>
    <row r="1037" spans="32:62" ht="15" customHeight="1" x14ac:dyDescent="0.2">
      <c r="AF1037" s="151"/>
      <c r="AG1037" s="152"/>
      <c r="AH1037" s="152"/>
      <c r="AI1037" s="152"/>
      <c r="AJ1037" s="152"/>
      <c r="AK1037" s="75"/>
      <c r="AL1037" s="75"/>
      <c r="AM1037" s="75"/>
      <c r="AN1037" s="152"/>
      <c r="AO1037" s="153"/>
      <c r="AP1037" s="151"/>
      <c r="AR1037" s="152"/>
      <c r="AS1037" s="153"/>
      <c r="AT1037" s="151"/>
      <c r="BD1037" s="24"/>
      <c r="BG1037" s="24"/>
      <c r="BJ1037" s="24"/>
    </row>
    <row r="1038" spans="32:62" ht="15" customHeight="1" x14ac:dyDescent="0.2">
      <c r="AF1038" s="151"/>
      <c r="AG1038" s="152"/>
      <c r="AH1038" s="152"/>
      <c r="AI1038" s="152"/>
      <c r="AJ1038" s="152"/>
      <c r="AK1038" s="75"/>
      <c r="AL1038" s="75"/>
      <c r="AM1038" s="75"/>
      <c r="AN1038" s="152"/>
      <c r="AO1038" s="153"/>
      <c r="AP1038" s="151"/>
      <c r="AR1038" s="152"/>
      <c r="AS1038" s="153"/>
      <c r="AT1038" s="151"/>
      <c r="BD1038" s="24"/>
      <c r="BG1038" s="24"/>
      <c r="BJ1038" s="24"/>
    </row>
    <row r="1039" spans="32:62" ht="15" customHeight="1" x14ac:dyDescent="0.2">
      <c r="AF1039" s="151"/>
      <c r="AG1039" s="152"/>
      <c r="AH1039" s="152"/>
      <c r="AI1039" s="152"/>
      <c r="AJ1039" s="152"/>
      <c r="AK1039" s="75"/>
      <c r="AL1039" s="75"/>
      <c r="AM1039" s="75"/>
      <c r="AN1039" s="152"/>
      <c r="AO1039" s="153"/>
      <c r="AP1039" s="151"/>
      <c r="AR1039" s="152"/>
      <c r="AS1039" s="153"/>
      <c r="AT1039" s="151"/>
      <c r="BD1039" s="24"/>
      <c r="BG1039" s="24"/>
      <c r="BJ1039" s="24"/>
    </row>
    <row r="1040" spans="32:62" ht="15" customHeight="1" x14ac:dyDescent="0.2">
      <c r="AF1040" s="151"/>
      <c r="AG1040" s="152"/>
      <c r="AH1040" s="152"/>
      <c r="AI1040" s="152"/>
      <c r="AJ1040" s="152"/>
      <c r="AK1040" s="75"/>
      <c r="AL1040" s="75"/>
      <c r="AM1040" s="75"/>
      <c r="AN1040" s="152"/>
      <c r="AO1040" s="153"/>
      <c r="AP1040" s="151"/>
      <c r="AR1040" s="152"/>
      <c r="AS1040" s="153"/>
      <c r="AT1040" s="151"/>
      <c r="BD1040" s="24"/>
      <c r="BG1040" s="24"/>
      <c r="BJ1040" s="24"/>
    </row>
    <row r="1041" spans="32:62" ht="15" customHeight="1" x14ac:dyDescent="0.2">
      <c r="AF1041" s="151"/>
      <c r="AG1041" s="152"/>
      <c r="AH1041" s="152"/>
      <c r="AI1041" s="152"/>
      <c r="AJ1041" s="152"/>
      <c r="AK1041" s="75"/>
      <c r="AL1041" s="75"/>
      <c r="AM1041" s="75"/>
      <c r="AN1041" s="152"/>
      <c r="AO1041" s="153"/>
      <c r="AP1041" s="151"/>
      <c r="AR1041" s="152"/>
      <c r="AS1041" s="153"/>
      <c r="AT1041" s="151"/>
      <c r="BD1041" s="24"/>
      <c r="BG1041" s="24"/>
      <c r="BJ1041" s="24"/>
    </row>
    <row r="1042" spans="32:62" ht="15" customHeight="1" x14ac:dyDescent="0.2">
      <c r="AF1042" s="151"/>
      <c r="AG1042" s="152"/>
      <c r="AH1042" s="152"/>
      <c r="AI1042" s="152"/>
      <c r="AJ1042" s="152"/>
      <c r="AK1042" s="75"/>
      <c r="AL1042" s="75"/>
      <c r="AM1042" s="75"/>
      <c r="AN1042" s="152"/>
      <c r="AO1042" s="153"/>
      <c r="AP1042" s="151"/>
      <c r="AR1042" s="152"/>
      <c r="AS1042" s="153"/>
      <c r="AT1042" s="151"/>
      <c r="BD1042" s="24"/>
      <c r="BG1042" s="24"/>
      <c r="BJ1042" s="24"/>
    </row>
    <row r="1043" spans="32:62" ht="15" customHeight="1" x14ac:dyDescent="0.2">
      <c r="AF1043" s="151"/>
      <c r="AG1043" s="152"/>
      <c r="AH1043" s="152"/>
      <c r="AI1043" s="152"/>
      <c r="AJ1043" s="152"/>
      <c r="AK1043" s="75"/>
      <c r="AL1043" s="75"/>
      <c r="AM1043" s="75"/>
      <c r="AN1043" s="152"/>
      <c r="AO1043" s="153"/>
      <c r="AP1043" s="151"/>
      <c r="AR1043" s="152"/>
      <c r="AS1043" s="153"/>
      <c r="AT1043" s="151"/>
      <c r="BD1043" s="24"/>
      <c r="BG1043" s="24"/>
      <c r="BJ1043" s="24"/>
    </row>
    <row r="1044" spans="32:62" ht="15" customHeight="1" x14ac:dyDescent="0.2">
      <c r="AF1044" s="151"/>
      <c r="AG1044" s="152"/>
      <c r="AH1044" s="152"/>
      <c r="AI1044" s="152"/>
      <c r="AJ1044" s="152"/>
      <c r="AK1044" s="75"/>
      <c r="AL1044" s="75"/>
      <c r="AM1044" s="75"/>
      <c r="AN1044" s="152"/>
      <c r="AO1044" s="153"/>
      <c r="AP1044" s="151"/>
      <c r="AR1044" s="152"/>
      <c r="AS1044" s="153"/>
      <c r="AT1044" s="151"/>
      <c r="BD1044" s="24"/>
      <c r="BG1044" s="24"/>
      <c r="BJ1044" s="24"/>
    </row>
    <row r="1045" spans="32:62" ht="15" customHeight="1" x14ac:dyDescent="0.2">
      <c r="AF1045" s="151"/>
      <c r="AG1045" s="152"/>
      <c r="AH1045" s="152"/>
      <c r="AI1045" s="152"/>
      <c r="AJ1045" s="152"/>
      <c r="AK1045" s="75"/>
      <c r="AL1045" s="75"/>
      <c r="AM1045" s="75"/>
      <c r="AN1045" s="152"/>
      <c r="AO1045" s="153"/>
      <c r="AP1045" s="151"/>
      <c r="AR1045" s="152"/>
      <c r="AS1045" s="153"/>
      <c r="AT1045" s="151"/>
      <c r="BD1045" s="24"/>
      <c r="BG1045" s="24"/>
      <c r="BJ1045" s="24"/>
    </row>
    <row r="1046" spans="32:62" ht="15" customHeight="1" x14ac:dyDescent="0.2">
      <c r="AF1046" s="151"/>
      <c r="AG1046" s="152"/>
      <c r="AH1046" s="152"/>
      <c r="AI1046" s="152"/>
      <c r="AJ1046" s="152"/>
      <c r="AK1046" s="75"/>
      <c r="AL1046" s="75"/>
      <c r="AM1046" s="75"/>
      <c r="AN1046" s="152"/>
      <c r="AO1046" s="153"/>
      <c r="AP1046" s="151"/>
      <c r="AR1046" s="152"/>
      <c r="AS1046" s="153"/>
      <c r="AT1046" s="151"/>
      <c r="BD1046" s="24"/>
      <c r="BG1046" s="24"/>
      <c r="BJ1046" s="24"/>
    </row>
    <row r="1047" spans="32:62" ht="15" customHeight="1" x14ac:dyDescent="0.2">
      <c r="AF1047" s="151"/>
      <c r="AG1047" s="152"/>
      <c r="AH1047" s="152"/>
      <c r="AI1047" s="152"/>
      <c r="AJ1047" s="152"/>
      <c r="AK1047" s="75"/>
      <c r="AL1047" s="75"/>
      <c r="AM1047" s="75"/>
      <c r="AN1047" s="152"/>
      <c r="AO1047" s="153"/>
      <c r="AP1047" s="151"/>
      <c r="AR1047" s="152"/>
      <c r="AS1047" s="153"/>
      <c r="AT1047" s="151"/>
      <c r="BD1047" s="24"/>
      <c r="BG1047" s="24"/>
      <c r="BJ1047" s="24"/>
    </row>
    <row r="1048" spans="32:62" ht="15" customHeight="1" x14ac:dyDescent="0.2">
      <c r="AF1048" s="151"/>
      <c r="AG1048" s="152"/>
      <c r="AH1048" s="152"/>
      <c r="AI1048" s="152"/>
      <c r="AJ1048" s="152"/>
      <c r="AK1048" s="75"/>
      <c r="AL1048" s="75"/>
      <c r="AM1048" s="75"/>
      <c r="AN1048" s="152"/>
      <c r="AO1048" s="153"/>
      <c r="AP1048" s="151"/>
      <c r="AR1048" s="152"/>
      <c r="AS1048" s="153"/>
      <c r="AT1048" s="151"/>
      <c r="BD1048" s="24"/>
      <c r="BG1048" s="24"/>
      <c r="BJ1048" s="24"/>
    </row>
    <row r="1049" spans="32:62" ht="15" customHeight="1" x14ac:dyDescent="0.2">
      <c r="AF1049" s="151"/>
      <c r="AG1049" s="152"/>
      <c r="AH1049" s="152"/>
      <c r="AI1049" s="152"/>
      <c r="AJ1049" s="152"/>
      <c r="AK1049" s="75"/>
      <c r="AL1049" s="75"/>
      <c r="AM1049" s="75"/>
      <c r="AN1049" s="152"/>
      <c r="AO1049" s="153"/>
      <c r="AP1049" s="151"/>
      <c r="AR1049" s="152"/>
      <c r="AS1049" s="153"/>
      <c r="AT1049" s="151"/>
      <c r="BD1049" s="24"/>
      <c r="BG1049" s="24"/>
      <c r="BJ1049" s="24"/>
    </row>
    <row r="1050" spans="32:62" ht="15" customHeight="1" x14ac:dyDescent="0.2">
      <c r="AF1050" s="151"/>
      <c r="AG1050" s="152"/>
      <c r="AH1050" s="152"/>
      <c r="AI1050" s="152"/>
      <c r="AJ1050" s="152"/>
      <c r="AK1050" s="75"/>
      <c r="AL1050" s="75"/>
      <c r="AM1050" s="75"/>
      <c r="AN1050" s="152"/>
      <c r="AO1050" s="153"/>
      <c r="AP1050" s="151"/>
      <c r="AR1050" s="152"/>
      <c r="AS1050" s="153"/>
      <c r="AT1050" s="151"/>
      <c r="BD1050" s="24"/>
      <c r="BG1050" s="24"/>
      <c r="BJ1050" s="24"/>
    </row>
    <row r="1051" spans="32:62" ht="15" customHeight="1" x14ac:dyDescent="0.2">
      <c r="AF1051" s="151"/>
      <c r="AG1051" s="152"/>
      <c r="AH1051" s="152"/>
      <c r="AI1051" s="152"/>
      <c r="AJ1051" s="152"/>
      <c r="AK1051" s="75"/>
      <c r="AL1051" s="75"/>
      <c r="AM1051" s="75"/>
      <c r="AN1051" s="152"/>
      <c r="AO1051" s="153"/>
      <c r="AP1051" s="151"/>
      <c r="AR1051" s="152"/>
      <c r="AS1051" s="153"/>
      <c r="AT1051" s="151"/>
      <c r="BD1051" s="24"/>
      <c r="BG1051" s="24"/>
      <c r="BJ1051" s="24"/>
    </row>
    <row r="1052" spans="32:62" ht="15" customHeight="1" x14ac:dyDescent="0.2">
      <c r="AF1052" s="151"/>
      <c r="AG1052" s="152"/>
      <c r="AH1052" s="152"/>
      <c r="AI1052" s="152"/>
      <c r="AJ1052" s="152"/>
      <c r="AK1052" s="75"/>
      <c r="AL1052" s="75"/>
      <c r="AM1052" s="75"/>
      <c r="AN1052" s="152"/>
      <c r="AO1052" s="153"/>
      <c r="AP1052" s="151"/>
      <c r="AR1052" s="152"/>
      <c r="AS1052" s="153"/>
      <c r="AT1052" s="151"/>
      <c r="BD1052" s="24"/>
      <c r="BG1052" s="24"/>
      <c r="BJ1052" s="24"/>
    </row>
    <row r="1053" spans="32:62" ht="15" customHeight="1" x14ac:dyDescent="0.2">
      <c r="AF1053" s="151"/>
      <c r="AG1053" s="152"/>
      <c r="AH1053" s="152"/>
      <c r="AI1053" s="152"/>
      <c r="AJ1053" s="152"/>
      <c r="AK1053" s="75"/>
      <c r="AL1053" s="75"/>
      <c r="AM1053" s="75"/>
      <c r="AN1053" s="152"/>
      <c r="AO1053" s="153"/>
      <c r="AP1053" s="151"/>
      <c r="AR1053" s="152"/>
      <c r="AS1053" s="153"/>
      <c r="AT1053" s="151"/>
      <c r="BD1053" s="24"/>
      <c r="BG1053" s="24"/>
      <c r="BJ1053" s="24"/>
    </row>
    <row r="1054" spans="32:62" ht="15" customHeight="1" x14ac:dyDescent="0.2">
      <c r="AF1054" s="151"/>
      <c r="AG1054" s="152"/>
      <c r="AH1054" s="152"/>
      <c r="AI1054" s="152"/>
      <c r="AJ1054" s="152"/>
      <c r="AK1054" s="75"/>
      <c r="AL1054" s="75"/>
      <c r="AM1054" s="75"/>
      <c r="AN1054" s="152"/>
      <c r="AO1054" s="153"/>
      <c r="AP1054" s="151"/>
      <c r="AR1054" s="152"/>
      <c r="AS1054" s="153"/>
      <c r="AT1054" s="151"/>
      <c r="BD1054" s="24"/>
      <c r="BG1054" s="24"/>
      <c r="BJ1054" s="24"/>
    </row>
    <row r="1055" spans="32:62" ht="15" customHeight="1" x14ac:dyDescent="0.2">
      <c r="AF1055" s="151"/>
      <c r="AG1055" s="152"/>
      <c r="AH1055" s="152"/>
      <c r="AI1055" s="152"/>
      <c r="AJ1055" s="152"/>
      <c r="AK1055" s="75"/>
      <c r="AL1055" s="75"/>
      <c r="AM1055" s="75"/>
      <c r="AN1055" s="152"/>
      <c r="AO1055" s="153"/>
      <c r="AP1055" s="151"/>
      <c r="AR1055" s="152"/>
      <c r="AS1055" s="153"/>
      <c r="AT1055" s="151"/>
      <c r="BD1055" s="24"/>
      <c r="BG1055" s="24"/>
      <c r="BJ1055" s="24"/>
    </row>
    <row r="1056" spans="32:62" ht="15" customHeight="1" x14ac:dyDescent="0.2">
      <c r="AF1056" s="151"/>
      <c r="AG1056" s="152"/>
      <c r="AH1056" s="152"/>
      <c r="AI1056" s="152"/>
      <c r="AJ1056" s="152"/>
      <c r="AK1056" s="75"/>
      <c r="AL1056" s="75"/>
      <c r="AM1056" s="75"/>
      <c r="AN1056" s="152"/>
      <c r="AO1056" s="153"/>
      <c r="AP1056" s="151"/>
      <c r="AR1056" s="152"/>
      <c r="AS1056" s="153"/>
      <c r="AT1056" s="151"/>
      <c r="BD1056" s="24"/>
      <c r="BG1056" s="24"/>
      <c r="BJ1056" s="24"/>
    </row>
    <row r="1057" spans="32:62" ht="15" customHeight="1" x14ac:dyDescent="0.2">
      <c r="AF1057" s="151"/>
      <c r="AG1057" s="152"/>
      <c r="AH1057" s="152"/>
      <c r="AI1057" s="152"/>
      <c r="AJ1057" s="152"/>
      <c r="AK1057" s="75"/>
      <c r="AL1057" s="75"/>
      <c r="AM1057" s="75"/>
      <c r="AN1057" s="152"/>
      <c r="AO1057" s="153"/>
      <c r="AP1057" s="151"/>
      <c r="AR1057" s="152"/>
      <c r="AS1057" s="153"/>
      <c r="AT1057" s="151"/>
      <c r="BD1057" s="24"/>
      <c r="BG1057" s="24"/>
      <c r="BJ1057" s="24"/>
    </row>
    <row r="1058" spans="32:62" ht="15" customHeight="1" x14ac:dyDescent="0.2">
      <c r="AF1058" s="151"/>
      <c r="AG1058" s="152"/>
      <c r="AH1058" s="152"/>
      <c r="AI1058" s="152"/>
      <c r="AJ1058" s="152"/>
      <c r="AK1058" s="75"/>
      <c r="AL1058" s="75"/>
      <c r="AM1058" s="75"/>
      <c r="AN1058" s="152"/>
      <c r="AO1058" s="153"/>
      <c r="AP1058" s="151"/>
      <c r="AR1058" s="152"/>
      <c r="AS1058" s="153"/>
      <c r="AT1058" s="151"/>
      <c r="BD1058" s="24"/>
      <c r="BG1058" s="24"/>
      <c r="BJ1058" s="24"/>
    </row>
    <row r="1059" spans="32:62" ht="15" customHeight="1" x14ac:dyDescent="0.2">
      <c r="AF1059" s="151"/>
      <c r="AG1059" s="152"/>
      <c r="AH1059" s="152"/>
      <c r="AI1059" s="152"/>
      <c r="AJ1059" s="152"/>
      <c r="AK1059" s="75"/>
      <c r="AL1059" s="75"/>
      <c r="AM1059" s="75"/>
      <c r="AN1059" s="152"/>
      <c r="AO1059" s="153"/>
      <c r="AP1059" s="151"/>
      <c r="AR1059" s="152"/>
      <c r="AS1059" s="153"/>
      <c r="AT1059" s="151"/>
      <c r="BD1059" s="24"/>
      <c r="BG1059" s="24"/>
      <c r="BJ1059" s="24"/>
    </row>
    <row r="1060" spans="32:62" ht="15" customHeight="1" x14ac:dyDescent="0.2">
      <c r="AF1060" s="151"/>
      <c r="AG1060" s="152"/>
      <c r="AH1060" s="152"/>
      <c r="AI1060" s="152"/>
      <c r="AJ1060" s="152"/>
      <c r="AK1060" s="75"/>
      <c r="AL1060" s="75"/>
      <c r="AM1060" s="75"/>
      <c r="AN1060" s="152"/>
      <c r="AO1060" s="153"/>
      <c r="AP1060" s="151"/>
      <c r="AR1060" s="152"/>
      <c r="AS1060" s="153"/>
      <c r="AT1060" s="151"/>
      <c r="BD1060" s="24"/>
      <c r="BG1060" s="24"/>
      <c r="BJ1060" s="24"/>
    </row>
    <row r="1061" spans="32:62" ht="15" customHeight="1" x14ac:dyDescent="0.2">
      <c r="AF1061" s="151"/>
      <c r="AG1061" s="152"/>
      <c r="AH1061" s="152"/>
      <c r="AI1061" s="152"/>
      <c r="AJ1061" s="152"/>
      <c r="AK1061" s="75"/>
      <c r="AL1061" s="75"/>
      <c r="AM1061" s="75"/>
      <c r="AN1061" s="152"/>
      <c r="AO1061" s="153"/>
      <c r="AP1061" s="151"/>
      <c r="AR1061" s="152"/>
      <c r="AS1061" s="153"/>
      <c r="AT1061" s="151"/>
      <c r="BD1061" s="24"/>
      <c r="BG1061" s="24"/>
      <c r="BJ1061" s="24"/>
    </row>
    <row r="1062" spans="32:62" ht="15" customHeight="1" x14ac:dyDescent="0.2">
      <c r="AF1062" s="151"/>
      <c r="AG1062" s="152"/>
      <c r="AH1062" s="152"/>
      <c r="AI1062" s="152"/>
      <c r="AJ1062" s="152"/>
      <c r="AK1062" s="75"/>
      <c r="AL1062" s="75"/>
      <c r="AM1062" s="75"/>
      <c r="AN1062" s="152"/>
      <c r="AO1062" s="153"/>
      <c r="AP1062" s="151"/>
      <c r="AR1062" s="152"/>
      <c r="AS1062" s="153"/>
      <c r="AT1062" s="151"/>
      <c r="BD1062" s="24"/>
      <c r="BG1062" s="24"/>
      <c r="BJ1062" s="24"/>
    </row>
    <row r="1063" spans="32:62" ht="15" customHeight="1" x14ac:dyDescent="0.2">
      <c r="AF1063" s="151"/>
      <c r="AG1063" s="152"/>
      <c r="AH1063" s="152"/>
      <c r="AI1063" s="152"/>
      <c r="AJ1063" s="152"/>
      <c r="AK1063" s="75"/>
      <c r="AL1063" s="75"/>
      <c r="AM1063" s="75"/>
      <c r="AN1063" s="152"/>
      <c r="AO1063" s="153"/>
      <c r="AP1063" s="151"/>
      <c r="AR1063" s="152"/>
      <c r="AS1063" s="153"/>
      <c r="AT1063" s="151"/>
      <c r="BD1063" s="24"/>
      <c r="BG1063" s="24"/>
      <c r="BJ1063" s="24"/>
    </row>
    <row r="1064" spans="32:62" ht="15" customHeight="1" x14ac:dyDescent="0.2">
      <c r="AF1064" s="151"/>
      <c r="AG1064" s="152"/>
      <c r="AH1064" s="152"/>
      <c r="AI1064" s="152"/>
      <c r="AJ1064" s="152"/>
      <c r="AK1064" s="75"/>
      <c r="AL1064" s="75"/>
      <c r="AM1064" s="75"/>
      <c r="AN1064" s="152"/>
      <c r="AO1064" s="153"/>
      <c r="AP1064" s="151"/>
      <c r="AR1064" s="152"/>
      <c r="AS1064" s="153"/>
      <c r="AT1064" s="151"/>
      <c r="BD1064" s="24"/>
      <c r="BG1064" s="24"/>
      <c r="BJ1064" s="24"/>
    </row>
    <row r="1065" spans="32:62" ht="15" customHeight="1" x14ac:dyDescent="0.2">
      <c r="AF1065" s="151"/>
      <c r="AG1065" s="152"/>
      <c r="AH1065" s="152"/>
      <c r="AI1065" s="152"/>
      <c r="AJ1065" s="152"/>
      <c r="AK1065" s="75"/>
      <c r="AL1065" s="75"/>
      <c r="AM1065" s="75"/>
      <c r="AN1065" s="152"/>
      <c r="AO1065" s="153"/>
      <c r="AP1065" s="151"/>
      <c r="AR1065" s="152"/>
      <c r="AS1065" s="153"/>
      <c r="AT1065" s="151"/>
      <c r="BD1065" s="24"/>
      <c r="BG1065" s="24"/>
      <c r="BJ1065" s="24"/>
    </row>
    <row r="1066" spans="32:62" ht="15" customHeight="1" x14ac:dyDescent="0.2">
      <c r="AF1066" s="151"/>
      <c r="AG1066" s="152"/>
      <c r="AH1066" s="152"/>
      <c r="AI1066" s="152"/>
      <c r="AJ1066" s="152"/>
      <c r="AK1066" s="75"/>
      <c r="AL1066" s="75"/>
      <c r="AM1066" s="75"/>
      <c r="AN1066" s="152"/>
      <c r="AO1066" s="153"/>
      <c r="AP1066" s="151"/>
      <c r="AR1066" s="152"/>
      <c r="AS1066" s="153"/>
      <c r="AT1066" s="151"/>
      <c r="BD1066" s="24"/>
      <c r="BG1066" s="24"/>
      <c r="BJ1066" s="24"/>
    </row>
    <row r="1067" spans="32:62" ht="15" customHeight="1" x14ac:dyDescent="0.2">
      <c r="AF1067" s="151"/>
      <c r="AG1067" s="152"/>
      <c r="AH1067" s="152"/>
      <c r="AI1067" s="152"/>
      <c r="AJ1067" s="152"/>
      <c r="AK1067" s="75"/>
      <c r="AL1067" s="75"/>
      <c r="AM1067" s="75"/>
      <c r="AN1067" s="152"/>
      <c r="AO1067" s="153"/>
      <c r="AP1067" s="151"/>
      <c r="AR1067" s="152"/>
      <c r="AS1067" s="153"/>
      <c r="AT1067" s="151"/>
      <c r="BD1067" s="24"/>
      <c r="BG1067" s="24"/>
      <c r="BJ1067" s="24"/>
    </row>
    <row r="1068" spans="32:62" ht="15" customHeight="1" x14ac:dyDescent="0.2">
      <c r="AF1068" s="151"/>
      <c r="AG1068" s="152"/>
      <c r="AH1068" s="152"/>
      <c r="AI1068" s="152"/>
      <c r="AJ1068" s="152"/>
      <c r="AK1068" s="75"/>
      <c r="AL1068" s="75"/>
      <c r="AM1068" s="75"/>
      <c r="AN1068" s="152"/>
      <c r="AO1068" s="153"/>
      <c r="AP1068" s="151"/>
      <c r="AR1068" s="152"/>
      <c r="AS1068" s="153"/>
      <c r="AT1068" s="151"/>
      <c r="BD1068" s="24"/>
      <c r="BG1068" s="24"/>
      <c r="BJ1068" s="24"/>
    </row>
    <row r="1069" spans="32:62" ht="15" customHeight="1" x14ac:dyDescent="0.2">
      <c r="AF1069" s="151"/>
      <c r="AG1069" s="152"/>
      <c r="AH1069" s="152"/>
      <c r="AI1069" s="152"/>
      <c r="AJ1069" s="152"/>
      <c r="AK1069" s="75"/>
      <c r="AL1069" s="75"/>
      <c r="AM1069" s="75"/>
      <c r="AN1069" s="152"/>
      <c r="AO1069" s="153"/>
      <c r="AP1069" s="151"/>
      <c r="AR1069" s="152"/>
      <c r="AS1069" s="153"/>
      <c r="AT1069" s="151"/>
      <c r="BD1069" s="24"/>
      <c r="BG1069" s="24"/>
      <c r="BJ1069" s="24"/>
    </row>
    <row r="1070" spans="32:62" ht="15" customHeight="1" x14ac:dyDescent="0.2">
      <c r="AF1070" s="151"/>
      <c r="AG1070" s="152"/>
      <c r="AH1070" s="152"/>
      <c r="AI1070" s="152"/>
      <c r="AJ1070" s="152"/>
      <c r="AK1070" s="75"/>
      <c r="AL1070" s="75"/>
      <c r="AM1070" s="75"/>
      <c r="AN1070" s="152"/>
      <c r="AO1070" s="153"/>
      <c r="AP1070" s="151"/>
      <c r="AR1070" s="152"/>
      <c r="AS1070" s="153"/>
      <c r="AT1070" s="151"/>
      <c r="BD1070" s="24"/>
      <c r="BG1070" s="24"/>
      <c r="BJ1070" s="24"/>
    </row>
    <row r="1071" spans="32:62" ht="15" customHeight="1" x14ac:dyDescent="0.2">
      <c r="AF1071" s="151"/>
      <c r="AG1071" s="152"/>
      <c r="AH1071" s="152"/>
      <c r="AI1071" s="152"/>
      <c r="AJ1071" s="152"/>
      <c r="AK1071" s="75"/>
      <c r="AL1071" s="75"/>
      <c r="AM1071" s="75"/>
      <c r="AN1071" s="152"/>
      <c r="AO1071" s="153"/>
      <c r="AP1071" s="151"/>
      <c r="AR1071" s="152"/>
      <c r="AS1071" s="153"/>
      <c r="AT1071" s="151"/>
      <c r="BD1071" s="24"/>
      <c r="BG1071" s="24"/>
      <c r="BJ1071" s="24"/>
    </row>
    <row r="1072" spans="32:62" ht="15" customHeight="1" x14ac:dyDescent="0.2">
      <c r="AF1072" s="151"/>
      <c r="AG1072" s="152"/>
      <c r="AH1072" s="152"/>
      <c r="AI1072" s="152"/>
      <c r="AJ1072" s="152"/>
      <c r="AK1072" s="75"/>
      <c r="AL1072" s="75"/>
      <c r="AM1072" s="75"/>
      <c r="AN1072" s="152"/>
      <c r="AO1072" s="153"/>
      <c r="AP1072" s="151"/>
      <c r="AR1072" s="152"/>
      <c r="AS1072" s="153"/>
      <c r="AT1072" s="151"/>
      <c r="BD1072" s="24"/>
      <c r="BG1072" s="24"/>
      <c r="BJ1072" s="24"/>
    </row>
    <row r="1073" spans="32:62" ht="15" customHeight="1" x14ac:dyDescent="0.2">
      <c r="AF1073" s="151"/>
      <c r="AG1073" s="152"/>
      <c r="AH1073" s="152"/>
      <c r="AI1073" s="152"/>
      <c r="AJ1073" s="152"/>
      <c r="AK1073" s="75"/>
      <c r="AL1073" s="75"/>
      <c r="AM1073" s="75"/>
      <c r="AN1073" s="152"/>
      <c r="AO1073" s="153"/>
      <c r="AP1073" s="151"/>
      <c r="AR1073" s="152"/>
      <c r="AS1073" s="153"/>
      <c r="AT1073" s="151"/>
      <c r="BD1073" s="24"/>
      <c r="BG1073" s="24"/>
      <c r="BJ1073" s="24"/>
    </row>
    <row r="1074" spans="32:62" ht="15" customHeight="1" x14ac:dyDescent="0.2">
      <c r="AF1074" s="151"/>
      <c r="AG1074" s="152"/>
      <c r="AH1074" s="152"/>
      <c r="AI1074" s="152"/>
      <c r="AJ1074" s="152"/>
      <c r="AK1074" s="75"/>
      <c r="AL1074" s="75"/>
      <c r="AM1074" s="75"/>
      <c r="AN1074" s="152"/>
      <c r="AO1074" s="153"/>
      <c r="AP1074" s="151"/>
      <c r="AR1074" s="152"/>
      <c r="AS1074" s="153"/>
      <c r="AT1074" s="151"/>
      <c r="BD1074" s="24"/>
      <c r="BG1074" s="24"/>
      <c r="BJ1074" s="24"/>
    </row>
    <row r="1075" spans="32:62" ht="15" customHeight="1" x14ac:dyDescent="0.2">
      <c r="AF1075" s="151"/>
      <c r="AG1075" s="152"/>
      <c r="AH1075" s="152"/>
      <c r="AI1075" s="152"/>
      <c r="AJ1075" s="152"/>
      <c r="AK1075" s="75"/>
      <c r="AL1075" s="75"/>
      <c r="AM1075" s="75"/>
      <c r="AN1075" s="152"/>
      <c r="AO1075" s="153"/>
      <c r="AP1075" s="151"/>
      <c r="AR1075" s="152"/>
      <c r="AS1075" s="153"/>
      <c r="AT1075" s="151"/>
      <c r="BD1075" s="24"/>
      <c r="BG1075" s="24"/>
      <c r="BJ1075" s="24"/>
    </row>
    <row r="1076" spans="32:62" ht="15" customHeight="1" x14ac:dyDescent="0.2">
      <c r="AF1076" s="151"/>
      <c r="AG1076" s="152"/>
      <c r="AH1076" s="152"/>
      <c r="AI1076" s="152"/>
      <c r="AJ1076" s="152"/>
      <c r="AK1076" s="75"/>
      <c r="AL1076" s="75"/>
      <c r="AM1076" s="75"/>
      <c r="AN1076" s="152"/>
      <c r="AO1076" s="153"/>
      <c r="AP1076" s="151"/>
      <c r="AR1076" s="152"/>
      <c r="AS1076" s="153"/>
      <c r="AT1076" s="151"/>
      <c r="BD1076" s="24"/>
      <c r="BG1076" s="24"/>
      <c r="BJ1076" s="24"/>
    </row>
    <row r="1077" spans="32:62" ht="15" customHeight="1" x14ac:dyDescent="0.2">
      <c r="AF1077" s="151"/>
      <c r="AG1077" s="152"/>
      <c r="AH1077" s="152"/>
      <c r="AI1077" s="152"/>
      <c r="AJ1077" s="152"/>
      <c r="AK1077" s="75"/>
      <c r="AL1077" s="75"/>
      <c r="AM1077" s="75"/>
      <c r="AN1077" s="152"/>
      <c r="AO1077" s="153"/>
      <c r="AP1077" s="151"/>
      <c r="AR1077" s="152"/>
      <c r="AS1077" s="153"/>
      <c r="AT1077" s="151"/>
      <c r="BD1077" s="24"/>
      <c r="BG1077" s="24"/>
      <c r="BJ1077" s="24"/>
    </row>
    <row r="1078" spans="32:62" ht="15" customHeight="1" x14ac:dyDescent="0.2">
      <c r="AF1078" s="151"/>
      <c r="AG1078" s="152"/>
      <c r="AH1078" s="152"/>
      <c r="AI1078" s="152"/>
      <c r="AJ1078" s="152"/>
      <c r="AK1078" s="75"/>
      <c r="AL1078" s="75"/>
      <c r="AM1078" s="75"/>
      <c r="AN1078" s="152"/>
      <c r="AO1078" s="153"/>
      <c r="AP1078" s="151"/>
      <c r="AR1078" s="152"/>
      <c r="AS1078" s="153"/>
      <c r="AT1078" s="151"/>
      <c r="BD1078" s="24"/>
      <c r="BG1078" s="24"/>
      <c r="BJ1078" s="24"/>
    </row>
    <row r="1079" spans="32:62" ht="15" customHeight="1" x14ac:dyDescent="0.2">
      <c r="AF1079" s="151"/>
      <c r="AG1079" s="152"/>
      <c r="AH1079" s="152"/>
      <c r="AI1079" s="152"/>
      <c r="AJ1079" s="152"/>
      <c r="AK1079" s="75"/>
      <c r="AL1079" s="75"/>
      <c r="AM1079" s="75"/>
      <c r="AN1079" s="152"/>
      <c r="AO1079" s="153"/>
      <c r="AP1079" s="151"/>
      <c r="AR1079" s="152"/>
      <c r="AS1079" s="153"/>
      <c r="AT1079" s="151"/>
      <c r="BD1079" s="24"/>
      <c r="BG1079" s="24"/>
      <c r="BJ1079" s="24"/>
    </row>
    <row r="1080" spans="32:62" ht="15" customHeight="1" x14ac:dyDescent="0.2">
      <c r="AF1080" s="151"/>
      <c r="AG1080" s="152"/>
      <c r="AH1080" s="152"/>
      <c r="AI1080" s="152"/>
      <c r="AJ1080" s="152"/>
      <c r="AK1080" s="75"/>
      <c r="AL1080" s="75"/>
      <c r="AM1080" s="75"/>
      <c r="AN1080" s="152"/>
      <c r="AO1080" s="153"/>
      <c r="AP1080" s="151"/>
      <c r="AR1080" s="152"/>
      <c r="AS1080" s="153"/>
      <c r="AT1080" s="151"/>
      <c r="BD1080" s="24"/>
      <c r="BG1080" s="24"/>
      <c r="BJ1080" s="24"/>
    </row>
    <row r="1081" spans="32:62" ht="15" customHeight="1" x14ac:dyDescent="0.2">
      <c r="AF1081" s="151"/>
      <c r="AG1081" s="152"/>
      <c r="AH1081" s="152"/>
      <c r="AI1081" s="152"/>
      <c r="AJ1081" s="152"/>
      <c r="AK1081" s="75"/>
      <c r="AL1081" s="75"/>
      <c r="AM1081" s="75"/>
      <c r="AN1081" s="152"/>
      <c r="AO1081" s="153"/>
      <c r="AP1081" s="151"/>
      <c r="AR1081" s="152"/>
      <c r="AS1081" s="153"/>
      <c r="AT1081" s="151"/>
      <c r="BD1081" s="24"/>
      <c r="BG1081" s="24"/>
      <c r="BJ1081" s="24"/>
    </row>
    <row r="1082" spans="32:62" ht="15" customHeight="1" x14ac:dyDescent="0.2">
      <c r="AF1082" s="151"/>
      <c r="AG1082" s="152"/>
      <c r="AH1082" s="152"/>
      <c r="AI1082" s="152"/>
      <c r="AJ1082" s="152"/>
      <c r="AK1082" s="75"/>
      <c r="AL1082" s="75"/>
      <c r="AM1082" s="75"/>
      <c r="AN1082" s="152"/>
      <c r="AO1082" s="153"/>
      <c r="AP1082" s="151"/>
      <c r="AR1082" s="152"/>
      <c r="AS1082" s="153"/>
      <c r="AT1082" s="151"/>
      <c r="BD1082" s="24"/>
      <c r="BG1082" s="24"/>
      <c r="BJ1082" s="24"/>
    </row>
    <row r="1083" spans="32:62" ht="15" customHeight="1" x14ac:dyDescent="0.2">
      <c r="AF1083" s="151"/>
      <c r="AG1083" s="152"/>
      <c r="AH1083" s="152"/>
      <c r="AI1083" s="152"/>
      <c r="AJ1083" s="152"/>
      <c r="AK1083" s="75"/>
      <c r="AL1083" s="75"/>
      <c r="AM1083" s="75"/>
      <c r="AN1083" s="152"/>
      <c r="AO1083" s="153"/>
      <c r="AP1083" s="151"/>
      <c r="AR1083" s="152"/>
      <c r="AS1083" s="153"/>
      <c r="AT1083" s="151"/>
      <c r="BD1083" s="24"/>
      <c r="BG1083" s="24"/>
      <c r="BJ1083" s="24"/>
    </row>
    <row r="1084" spans="32:62" ht="15" customHeight="1" x14ac:dyDescent="0.2">
      <c r="AF1084" s="151"/>
      <c r="AG1084" s="152"/>
      <c r="AH1084" s="152"/>
      <c r="AI1084" s="152"/>
      <c r="AJ1084" s="152"/>
      <c r="AK1084" s="75"/>
      <c r="AL1084" s="75"/>
      <c r="AM1084" s="75"/>
      <c r="AN1084" s="152"/>
      <c r="AO1084" s="153"/>
      <c r="AP1084" s="151"/>
      <c r="AR1084" s="152"/>
      <c r="AS1084" s="153"/>
      <c r="AT1084" s="151"/>
      <c r="BD1084" s="24"/>
      <c r="BG1084" s="24"/>
      <c r="BJ1084" s="24"/>
    </row>
    <row r="1085" spans="32:62" ht="15" customHeight="1" x14ac:dyDescent="0.2">
      <c r="AF1085" s="151"/>
      <c r="AG1085" s="152"/>
      <c r="AH1085" s="152"/>
      <c r="AI1085" s="152"/>
      <c r="AJ1085" s="152"/>
      <c r="AK1085" s="75"/>
      <c r="AL1085" s="75"/>
      <c r="AM1085" s="75"/>
      <c r="AN1085" s="152"/>
      <c r="AO1085" s="153"/>
      <c r="AP1085" s="151"/>
      <c r="AR1085" s="152"/>
      <c r="AS1085" s="153"/>
      <c r="AT1085" s="151"/>
      <c r="BD1085" s="24"/>
      <c r="BG1085" s="24"/>
      <c r="BJ1085" s="24"/>
    </row>
    <row r="1086" spans="32:62" ht="15" customHeight="1" x14ac:dyDescent="0.2">
      <c r="AF1086" s="151"/>
      <c r="AG1086" s="152"/>
      <c r="AH1086" s="152"/>
      <c r="AI1086" s="152"/>
      <c r="AJ1086" s="152"/>
      <c r="AK1086" s="75"/>
      <c r="AL1086" s="75"/>
      <c r="AM1086" s="75"/>
      <c r="AN1086" s="152"/>
      <c r="AO1086" s="153"/>
      <c r="AP1086" s="151"/>
      <c r="AR1086" s="152"/>
      <c r="AS1086" s="153"/>
      <c r="AT1086" s="151"/>
      <c r="BD1086" s="24"/>
      <c r="BG1086" s="24"/>
      <c r="BJ1086" s="24"/>
    </row>
    <row r="1087" spans="32:62" ht="15" customHeight="1" x14ac:dyDescent="0.2">
      <c r="AF1087" s="151"/>
      <c r="AG1087" s="152"/>
      <c r="AH1087" s="152"/>
      <c r="AI1087" s="152"/>
      <c r="AJ1087" s="152"/>
      <c r="AK1087" s="75"/>
      <c r="AL1087" s="75"/>
      <c r="AM1087" s="75"/>
      <c r="AN1087" s="152"/>
      <c r="AO1087" s="153"/>
      <c r="AP1087" s="151"/>
      <c r="AR1087" s="152"/>
      <c r="AS1087" s="153"/>
      <c r="AT1087" s="151"/>
      <c r="BD1087" s="24"/>
      <c r="BG1087" s="24"/>
      <c r="BJ1087" s="24"/>
    </row>
    <row r="1088" spans="32:62" ht="15" customHeight="1" x14ac:dyDescent="0.2">
      <c r="AF1088" s="151"/>
      <c r="AG1088" s="152"/>
      <c r="AH1088" s="152"/>
      <c r="AI1088" s="152"/>
      <c r="AJ1088" s="152"/>
      <c r="AK1088" s="75"/>
      <c r="AL1088" s="75"/>
      <c r="AM1088" s="75"/>
      <c r="AN1088" s="152"/>
      <c r="AO1088" s="153"/>
      <c r="AP1088" s="151"/>
      <c r="AR1088" s="152"/>
      <c r="AS1088" s="153"/>
      <c r="AT1088" s="151"/>
      <c r="BD1088" s="24"/>
      <c r="BG1088" s="24"/>
      <c r="BJ1088" s="24"/>
    </row>
    <row r="1089" spans="32:62" ht="15" customHeight="1" x14ac:dyDescent="0.2">
      <c r="AF1089" s="151"/>
      <c r="AG1089" s="152"/>
      <c r="AH1089" s="152"/>
      <c r="AI1089" s="152"/>
      <c r="AJ1089" s="152"/>
      <c r="AK1089" s="75"/>
      <c r="AL1089" s="75"/>
      <c r="AM1089" s="75"/>
      <c r="AN1089" s="152"/>
      <c r="AO1089" s="153"/>
      <c r="AP1089" s="151"/>
      <c r="AR1089" s="152"/>
      <c r="AS1089" s="153"/>
      <c r="AT1089" s="151"/>
      <c r="BD1089" s="24"/>
      <c r="BG1089" s="24"/>
      <c r="BJ1089" s="24"/>
    </row>
    <row r="1090" spans="32:62" ht="15" customHeight="1" x14ac:dyDescent="0.2">
      <c r="AF1090" s="151"/>
      <c r="AG1090" s="152"/>
      <c r="AH1090" s="152"/>
      <c r="AI1090" s="152"/>
      <c r="AJ1090" s="152"/>
      <c r="AK1090" s="75"/>
      <c r="AL1090" s="75"/>
      <c r="AM1090" s="75"/>
      <c r="AN1090" s="152"/>
      <c r="AO1090" s="153"/>
      <c r="AP1090" s="151"/>
      <c r="AR1090" s="152"/>
      <c r="AS1090" s="153"/>
      <c r="AT1090" s="151"/>
      <c r="BD1090" s="24"/>
      <c r="BG1090" s="24"/>
      <c r="BJ1090" s="24"/>
    </row>
    <row r="1091" spans="32:62" ht="15" customHeight="1" x14ac:dyDescent="0.2">
      <c r="AF1091" s="151"/>
      <c r="AG1091" s="152"/>
      <c r="AH1091" s="152"/>
      <c r="AI1091" s="152"/>
      <c r="AJ1091" s="152"/>
      <c r="AK1091" s="75"/>
      <c r="AL1091" s="75"/>
      <c r="AM1091" s="75"/>
      <c r="AN1091" s="152"/>
      <c r="AO1091" s="153"/>
      <c r="AP1091" s="151"/>
      <c r="AR1091" s="152"/>
      <c r="AS1091" s="153"/>
      <c r="AT1091" s="151"/>
      <c r="BD1091" s="24"/>
      <c r="BG1091" s="24"/>
      <c r="BJ1091" s="24"/>
    </row>
    <row r="1092" spans="32:62" ht="15" customHeight="1" x14ac:dyDescent="0.2">
      <c r="AF1092" s="151"/>
      <c r="AG1092" s="152"/>
      <c r="AH1092" s="152"/>
      <c r="AI1092" s="152"/>
      <c r="AJ1092" s="152"/>
      <c r="AK1092" s="75"/>
      <c r="AL1092" s="75"/>
      <c r="AM1092" s="75"/>
      <c r="AN1092" s="152"/>
      <c r="AO1092" s="153"/>
      <c r="AP1092" s="151"/>
      <c r="AR1092" s="152"/>
      <c r="AS1092" s="153"/>
      <c r="AT1092" s="151"/>
      <c r="BD1092" s="24"/>
      <c r="BG1092" s="24"/>
      <c r="BJ1092" s="24"/>
    </row>
    <row r="1093" spans="32:62" ht="15" customHeight="1" x14ac:dyDescent="0.2">
      <c r="AF1093" s="151"/>
      <c r="AG1093" s="152"/>
      <c r="AH1093" s="152"/>
      <c r="AI1093" s="152"/>
      <c r="AJ1093" s="152"/>
      <c r="AK1093" s="75"/>
      <c r="AL1093" s="75"/>
      <c r="AM1093" s="75"/>
      <c r="AN1093" s="152"/>
      <c r="AO1093" s="153"/>
      <c r="AP1093" s="151"/>
      <c r="AR1093" s="152"/>
      <c r="AS1093" s="153"/>
      <c r="AT1093" s="151"/>
      <c r="BD1093" s="24"/>
      <c r="BG1093" s="24"/>
      <c r="BJ1093" s="24"/>
    </row>
    <row r="1094" spans="32:62" ht="15" customHeight="1" x14ac:dyDescent="0.2">
      <c r="AF1094" s="151"/>
      <c r="AG1094" s="152"/>
      <c r="AH1094" s="152"/>
      <c r="AI1094" s="152"/>
      <c r="AJ1094" s="152"/>
      <c r="AK1094" s="75"/>
      <c r="AL1094" s="75"/>
      <c r="AM1094" s="75"/>
      <c r="AN1094" s="152"/>
      <c r="AO1094" s="153"/>
      <c r="AP1094" s="151"/>
      <c r="AR1094" s="152"/>
      <c r="AS1094" s="153"/>
      <c r="AT1094" s="151"/>
      <c r="BD1094" s="24"/>
      <c r="BG1094" s="24"/>
      <c r="BJ1094" s="24"/>
    </row>
    <row r="1095" spans="32:62" ht="15" customHeight="1" x14ac:dyDescent="0.2">
      <c r="AF1095" s="151"/>
      <c r="AG1095" s="152"/>
      <c r="AH1095" s="152"/>
      <c r="AI1095" s="152"/>
      <c r="AJ1095" s="152"/>
      <c r="AK1095" s="75"/>
      <c r="AL1095" s="75"/>
      <c r="AM1095" s="75"/>
      <c r="AN1095" s="152"/>
      <c r="AO1095" s="153"/>
      <c r="AP1095" s="151"/>
      <c r="AR1095" s="152"/>
      <c r="AS1095" s="153"/>
      <c r="AT1095" s="151"/>
      <c r="BD1095" s="24"/>
      <c r="BG1095" s="24"/>
      <c r="BJ1095" s="24"/>
    </row>
    <row r="1096" spans="32:62" ht="15" customHeight="1" x14ac:dyDescent="0.2">
      <c r="AF1096" s="151"/>
      <c r="AG1096" s="152"/>
      <c r="AH1096" s="152"/>
      <c r="AI1096" s="152"/>
      <c r="AJ1096" s="152"/>
      <c r="AK1096" s="75"/>
      <c r="AL1096" s="75"/>
      <c r="AM1096" s="75"/>
      <c r="AN1096" s="152"/>
      <c r="AO1096" s="153"/>
      <c r="AP1096" s="151"/>
      <c r="AR1096" s="152"/>
      <c r="AS1096" s="153"/>
      <c r="AT1096" s="151"/>
      <c r="BD1096" s="24"/>
      <c r="BG1096" s="24"/>
      <c r="BJ1096" s="24"/>
    </row>
    <row r="1097" spans="32:62" ht="15" customHeight="1" x14ac:dyDescent="0.2">
      <c r="AF1097" s="151"/>
      <c r="AG1097" s="152"/>
      <c r="AH1097" s="152"/>
      <c r="AI1097" s="152"/>
      <c r="AJ1097" s="152"/>
      <c r="AK1097" s="75"/>
      <c r="AL1097" s="75"/>
      <c r="AM1097" s="75"/>
      <c r="AN1097" s="152"/>
      <c r="AO1097" s="153"/>
      <c r="AP1097" s="151"/>
      <c r="AR1097" s="152"/>
      <c r="AS1097" s="153"/>
      <c r="AT1097" s="151"/>
      <c r="BD1097" s="24"/>
      <c r="BG1097" s="24"/>
      <c r="BJ1097" s="24"/>
    </row>
    <row r="1098" spans="32:62" ht="15" customHeight="1" x14ac:dyDescent="0.2">
      <c r="AF1098" s="151"/>
      <c r="AG1098" s="152"/>
      <c r="AH1098" s="152"/>
      <c r="AI1098" s="152"/>
      <c r="AJ1098" s="152"/>
      <c r="AK1098" s="75"/>
      <c r="AL1098" s="75"/>
      <c r="AM1098" s="75"/>
      <c r="AN1098" s="152"/>
      <c r="AO1098" s="153"/>
      <c r="AP1098" s="151"/>
      <c r="AR1098" s="152"/>
      <c r="AS1098" s="153"/>
      <c r="AT1098" s="151"/>
      <c r="BD1098" s="24"/>
      <c r="BG1098" s="24"/>
      <c r="BJ1098" s="24"/>
    </row>
    <row r="1099" spans="32:62" ht="15" customHeight="1" x14ac:dyDescent="0.2">
      <c r="AF1099" s="151"/>
      <c r="AG1099" s="152"/>
      <c r="AH1099" s="152"/>
      <c r="AI1099" s="152"/>
      <c r="AJ1099" s="152"/>
      <c r="AK1099" s="75"/>
      <c r="AL1099" s="75"/>
      <c r="AM1099" s="75"/>
      <c r="AN1099" s="152"/>
      <c r="AO1099" s="153"/>
      <c r="AP1099" s="151"/>
      <c r="AR1099" s="152"/>
      <c r="AS1099" s="153"/>
      <c r="AT1099" s="151"/>
      <c r="BD1099" s="24"/>
      <c r="BG1099" s="24"/>
      <c r="BJ1099" s="24"/>
    </row>
    <row r="1100" spans="32:62" ht="15" customHeight="1" x14ac:dyDescent="0.2">
      <c r="AF1100" s="151"/>
      <c r="AG1100" s="152"/>
      <c r="AH1100" s="152"/>
      <c r="AI1100" s="152"/>
      <c r="AJ1100" s="152"/>
      <c r="AK1100" s="75"/>
      <c r="AL1100" s="75"/>
      <c r="AM1100" s="75"/>
      <c r="AN1100" s="152"/>
      <c r="AO1100" s="153"/>
      <c r="AP1100" s="151"/>
      <c r="AR1100" s="152"/>
      <c r="AS1100" s="153"/>
      <c r="AT1100" s="151"/>
      <c r="BD1100" s="24"/>
      <c r="BG1100" s="24"/>
      <c r="BJ1100" s="24"/>
    </row>
    <row r="1101" spans="32:62" ht="15" customHeight="1" x14ac:dyDescent="0.2">
      <c r="AF1101" s="151"/>
      <c r="AG1101" s="152"/>
      <c r="AH1101" s="152"/>
      <c r="AI1101" s="152"/>
      <c r="AJ1101" s="152"/>
      <c r="AK1101" s="75"/>
      <c r="AL1101" s="75"/>
      <c r="AM1101" s="75"/>
      <c r="AN1101" s="152"/>
      <c r="AO1101" s="153"/>
      <c r="AP1101" s="151"/>
      <c r="AR1101" s="152"/>
      <c r="AS1101" s="153"/>
      <c r="AT1101" s="151"/>
      <c r="BD1101" s="24"/>
      <c r="BG1101" s="24"/>
      <c r="BJ1101" s="24"/>
    </row>
    <row r="1102" spans="32:62" ht="15" customHeight="1" x14ac:dyDescent="0.2">
      <c r="AF1102" s="151"/>
      <c r="AG1102" s="152"/>
      <c r="AH1102" s="152"/>
      <c r="AI1102" s="152"/>
      <c r="AJ1102" s="152"/>
      <c r="AK1102" s="75"/>
      <c r="AL1102" s="75"/>
      <c r="AM1102" s="75"/>
      <c r="AN1102" s="152"/>
      <c r="AO1102" s="153"/>
      <c r="AP1102" s="151"/>
      <c r="AR1102" s="152"/>
      <c r="AS1102" s="153"/>
      <c r="AT1102" s="151"/>
      <c r="BD1102" s="24"/>
      <c r="BG1102" s="24"/>
      <c r="BJ1102" s="24"/>
    </row>
    <row r="1103" spans="32:62" ht="15" customHeight="1" x14ac:dyDescent="0.2">
      <c r="AF1103" s="151"/>
      <c r="AG1103" s="152"/>
      <c r="AH1103" s="152"/>
      <c r="AI1103" s="152"/>
      <c r="AJ1103" s="152"/>
      <c r="AK1103" s="75"/>
      <c r="AL1103" s="75"/>
      <c r="AM1103" s="75"/>
      <c r="AN1103" s="152"/>
      <c r="AO1103" s="153"/>
      <c r="AP1103" s="151"/>
      <c r="AR1103" s="152"/>
      <c r="BD1103" s="24"/>
      <c r="BG1103" s="24"/>
      <c r="BJ1103" s="24"/>
    </row>
    <row r="1104" spans="32:62" ht="15" customHeight="1" x14ac:dyDescent="0.2">
      <c r="AF1104" s="151"/>
      <c r="AG1104" s="152"/>
      <c r="AH1104" s="152"/>
      <c r="AI1104" s="155"/>
      <c r="AJ1104" s="155"/>
      <c r="AK1104" s="156"/>
      <c r="AL1104" s="156"/>
      <c r="AM1104" s="75"/>
      <c r="AN1104" s="152"/>
      <c r="AO1104" s="153"/>
      <c r="AP1104" s="151"/>
      <c r="AR1104" s="71"/>
      <c r="BD1104" s="24"/>
      <c r="BG1104" s="24"/>
      <c r="BJ1104" s="24"/>
    </row>
    <row r="1105" spans="32:62" ht="15" customHeight="1" x14ac:dyDescent="0.2">
      <c r="AF1105" s="151"/>
      <c r="AG1105" s="152"/>
      <c r="AH1105" s="152"/>
      <c r="AM1105" s="75"/>
      <c r="AN1105" s="152"/>
      <c r="AO1105" s="153"/>
      <c r="AP1105" s="151"/>
      <c r="BD1105" s="24"/>
      <c r="BG1105" s="24"/>
      <c r="BJ1105" s="24"/>
    </row>
    <row r="1106" spans="32:62" ht="15" customHeight="1" x14ac:dyDescent="0.2">
      <c r="AF1106" s="151"/>
      <c r="AG1106" s="152"/>
      <c r="AH1106" s="152"/>
      <c r="AM1106" s="75"/>
      <c r="AN1106" s="152"/>
      <c r="AO1106" s="153"/>
      <c r="AP1106" s="151"/>
      <c r="BD1106" s="24"/>
      <c r="BG1106" s="24"/>
      <c r="BJ1106" s="24"/>
    </row>
    <row r="1107" spans="32:62" ht="15" customHeight="1" x14ac:dyDescent="0.2">
      <c r="AF1107" s="151"/>
      <c r="AG1107" s="152"/>
      <c r="AH1107" s="152"/>
      <c r="AM1107" s="75"/>
      <c r="AN1107" s="152"/>
      <c r="AO1107" s="153"/>
      <c r="AP1107" s="151"/>
      <c r="BD1107" s="24"/>
      <c r="BG1107" s="24"/>
      <c r="BJ1107" s="24"/>
    </row>
    <row r="1108" spans="32:62" ht="15" customHeight="1" x14ac:dyDescent="0.2">
      <c r="AF1108" s="151"/>
      <c r="AG1108" s="152"/>
      <c r="AH1108" s="152"/>
      <c r="AM1108" s="156"/>
      <c r="AN1108" s="71"/>
      <c r="BD1108" s="24"/>
      <c r="BG1108" s="24"/>
      <c r="BJ1108" s="24"/>
    </row>
    <row r="1109" spans="32:62" ht="15" customHeight="1" x14ac:dyDescent="0.2">
      <c r="AF1109" s="151"/>
      <c r="AG1109" s="152"/>
      <c r="AH1109" s="152"/>
      <c r="BD1109" s="24"/>
      <c r="BG1109" s="24"/>
      <c r="BJ1109" s="24"/>
    </row>
    <row r="1110" spans="32:62" ht="15" customHeight="1" x14ac:dyDescent="0.2">
      <c r="AF1110" s="154"/>
      <c r="AG1110" s="155"/>
      <c r="AH1110" s="155"/>
      <c r="BD1110" s="24"/>
      <c r="BG1110" s="24"/>
      <c r="BJ1110" s="24"/>
    </row>
  </sheetData>
  <sheetProtection password="F3C4" sheet="1" objects="1" scenarios="1"/>
  <mergeCells count="14">
    <mergeCell ref="G28:H28"/>
    <mergeCell ref="AJ101:AK101"/>
    <mergeCell ref="E1:K2"/>
    <mergeCell ref="E3:K4"/>
    <mergeCell ref="G12:I12"/>
    <mergeCell ref="G19:H19"/>
    <mergeCell ref="I19:L19"/>
    <mergeCell ref="G43:I43"/>
    <mergeCell ref="J43:L43"/>
    <mergeCell ref="U58:V58"/>
    <mergeCell ref="X58:Y58"/>
    <mergeCell ref="Z58:AA58"/>
    <mergeCell ref="G9:I9"/>
    <mergeCell ref="G11:I11"/>
  </mergeCells>
  <conditionalFormatting sqref="C57:L57">
    <cfRule type="expression" dxfId="8" priority="23">
      <formula>$G$56="N"</formula>
    </cfRule>
  </conditionalFormatting>
  <conditionalFormatting sqref="H66 J66:K66">
    <cfRule type="expression" dxfId="7" priority="7">
      <formula>ISERROR($H$66)</formula>
    </cfRule>
  </conditionalFormatting>
  <conditionalFormatting sqref="H69 J69:K69 M69:N69">
    <cfRule type="expression" dxfId="6" priority="6">
      <formula>"iserror($H$69)"</formula>
    </cfRule>
  </conditionalFormatting>
  <conditionalFormatting sqref="H68 J68:K68 M68:N68">
    <cfRule type="expression" dxfId="5" priority="5">
      <formula>ISERROR($H$68)</formula>
    </cfRule>
  </conditionalFormatting>
  <conditionalFormatting sqref="H71 J71:K71 M71:N71">
    <cfRule type="expression" dxfId="4" priority="4">
      <formula>ISERROR($H$71)</formula>
    </cfRule>
  </conditionalFormatting>
  <conditionalFormatting sqref="H70 J70:K70 M70:N70">
    <cfRule type="expression" dxfId="3" priority="3">
      <formula>ISERROR($H$70)</formula>
    </cfRule>
  </conditionalFormatting>
  <conditionalFormatting sqref="J71:K71 H71 M71:N71">
    <cfRule type="expression" dxfId="2" priority="2">
      <formula>($K$71&lt;15)</formula>
    </cfRule>
  </conditionalFormatting>
  <conditionalFormatting sqref="H67 J67:K67">
    <cfRule type="expression" dxfId="1" priority="1">
      <formula>($K$67&lt;15)</formula>
    </cfRule>
    <cfRule type="expression" dxfId="0" priority="8">
      <formula>ISERROR($H$67)</formula>
    </cfRule>
  </conditionalFormatting>
  <dataValidations count="5">
    <dataValidation type="list" allowBlank="1" showInputMessage="1" showErrorMessage="1" sqref="WMM983101 G65613 JW65593 TS65593 ADO65593 ANK65593 AXG65593 BHC65593 BQY65593 CAU65593 CKQ65593 CUM65593 DEI65593 DOE65593 DYA65593 EHW65593 ERS65593 FBO65593 FLK65593 FVG65593 GFC65593 GOY65593 GYU65593 HIQ65593 HSM65593 ICI65593 IME65593 IWA65593 JFW65593 JPS65593 JZO65593 KJK65593 KTG65593 LDC65593 LMY65593 LWU65593 MGQ65593 MQM65593 NAI65593 NKE65593 NUA65593 ODW65593 ONS65593 OXO65593 PHK65593 PRG65593 QBC65593 QKY65593 QUU65593 REQ65593 ROM65593 RYI65593 SIE65593 SSA65593 TBW65593 TLS65593 TVO65593 UFK65593 UPG65593 UZC65593 VIY65593 VSU65593 WCQ65593 WMM65593 WWE65593 G131149 JW131129 TS131129 ADO131129 ANK131129 AXG131129 BHC131129 BQY131129 CAU131129 CKQ131129 CUM131129 DEI131129 DOE131129 DYA131129 EHW131129 ERS131129 FBO131129 FLK131129 FVG131129 GFC131129 GOY131129 GYU131129 HIQ131129 HSM131129 ICI131129 IME131129 IWA131129 JFW131129 JPS131129 JZO131129 KJK131129 KTG131129 LDC131129 LMY131129 LWU131129 MGQ131129 MQM131129 NAI131129 NKE131129 NUA131129 ODW131129 ONS131129 OXO131129 PHK131129 PRG131129 QBC131129 QKY131129 QUU131129 REQ131129 ROM131129 RYI131129 SIE131129 SSA131129 TBW131129 TLS131129 TVO131129 UFK131129 UPG131129 UZC131129 VIY131129 VSU131129 WCQ131129 WMM131129 WWE131129 G196685 JW196665 TS196665 ADO196665 ANK196665 AXG196665 BHC196665 BQY196665 CAU196665 CKQ196665 CUM196665 DEI196665 DOE196665 DYA196665 EHW196665 ERS196665 FBO196665 FLK196665 FVG196665 GFC196665 GOY196665 GYU196665 HIQ196665 HSM196665 ICI196665 IME196665 IWA196665 JFW196665 JPS196665 JZO196665 KJK196665 KTG196665 LDC196665 LMY196665 LWU196665 MGQ196665 MQM196665 NAI196665 NKE196665 NUA196665 ODW196665 ONS196665 OXO196665 PHK196665 PRG196665 QBC196665 QKY196665 QUU196665 REQ196665 ROM196665 RYI196665 SIE196665 SSA196665 TBW196665 TLS196665 TVO196665 UFK196665 UPG196665 UZC196665 VIY196665 VSU196665 WCQ196665 WMM196665 WWE196665 G262221 JW262201 TS262201 ADO262201 ANK262201 AXG262201 BHC262201 BQY262201 CAU262201 CKQ262201 CUM262201 DEI262201 DOE262201 DYA262201 EHW262201 ERS262201 FBO262201 FLK262201 FVG262201 GFC262201 GOY262201 GYU262201 HIQ262201 HSM262201 ICI262201 IME262201 IWA262201 JFW262201 JPS262201 JZO262201 KJK262201 KTG262201 LDC262201 LMY262201 LWU262201 MGQ262201 MQM262201 NAI262201 NKE262201 NUA262201 ODW262201 ONS262201 OXO262201 PHK262201 PRG262201 QBC262201 QKY262201 QUU262201 REQ262201 ROM262201 RYI262201 SIE262201 SSA262201 TBW262201 TLS262201 TVO262201 UFK262201 UPG262201 UZC262201 VIY262201 VSU262201 WCQ262201 WMM262201 WWE262201 G327757 JW327737 TS327737 ADO327737 ANK327737 AXG327737 BHC327737 BQY327737 CAU327737 CKQ327737 CUM327737 DEI327737 DOE327737 DYA327737 EHW327737 ERS327737 FBO327737 FLK327737 FVG327737 GFC327737 GOY327737 GYU327737 HIQ327737 HSM327737 ICI327737 IME327737 IWA327737 JFW327737 JPS327737 JZO327737 KJK327737 KTG327737 LDC327737 LMY327737 LWU327737 MGQ327737 MQM327737 NAI327737 NKE327737 NUA327737 ODW327737 ONS327737 OXO327737 PHK327737 PRG327737 QBC327737 QKY327737 QUU327737 REQ327737 ROM327737 RYI327737 SIE327737 SSA327737 TBW327737 TLS327737 TVO327737 UFK327737 UPG327737 UZC327737 VIY327737 VSU327737 WCQ327737 WMM327737 WWE327737 G393293 JW393273 TS393273 ADO393273 ANK393273 AXG393273 BHC393273 BQY393273 CAU393273 CKQ393273 CUM393273 DEI393273 DOE393273 DYA393273 EHW393273 ERS393273 FBO393273 FLK393273 FVG393273 GFC393273 GOY393273 GYU393273 HIQ393273 HSM393273 ICI393273 IME393273 IWA393273 JFW393273 JPS393273 JZO393273 KJK393273 KTG393273 LDC393273 LMY393273 LWU393273 MGQ393273 MQM393273 NAI393273 NKE393273 NUA393273 ODW393273 ONS393273 OXO393273 PHK393273 PRG393273 QBC393273 QKY393273 QUU393273 REQ393273 ROM393273 RYI393273 SIE393273 SSA393273 TBW393273 TLS393273 TVO393273 UFK393273 UPG393273 UZC393273 VIY393273 VSU393273 WCQ393273 WMM393273 WWE393273 G458829 JW458809 TS458809 ADO458809 ANK458809 AXG458809 BHC458809 BQY458809 CAU458809 CKQ458809 CUM458809 DEI458809 DOE458809 DYA458809 EHW458809 ERS458809 FBO458809 FLK458809 FVG458809 GFC458809 GOY458809 GYU458809 HIQ458809 HSM458809 ICI458809 IME458809 IWA458809 JFW458809 JPS458809 JZO458809 KJK458809 KTG458809 LDC458809 LMY458809 LWU458809 MGQ458809 MQM458809 NAI458809 NKE458809 NUA458809 ODW458809 ONS458809 OXO458809 PHK458809 PRG458809 QBC458809 QKY458809 QUU458809 REQ458809 ROM458809 RYI458809 SIE458809 SSA458809 TBW458809 TLS458809 TVO458809 UFK458809 UPG458809 UZC458809 VIY458809 VSU458809 WCQ458809 WMM458809 WWE458809 G524365 JW524345 TS524345 ADO524345 ANK524345 AXG524345 BHC524345 BQY524345 CAU524345 CKQ524345 CUM524345 DEI524345 DOE524345 DYA524345 EHW524345 ERS524345 FBO524345 FLK524345 FVG524345 GFC524345 GOY524345 GYU524345 HIQ524345 HSM524345 ICI524345 IME524345 IWA524345 JFW524345 JPS524345 JZO524345 KJK524345 KTG524345 LDC524345 LMY524345 LWU524345 MGQ524345 MQM524345 NAI524345 NKE524345 NUA524345 ODW524345 ONS524345 OXO524345 PHK524345 PRG524345 QBC524345 QKY524345 QUU524345 REQ524345 ROM524345 RYI524345 SIE524345 SSA524345 TBW524345 TLS524345 TVO524345 UFK524345 UPG524345 UZC524345 VIY524345 VSU524345 WCQ524345 WMM524345 WWE524345 G589901 JW589881 TS589881 ADO589881 ANK589881 AXG589881 BHC589881 BQY589881 CAU589881 CKQ589881 CUM589881 DEI589881 DOE589881 DYA589881 EHW589881 ERS589881 FBO589881 FLK589881 FVG589881 GFC589881 GOY589881 GYU589881 HIQ589881 HSM589881 ICI589881 IME589881 IWA589881 JFW589881 JPS589881 JZO589881 KJK589881 KTG589881 LDC589881 LMY589881 LWU589881 MGQ589881 MQM589881 NAI589881 NKE589881 NUA589881 ODW589881 ONS589881 OXO589881 PHK589881 PRG589881 QBC589881 QKY589881 QUU589881 REQ589881 ROM589881 RYI589881 SIE589881 SSA589881 TBW589881 TLS589881 TVO589881 UFK589881 UPG589881 UZC589881 VIY589881 VSU589881 WCQ589881 WMM589881 WWE589881 G655437 JW655417 TS655417 ADO655417 ANK655417 AXG655417 BHC655417 BQY655417 CAU655417 CKQ655417 CUM655417 DEI655417 DOE655417 DYA655417 EHW655417 ERS655417 FBO655417 FLK655417 FVG655417 GFC655417 GOY655417 GYU655417 HIQ655417 HSM655417 ICI655417 IME655417 IWA655417 JFW655417 JPS655417 JZO655417 KJK655417 KTG655417 LDC655417 LMY655417 LWU655417 MGQ655417 MQM655417 NAI655417 NKE655417 NUA655417 ODW655417 ONS655417 OXO655417 PHK655417 PRG655417 QBC655417 QKY655417 QUU655417 REQ655417 ROM655417 RYI655417 SIE655417 SSA655417 TBW655417 TLS655417 TVO655417 UFK655417 UPG655417 UZC655417 VIY655417 VSU655417 WCQ655417 WMM655417 WWE655417 G720973 JW720953 TS720953 ADO720953 ANK720953 AXG720953 BHC720953 BQY720953 CAU720953 CKQ720953 CUM720953 DEI720953 DOE720953 DYA720953 EHW720953 ERS720953 FBO720953 FLK720953 FVG720953 GFC720953 GOY720953 GYU720953 HIQ720953 HSM720953 ICI720953 IME720953 IWA720953 JFW720953 JPS720953 JZO720953 KJK720953 KTG720953 LDC720953 LMY720953 LWU720953 MGQ720953 MQM720953 NAI720953 NKE720953 NUA720953 ODW720953 ONS720953 OXO720953 PHK720953 PRG720953 QBC720953 QKY720953 QUU720953 REQ720953 ROM720953 RYI720953 SIE720953 SSA720953 TBW720953 TLS720953 TVO720953 UFK720953 UPG720953 UZC720953 VIY720953 VSU720953 WCQ720953 WMM720953 WWE720953 G786509 JW786489 TS786489 ADO786489 ANK786489 AXG786489 BHC786489 BQY786489 CAU786489 CKQ786489 CUM786489 DEI786489 DOE786489 DYA786489 EHW786489 ERS786489 FBO786489 FLK786489 FVG786489 GFC786489 GOY786489 GYU786489 HIQ786489 HSM786489 ICI786489 IME786489 IWA786489 JFW786489 JPS786489 JZO786489 KJK786489 KTG786489 LDC786489 LMY786489 LWU786489 MGQ786489 MQM786489 NAI786489 NKE786489 NUA786489 ODW786489 ONS786489 OXO786489 PHK786489 PRG786489 QBC786489 QKY786489 QUU786489 REQ786489 ROM786489 RYI786489 SIE786489 SSA786489 TBW786489 TLS786489 TVO786489 UFK786489 UPG786489 UZC786489 VIY786489 VSU786489 WCQ786489 WMM786489 WWE786489 G852045 JW852025 TS852025 ADO852025 ANK852025 AXG852025 BHC852025 BQY852025 CAU852025 CKQ852025 CUM852025 DEI852025 DOE852025 DYA852025 EHW852025 ERS852025 FBO852025 FLK852025 FVG852025 GFC852025 GOY852025 GYU852025 HIQ852025 HSM852025 ICI852025 IME852025 IWA852025 JFW852025 JPS852025 JZO852025 KJK852025 KTG852025 LDC852025 LMY852025 LWU852025 MGQ852025 MQM852025 NAI852025 NKE852025 NUA852025 ODW852025 ONS852025 OXO852025 PHK852025 PRG852025 QBC852025 QKY852025 QUU852025 REQ852025 ROM852025 RYI852025 SIE852025 SSA852025 TBW852025 TLS852025 TVO852025 UFK852025 UPG852025 UZC852025 VIY852025 VSU852025 WCQ852025 WMM852025 WWE852025 G917581 JW917561 TS917561 ADO917561 ANK917561 AXG917561 BHC917561 BQY917561 CAU917561 CKQ917561 CUM917561 DEI917561 DOE917561 DYA917561 EHW917561 ERS917561 FBO917561 FLK917561 FVG917561 GFC917561 GOY917561 GYU917561 HIQ917561 HSM917561 ICI917561 IME917561 IWA917561 JFW917561 JPS917561 JZO917561 KJK917561 KTG917561 LDC917561 LMY917561 LWU917561 MGQ917561 MQM917561 NAI917561 NKE917561 NUA917561 ODW917561 ONS917561 OXO917561 PHK917561 PRG917561 QBC917561 QKY917561 QUU917561 REQ917561 ROM917561 RYI917561 SIE917561 SSA917561 TBW917561 TLS917561 TVO917561 UFK917561 UPG917561 UZC917561 VIY917561 VSU917561 WCQ917561 WMM917561 WWE917561 G983117 JW983097 TS983097 ADO983097 ANK983097 AXG983097 BHC983097 BQY983097 CAU983097 CKQ983097 CUM983097 DEI983097 DOE983097 DYA983097 EHW983097 ERS983097 FBO983097 FLK983097 FVG983097 GFC983097 GOY983097 GYU983097 HIQ983097 HSM983097 ICI983097 IME983097 IWA983097 JFW983097 JPS983097 JZO983097 KJK983097 KTG983097 LDC983097 LMY983097 LWU983097 MGQ983097 MQM983097 NAI983097 NKE983097 NUA983097 ODW983097 ONS983097 OXO983097 PHK983097 PRG983097 QBC983097 QKY983097 QUU983097 REQ983097 ROM983097 RYI983097 SIE983097 SSA983097 TBW983097 TLS983097 TVO983097 UFK983097 UPG983097 UZC983097 VIY983097 VSU983097 WCQ983097 WMM983097 WWE983097 WWE983101 G65617 JW65597 TS65597 ADO65597 ANK65597 AXG65597 BHC65597 BQY65597 CAU65597 CKQ65597 CUM65597 DEI65597 DOE65597 DYA65597 EHW65597 ERS65597 FBO65597 FLK65597 FVG65597 GFC65597 GOY65597 GYU65597 HIQ65597 HSM65597 ICI65597 IME65597 IWA65597 JFW65597 JPS65597 JZO65597 KJK65597 KTG65597 LDC65597 LMY65597 LWU65597 MGQ65597 MQM65597 NAI65597 NKE65597 NUA65597 ODW65597 ONS65597 OXO65597 PHK65597 PRG65597 QBC65597 QKY65597 QUU65597 REQ65597 ROM65597 RYI65597 SIE65597 SSA65597 TBW65597 TLS65597 TVO65597 UFK65597 UPG65597 UZC65597 VIY65597 VSU65597 WCQ65597 WMM65597 WWE65597 G131153 JW131133 TS131133 ADO131133 ANK131133 AXG131133 BHC131133 BQY131133 CAU131133 CKQ131133 CUM131133 DEI131133 DOE131133 DYA131133 EHW131133 ERS131133 FBO131133 FLK131133 FVG131133 GFC131133 GOY131133 GYU131133 HIQ131133 HSM131133 ICI131133 IME131133 IWA131133 JFW131133 JPS131133 JZO131133 KJK131133 KTG131133 LDC131133 LMY131133 LWU131133 MGQ131133 MQM131133 NAI131133 NKE131133 NUA131133 ODW131133 ONS131133 OXO131133 PHK131133 PRG131133 QBC131133 QKY131133 QUU131133 REQ131133 ROM131133 RYI131133 SIE131133 SSA131133 TBW131133 TLS131133 TVO131133 UFK131133 UPG131133 UZC131133 VIY131133 VSU131133 WCQ131133 WMM131133 WWE131133 G196689 JW196669 TS196669 ADO196669 ANK196669 AXG196669 BHC196669 BQY196669 CAU196669 CKQ196669 CUM196669 DEI196669 DOE196669 DYA196669 EHW196669 ERS196669 FBO196669 FLK196669 FVG196669 GFC196669 GOY196669 GYU196669 HIQ196669 HSM196669 ICI196669 IME196669 IWA196669 JFW196669 JPS196669 JZO196669 KJK196669 KTG196669 LDC196669 LMY196669 LWU196669 MGQ196669 MQM196669 NAI196669 NKE196669 NUA196669 ODW196669 ONS196669 OXO196669 PHK196669 PRG196669 QBC196669 QKY196669 QUU196669 REQ196669 ROM196669 RYI196669 SIE196669 SSA196669 TBW196669 TLS196669 TVO196669 UFK196669 UPG196669 UZC196669 VIY196669 VSU196669 WCQ196669 WMM196669 WWE196669 G262225 JW262205 TS262205 ADO262205 ANK262205 AXG262205 BHC262205 BQY262205 CAU262205 CKQ262205 CUM262205 DEI262205 DOE262205 DYA262205 EHW262205 ERS262205 FBO262205 FLK262205 FVG262205 GFC262205 GOY262205 GYU262205 HIQ262205 HSM262205 ICI262205 IME262205 IWA262205 JFW262205 JPS262205 JZO262205 KJK262205 KTG262205 LDC262205 LMY262205 LWU262205 MGQ262205 MQM262205 NAI262205 NKE262205 NUA262205 ODW262205 ONS262205 OXO262205 PHK262205 PRG262205 QBC262205 QKY262205 QUU262205 REQ262205 ROM262205 RYI262205 SIE262205 SSA262205 TBW262205 TLS262205 TVO262205 UFK262205 UPG262205 UZC262205 VIY262205 VSU262205 WCQ262205 WMM262205 WWE262205 G327761 JW327741 TS327741 ADO327741 ANK327741 AXG327741 BHC327741 BQY327741 CAU327741 CKQ327741 CUM327741 DEI327741 DOE327741 DYA327741 EHW327741 ERS327741 FBO327741 FLK327741 FVG327741 GFC327741 GOY327741 GYU327741 HIQ327741 HSM327741 ICI327741 IME327741 IWA327741 JFW327741 JPS327741 JZO327741 KJK327741 KTG327741 LDC327741 LMY327741 LWU327741 MGQ327741 MQM327741 NAI327741 NKE327741 NUA327741 ODW327741 ONS327741 OXO327741 PHK327741 PRG327741 QBC327741 QKY327741 QUU327741 REQ327741 ROM327741 RYI327741 SIE327741 SSA327741 TBW327741 TLS327741 TVO327741 UFK327741 UPG327741 UZC327741 VIY327741 VSU327741 WCQ327741 WMM327741 WWE327741 G393297 JW393277 TS393277 ADO393277 ANK393277 AXG393277 BHC393277 BQY393277 CAU393277 CKQ393277 CUM393277 DEI393277 DOE393277 DYA393277 EHW393277 ERS393277 FBO393277 FLK393277 FVG393277 GFC393277 GOY393277 GYU393277 HIQ393277 HSM393277 ICI393277 IME393277 IWA393277 JFW393277 JPS393277 JZO393277 KJK393277 KTG393277 LDC393277 LMY393277 LWU393277 MGQ393277 MQM393277 NAI393277 NKE393277 NUA393277 ODW393277 ONS393277 OXO393277 PHK393277 PRG393277 QBC393277 QKY393277 QUU393277 REQ393277 ROM393277 RYI393277 SIE393277 SSA393277 TBW393277 TLS393277 TVO393277 UFK393277 UPG393277 UZC393277 VIY393277 VSU393277 WCQ393277 WMM393277 WWE393277 G458833 JW458813 TS458813 ADO458813 ANK458813 AXG458813 BHC458813 BQY458813 CAU458813 CKQ458813 CUM458813 DEI458813 DOE458813 DYA458813 EHW458813 ERS458813 FBO458813 FLK458813 FVG458813 GFC458813 GOY458813 GYU458813 HIQ458813 HSM458813 ICI458813 IME458813 IWA458813 JFW458813 JPS458813 JZO458813 KJK458813 KTG458813 LDC458813 LMY458813 LWU458813 MGQ458813 MQM458813 NAI458813 NKE458813 NUA458813 ODW458813 ONS458813 OXO458813 PHK458813 PRG458813 QBC458813 QKY458813 QUU458813 REQ458813 ROM458813 RYI458813 SIE458813 SSA458813 TBW458813 TLS458813 TVO458813 UFK458813 UPG458813 UZC458813 VIY458813 VSU458813 WCQ458813 WMM458813 WWE458813 G524369 JW524349 TS524349 ADO524349 ANK524349 AXG524349 BHC524349 BQY524349 CAU524349 CKQ524349 CUM524349 DEI524349 DOE524349 DYA524349 EHW524349 ERS524349 FBO524349 FLK524349 FVG524349 GFC524349 GOY524349 GYU524349 HIQ524349 HSM524349 ICI524349 IME524349 IWA524349 JFW524349 JPS524349 JZO524349 KJK524349 KTG524349 LDC524349 LMY524349 LWU524349 MGQ524349 MQM524349 NAI524349 NKE524349 NUA524349 ODW524349 ONS524349 OXO524349 PHK524349 PRG524349 QBC524349 QKY524349 QUU524349 REQ524349 ROM524349 RYI524349 SIE524349 SSA524349 TBW524349 TLS524349 TVO524349 UFK524349 UPG524349 UZC524349 VIY524349 VSU524349 WCQ524349 WMM524349 WWE524349 G589905 JW589885 TS589885 ADO589885 ANK589885 AXG589885 BHC589885 BQY589885 CAU589885 CKQ589885 CUM589885 DEI589885 DOE589885 DYA589885 EHW589885 ERS589885 FBO589885 FLK589885 FVG589885 GFC589885 GOY589885 GYU589885 HIQ589885 HSM589885 ICI589885 IME589885 IWA589885 JFW589885 JPS589885 JZO589885 KJK589885 KTG589885 LDC589885 LMY589885 LWU589885 MGQ589885 MQM589885 NAI589885 NKE589885 NUA589885 ODW589885 ONS589885 OXO589885 PHK589885 PRG589885 QBC589885 QKY589885 QUU589885 REQ589885 ROM589885 RYI589885 SIE589885 SSA589885 TBW589885 TLS589885 TVO589885 UFK589885 UPG589885 UZC589885 VIY589885 VSU589885 WCQ589885 WMM589885 WWE589885 G655441 JW655421 TS655421 ADO655421 ANK655421 AXG655421 BHC655421 BQY655421 CAU655421 CKQ655421 CUM655421 DEI655421 DOE655421 DYA655421 EHW655421 ERS655421 FBO655421 FLK655421 FVG655421 GFC655421 GOY655421 GYU655421 HIQ655421 HSM655421 ICI655421 IME655421 IWA655421 JFW655421 JPS655421 JZO655421 KJK655421 KTG655421 LDC655421 LMY655421 LWU655421 MGQ655421 MQM655421 NAI655421 NKE655421 NUA655421 ODW655421 ONS655421 OXO655421 PHK655421 PRG655421 QBC655421 QKY655421 QUU655421 REQ655421 ROM655421 RYI655421 SIE655421 SSA655421 TBW655421 TLS655421 TVO655421 UFK655421 UPG655421 UZC655421 VIY655421 VSU655421 WCQ655421 WMM655421 WWE655421 G720977 JW720957 TS720957 ADO720957 ANK720957 AXG720957 BHC720957 BQY720957 CAU720957 CKQ720957 CUM720957 DEI720957 DOE720957 DYA720957 EHW720957 ERS720957 FBO720957 FLK720957 FVG720957 GFC720957 GOY720957 GYU720957 HIQ720957 HSM720957 ICI720957 IME720957 IWA720957 JFW720957 JPS720957 JZO720957 KJK720957 KTG720957 LDC720957 LMY720957 LWU720957 MGQ720957 MQM720957 NAI720957 NKE720957 NUA720957 ODW720957 ONS720957 OXO720957 PHK720957 PRG720957 QBC720957 QKY720957 QUU720957 REQ720957 ROM720957 RYI720957 SIE720957 SSA720957 TBW720957 TLS720957 TVO720957 UFK720957 UPG720957 UZC720957 VIY720957 VSU720957 WCQ720957 WMM720957 WWE720957 G786513 JW786493 TS786493 ADO786493 ANK786493 AXG786493 BHC786493 BQY786493 CAU786493 CKQ786493 CUM786493 DEI786493 DOE786493 DYA786493 EHW786493 ERS786493 FBO786493 FLK786493 FVG786493 GFC786493 GOY786493 GYU786493 HIQ786493 HSM786493 ICI786493 IME786493 IWA786493 JFW786493 JPS786493 JZO786493 KJK786493 KTG786493 LDC786493 LMY786493 LWU786493 MGQ786493 MQM786493 NAI786493 NKE786493 NUA786493 ODW786493 ONS786493 OXO786493 PHK786493 PRG786493 QBC786493 QKY786493 QUU786493 REQ786493 ROM786493 RYI786493 SIE786493 SSA786493 TBW786493 TLS786493 TVO786493 UFK786493 UPG786493 UZC786493 VIY786493 VSU786493 WCQ786493 WMM786493 WWE786493 G852049 JW852029 TS852029 ADO852029 ANK852029 AXG852029 BHC852029 BQY852029 CAU852029 CKQ852029 CUM852029 DEI852029 DOE852029 DYA852029 EHW852029 ERS852029 FBO852029 FLK852029 FVG852029 GFC852029 GOY852029 GYU852029 HIQ852029 HSM852029 ICI852029 IME852029 IWA852029 JFW852029 JPS852029 JZO852029 KJK852029 KTG852029 LDC852029 LMY852029 LWU852029 MGQ852029 MQM852029 NAI852029 NKE852029 NUA852029 ODW852029 ONS852029 OXO852029 PHK852029 PRG852029 QBC852029 QKY852029 QUU852029 REQ852029 ROM852029 RYI852029 SIE852029 SSA852029 TBW852029 TLS852029 TVO852029 UFK852029 UPG852029 UZC852029 VIY852029 VSU852029 WCQ852029 WMM852029 WWE852029 G917585 JW917565 TS917565 ADO917565 ANK917565 AXG917565 BHC917565 BQY917565 CAU917565 CKQ917565 CUM917565 DEI917565 DOE917565 DYA917565 EHW917565 ERS917565 FBO917565 FLK917565 FVG917565 GFC917565 GOY917565 GYU917565 HIQ917565 HSM917565 ICI917565 IME917565 IWA917565 JFW917565 JPS917565 JZO917565 KJK917565 KTG917565 LDC917565 LMY917565 LWU917565 MGQ917565 MQM917565 NAI917565 NKE917565 NUA917565 ODW917565 ONS917565 OXO917565 PHK917565 PRG917565 QBC917565 QKY917565 QUU917565 REQ917565 ROM917565 RYI917565 SIE917565 SSA917565 TBW917565 TLS917565 TVO917565 UFK917565 UPG917565 UZC917565 VIY917565 VSU917565 WCQ917565 WMM917565 WWE917565 G983121 JW983101 TS983101 ADO983101 ANK983101 AXG983101 BHC983101 BQY983101 CAU983101 CKQ983101 CUM983101 DEI983101 DOE983101 DYA983101 EHW983101 ERS983101 FBO983101 FLK983101 FVG983101 GFC983101 GOY983101 GYU983101 HIQ983101 HSM983101 ICI983101 IME983101 IWA983101 JFW983101 JPS983101 JZO983101 KJK983101 KTG983101 LDC983101 LMY983101 LWU983101 MGQ983101 MQM983101 NAI983101 NKE983101 NUA983101 ODW983101 ONS983101 OXO983101 PHK983101 PRG983101 QBC983101 QKY983101 QUU983101 REQ983101 ROM983101 RYI983101 SIE983101 SSA983101 TBW983101 TLS983101 TVO983101 UFK983101 UPG983101 UZC983101 VIY983101 VSU983101 WCQ983101">
      <formula1>"ITTC,IACC,JONSWAP,Chi"</formula1>
    </dataValidation>
    <dataValidation type="list" allowBlank="1" showInputMessage="1" showErrorMessage="1" sqref="WWE983083 G65599 JW65579 TS65579 ADO65579 ANK65579 AXG65579 BHC65579 BQY65579 CAU65579 CKQ65579 CUM65579 DEI65579 DOE65579 DYA65579 EHW65579 ERS65579 FBO65579 FLK65579 FVG65579 GFC65579 GOY65579 GYU65579 HIQ65579 HSM65579 ICI65579 IME65579 IWA65579 JFW65579 JPS65579 JZO65579 KJK65579 KTG65579 LDC65579 LMY65579 LWU65579 MGQ65579 MQM65579 NAI65579 NKE65579 NUA65579 ODW65579 ONS65579 OXO65579 PHK65579 PRG65579 QBC65579 QKY65579 QUU65579 REQ65579 ROM65579 RYI65579 SIE65579 SSA65579 TBW65579 TLS65579 TVO65579 UFK65579 UPG65579 UZC65579 VIY65579 VSU65579 WCQ65579 WMM65579 WWE65579 G131135 JW131115 TS131115 ADO131115 ANK131115 AXG131115 BHC131115 BQY131115 CAU131115 CKQ131115 CUM131115 DEI131115 DOE131115 DYA131115 EHW131115 ERS131115 FBO131115 FLK131115 FVG131115 GFC131115 GOY131115 GYU131115 HIQ131115 HSM131115 ICI131115 IME131115 IWA131115 JFW131115 JPS131115 JZO131115 KJK131115 KTG131115 LDC131115 LMY131115 LWU131115 MGQ131115 MQM131115 NAI131115 NKE131115 NUA131115 ODW131115 ONS131115 OXO131115 PHK131115 PRG131115 QBC131115 QKY131115 QUU131115 REQ131115 ROM131115 RYI131115 SIE131115 SSA131115 TBW131115 TLS131115 TVO131115 UFK131115 UPG131115 UZC131115 VIY131115 VSU131115 WCQ131115 WMM131115 WWE131115 G196671 JW196651 TS196651 ADO196651 ANK196651 AXG196651 BHC196651 BQY196651 CAU196651 CKQ196651 CUM196651 DEI196651 DOE196651 DYA196651 EHW196651 ERS196651 FBO196651 FLK196651 FVG196651 GFC196651 GOY196651 GYU196651 HIQ196651 HSM196651 ICI196651 IME196651 IWA196651 JFW196651 JPS196651 JZO196651 KJK196651 KTG196651 LDC196651 LMY196651 LWU196651 MGQ196651 MQM196651 NAI196651 NKE196651 NUA196651 ODW196651 ONS196651 OXO196651 PHK196651 PRG196651 QBC196651 QKY196651 QUU196651 REQ196651 ROM196651 RYI196651 SIE196651 SSA196651 TBW196651 TLS196651 TVO196651 UFK196651 UPG196651 UZC196651 VIY196651 VSU196651 WCQ196651 WMM196651 WWE196651 G262207 JW262187 TS262187 ADO262187 ANK262187 AXG262187 BHC262187 BQY262187 CAU262187 CKQ262187 CUM262187 DEI262187 DOE262187 DYA262187 EHW262187 ERS262187 FBO262187 FLK262187 FVG262187 GFC262187 GOY262187 GYU262187 HIQ262187 HSM262187 ICI262187 IME262187 IWA262187 JFW262187 JPS262187 JZO262187 KJK262187 KTG262187 LDC262187 LMY262187 LWU262187 MGQ262187 MQM262187 NAI262187 NKE262187 NUA262187 ODW262187 ONS262187 OXO262187 PHK262187 PRG262187 QBC262187 QKY262187 QUU262187 REQ262187 ROM262187 RYI262187 SIE262187 SSA262187 TBW262187 TLS262187 TVO262187 UFK262187 UPG262187 UZC262187 VIY262187 VSU262187 WCQ262187 WMM262187 WWE262187 G327743 JW327723 TS327723 ADO327723 ANK327723 AXG327723 BHC327723 BQY327723 CAU327723 CKQ327723 CUM327723 DEI327723 DOE327723 DYA327723 EHW327723 ERS327723 FBO327723 FLK327723 FVG327723 GFC327723 GOY327723 GYU327723 HIQ327723 HSM327723 ICI327723 IME327723 IWA327723 JFW327723 JPS327723 JZO327723 KJK327723 KTG327723 LDC327723 LMY327723 LWU327723 MGQ327723 MQM327723 NAI327723 NKE327723 NUA327723 ODW327723 ONS327723 OXO327723 PHK327723 PRG327723 QBC327723 QKY327723 QUU327723 REQ327723 ROM327723 RYI327723 SIE327723 SSA327723 TBW327723 TLS327723 TVO327723 UFK327723 UPG327723 UZC327723 VIY327723 VSU327723 WCQ327723 WMM327723 WWE327723 G393279 JW393259 TS393259 ADO393259 ANK393259 AXG393259 BHC393259 BQY393259 CAU393259 CKQ393259 CUM393259 DEI393259 DOE393259 DYA393259 EHW393259 ERS393259 FBO393259 FLK393259 FVG393259 GFC393259 GOY393259 GYU393259 HIQ393259 HSM393259 ICI393259 IME393259 IWA393259 JFW393259 JPS393259 JZO393259 KJK393259 KTG393259 LDC393259 LMY393259 LWU393259 MGQ393259 MQM393259 NAI393259 NKE393259 NUA393259 ODW393259 ONS393259 OXO393259 PHK393259 PRG393259 QBC393259 QKY393259 QUU393259 REQ393259 ROM393259 RYI393259 SIE393259 SSA393259 TBW393259 TLS393259 TVO393259 UFK393259 UPG393259 UZC393259 VIY393259 VSU393259 WCQ393259 WMM393259 WWE393259 G458815 JW458795 TS458795 ADO458795 ANK458795 AXG458795 BHC458795 BQY458795 CAU458795 CKQ458795 CUM458795 DEI458795 DOE458795 DYA458795 EHW458795 ERS458795 FBO458795 FLK458795 FVG458795 GFC458795 GOY458795 GYU458795 HIQ458795 HSM458795 ICI458795 IME458795 IWA458795 JFW458795 JPS458795 JZO458795 KJK458795 KTG458795 LDC458795 LMY458795 LWU458795 MGQ458795 MQM458795 NAI458795 NKE458795 NUA458795 ODW458795 ONS458795 OXO458795 PHK458795 PRG458795 QBC458795 QKY458795 QUU458795 REQ458795 ROM458795 RYI458795 SIE458795 SSA458795 TBW458795 TLS458795 TVO458795 UFK458795 UPG458795 UZC458795 VIY458795 VSU458795 WCQ458795 WMM458795 WWE458795 G524351 JW524331 TS524331 ADO524331 ANK524331 AXG524331 BHC524331 BQY524331 CAU524331 CKQ524331 CUM524331 DEI524331 DOE524331 DYA524331 EHW524331 ERS524331 FBO524331 FLK524331 FVG524331 GFC524331 GOY524331 GYU524331 HIQ524331 HSM524331 ICI524331 IME524331 IWA524331 JFW524331 JPS524331 JZO524331 KJK524331 KTG524331 LDC524331 LMY524331 LWU524331 MGQ524331 MQM524331 NAI524331 NKE524331 NUA524331 ODW524331 ONS524331 OXO524331 PHK524331 PRG524331 QBC524331 QKY524331 QUU524331 REQ524331 ROM524331 RYI524331 SIE524331 SSA524331 TBW524331 TLS524331 TVO524331 UFK524331 UPG524331 UZC524331 VIY524331 VSU524331 WCQ524331 WMM524331 WWE524331 G589887 JW589867 TS589867 ADO589867 ANK589867 AXG589867 BHC589867 BQY589867 CAU589867 CKQ589867 CUM589867 DEI589867 DOE589867 DYA589867 EHW589867 ERS589867 FBO589867 FLK589867 FVG589867 GFC589867 GOY589867 GYU589867 HIQ589867 HSM589867 ICI589867 IME589867 IWA589867 JFW589867 JPS589867 JZO589867 KJK589867 KTG589867 LDC589867 LMY589867 LWU589867 MGQ589867 MQM589867 NAI589867 NKE589867 NUA589867 ODW589867 ONS589867 OXO589867 PHK589867 PRG589867 QBC589867 QKY589867 QUU589867 REQ589867 ROM589867 RYI589867 SIE589867 SSA589867 TBW589867 TLS589867 TVO589867 UFK589867 UPG589867 UZC589867 VIY589867 VSU589867 WCQ589867 WMM589867 WWE589867 G655423 JW655403 TS655403 ADO655403 ANK655403 AXG655403 BHC655403 BQY655403 CAU655403 CKQ655403 CUM655403 DEI655403 DOE655403 DYA655403 EHW655403 ERS655403 FBO655403 FLK655403 FVG655403 GFC655403 GOY655403 GYU655403 HIQ655403 HSM655403 ICI655403 IME655403 IWA655403 JFW655403 JPS655403 JZO655403 KJK655403 KTG655403 LDC655403 LMY655403 LWU655403 MGQ655403 MQM655403 NAI655403 NKE655403 NUA655403 ODW655403 ONS655403 OXO655403 PHK655403 PRG655403 QBC655403 QKY655403 QUU655403 REQ655403 ROM655403 RYI655403 SIE655403 SSA655403 TBW655403 TLS655403 TVO655403 UFK655403 UPG655403 UZC655403 VIY655403 VSU655403 WCQ655403 WMM655403 WWE655403 G720959 JW720939 TS720939 ADO720939 ANK720939 AXG720939 BHC720939 BQY720939 CAU720939 CKQ720939 CUM720939 DEI720939 DOE720939 DYA720939 EHW720939 ERS720939 FBO720939 FLK720939 FVG720939 GFC720939 GOY720939 GYU720939 HIQ720939 HSM720939 ICI720939 IME720939 IWA720939 JFW720939 JPS720939 JZO720939 KJK720939 KTG720939 LDC720939 LMY720939 LWU720939 MGQ720939 MQM720939 NAI720939 NKE720939 NUA720939 ODW720939 ONS720939 OXO720939 PHK720939 PRG720939 QBC720939 QKY720939 QUU720939 REQ720939 ROM720939 RYI720939 SIE720939 SSA720939 TBW720939 TLS720939 TVO720939 UFK720939 UPG720939 UZC720939 VIY720939 VSU720939 WCQ720939 WMM720939 WWE720939 G786495 JW786475 TS786475 ADO786475 ANK786475 AXG786475 BHC786475 BQY786475 CAU786475 CKQ786475 CUM786475 DEI786475 DOE786475 DYA786475 EHW786475 ERS786475 FBO786475 FLK786475 FVG786475 GFC786475 GOY786475 GYU786475 HIQ786475 HSM786475 ICI786475 IME786475 IWA786475 JFW786475 JPS786475 JZO786475 KJK786475 KTG786475 LDC786475 LMY786475 LWU786475 MGQ786475 MQM786475 NAI786475 NKE786475 NUA786475 ODW786475 ONS786475 OXO786475 PHK786475 PRG786475 QBC786475 QKY786475 QUU786475 REQ786475 ROM786475 RYI786475 SIE786475 SSA786475 TBW786475 TLS786475 TVO786475 UFK786475 UPG786475 UZC786475 VIY786475 VSU786475 WCQ786475 WMM786475 WWE786475 G852031 JW852011 TS852011 ADO852011 ANK852011 AXG852011 BHC852011 BQY852011 CAU852011 CKQ852011 CUM852011 DEI852011 DOE852011 DYA852011 EHW852011 ERS852011 FBO852011 FLK852011 FVG852011 GFC852011 GOY852011 GYU852011 HIQ852011 HSM852011 ICI852011 IME852011 IWA852011 JFW852011 JPS852011 JZO852011 KJK852011 KTG852011 LDC852011 LMY852011 LWU852011 MGQ852011 MQM852011 NAI852011 NKE852011 NUA852011 ODW852011 ONS852011 OXO852011 PHK852011 PRG852011 QBC852011 QKY852011 QUU852011 REQ852011 ROM852011 RYI852011 SIE852011 SSA852011 TBW852011 TLS852011 TVO852011 UFK852011 UPG852011 UZC852011 VIY852011 VSU852011 WCQ852011 WMM852011 WWE852011 G917567 JW917547 TS917547 ADO917547 ANK917547 AXG917547 BHC917547 BQY917547 CAU917547 CKQ917547 CUM917547 DEI917547 DOE917547 DYA917547 EHW917547 ERS917547 FBO917547 FLK917547 FVG917547 GFC917547 GOY917547 GYU917547 HIQ917547 HSM917547 ICI917547 IME917547 IWA917547 JFW917547 JPS917547 JZO917547 KJK917547 KTG917547 LDC917547 LMY917547 LWU917547 MGQ917547 MQM917547 NAI917547 NKE917547 NUA917547 ODW917547 ONS917547 OXO917547 PHK917547 PRG917547 QBC917547 QKY917547 QUU917547 REQ917547 ROM917547 RYI917547 SIE917547 SSA917547 TBW917547 TLS917547 TVO917547 UFK917547 UPG917547 UZC917547 VIY917547 VSU917547 WCQ917547 WMM917547 WWE917547 G983103 JW983083 TS983083 ADO983083 ANK983083 AXG983083 BHC983083 BQY983083 CAU983083 CKQ983083 CUM983083 DEI983083 DOE983083 DYA983083 EHW983083 ERS983083 FBO983083 FLK983083 FVG983083 GFC983083 GOY983083 GYU983083 HIQ983083 HSM983083 ICI983083 IME983083 IWA983083 JFW983083 JPS983083 JZO983083 KJK983083 KTG983083 LDC983083 LMY983083 LWU983083 MGQ983083 MQM983083 NAI983083 NKE983083 NUA983083 ODW983083 ONS983083 OXO983083 PHK983083 PRG983083 QBC983083 QKY983083 QUU983083 REQ983083 ROM983083 RYI983083 SIE983083 SSA983083 TBW983083 TLS983083 TVO983083 UFK983083 UPG983083 UZC983083 VIY983083 VSU983083 WCQ983083 WMM983083">
      <formula1>"Yes,No"</formula1>
    </dataValidation>
    <dataValidation type="list" allowBlank="1" showInputMessage="1" showErrorMessage="1" sqref="G58">
      <formula1>"ITTC,ISSC,JONSWAP,Chi_Hubble"</formula1>
    </dataValidation>
    <dataValidation type="list" allowBlank="1" showInputMessage="1" showErrorMessage="1" sqref="G48 G51:G52">
      <formula1>"ITTC,ISSC,JONSWAP"</formula1>
    </dataValidation>
    <dataValidation type="list" allowBlank="1" showInputMessage="1" showErrorMessage="1" sqref="G56">
      <formula1>"Y,N"</formula1>
    </dataValidation>
  </dataValidations>
  <printOptions horizontalCentered="1"/>
  <pageMargins left="0.5" right="0.5" top="0.5" bottom="0.5" header="0.3" footer="0.3"/>
  <pageSetup paperSize="9" scale="59" fitToHeight="0" orientation="portrait" r:id="rId1"/>
  <headerFooter>
    <oddFooter>&amp;L&amp;F&amp;C&amp;P&amp;R&amp;D</oddFooter>
  </headerFooter>
  <rowBreaks count="1" manualBreakCount="1">
    <brk id="72" min="1"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aoDriftFC">
                <anchor moveWithCells="1" sizeWithCells="1">
                  <from>
                    <xdr:col>11</xdr:col>
                    <xdr:colOff>38100</xdr:colOff>
                    <xdr:row>60</xdr:row>
                    <xdr:rowOff>9525</xdr:rowOff>
                  </from>
                  <to>
                    <xdr:col>14</xdr:col>
                    <xdr:colOff>19050</xdr:colOff>
                    <xdr:row>62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520"/>
  <sheetViews>
    <sheetView zoomScale="75" zoomScaleNormal="50" workbookViewId="0">
      <selection sqref="A1:N1"/>
    </sheetView>
  </sheetViews>
  <sheetFormatPr defaultRowHeight="12.75" customHeight="1" x14ac:dyDescent="0.2"/>
  <cols>
    <col min="1" max="18" width="9.33203125" style="1"/>
    <col min="19" max="19" width="23.33203125" style="97" bestFit="1" customWidth="1"/>
    <col min="20" max="20" width="12.1640625" style="97" bestFit="1" customWidth="1"/>
    <col min="21" max="21" width="20.6640625" style="97" bestFit="1" customWidth="1"/>
    <col min="22" max="22" width="9.5" style="97" bestFit="1" customWidth="1"/>
    <col min="23" max="23" width="10.83203125" style="97" bestFit="1" customWidth="1"/>
    <col min="24" max="24" width="9.33203125" style="97"/>
    <col min="25" max="25" width="13.83203125" style="97" customWidth="1"/>
    <col min="26" max="28" width="9.33203125" style="97"/>
    <col min="29" max="16384" width="9.33203125" style="1"/>
  </cols>
  <sheetData>
    <row r="1" spans="1:29" ht="20.100000000000001" customHeight="1" x14ac:dyDescent="0.25">
      <c r="A1" s="333" t="str">
        <f>DriftOff!E3</f>
        <v>Paragon DPDS2</v>
      </c>
      <c r="B1" s="333"/>
      <c r="C1" s="333"/>
      <c r="D1" s="333"/>
      <c r="E1" s="333"/>
      <c r="F1" s="333"/>
      <c r="G1" s="333"/>
      <c r="H1" s="333"/>
      <c r="I1" s="333"/>
      <c r="J1" s="333"/>
      <c r="K1" s="333"/>
      <c r="L1" s="333"/>
      <c r="M1" s="333"/>
      <c r="N1" s="333"/>
      <c r="O1" s="311"/>
      <c r="P1" s="157" t="s">
        <v>176</v>
      </c>
      <c r="Q1" s="157">
        <v>30</v>
      </c>
      <c r="S1" s="84" t="s">
        <v>98</v>
      </c>
      <c r="T1" s="27"/>
      <c r="U1" s="85"/>
      <c r="Z1" s="303" t="s">
        <v>103</v>
      </c>
      <c r="AA1" s="303">
        <v>1.4593903E-2</v>
      </c>
      <c r="AB1" s="303" t="s">
        <v>107</v>
      </c>
      <c r="AC1" s="303"/>
    </row>
    <row r="2" spans="1:29" ht="20.100000000000001" customHeight="1" thickBot="1" x14ac:dyDescent="0.3">
      <c r="A2" s="334" t="s">
        <v>5</v>
      </c>
      <c r="B2" s="334"/>
      <c r="C2" s="334"/>
      <c r="D2" s="334"/>
      <c r="E2" s="334"/>
      <c r="F2" s="334"/>
      <c r="G2" s="334"/>
      <c r="H2" s="334"/>
      <c r="I2" s="334"/>
      <c r="J2" s="334"/>
      <c r="K2" s="334"/>
      <c r="L2" s="334"/>
      <c r="M2" s="334"/>
      <c r="N2" s="334"/>
      <c r="O2" s="317"/>
      <c r="P2" s="157" t="s">
        <v>177</v>
      </c>
      <c r="Q2" s="157">
        <v>13</v>
      </c>
      <c r="S2" s="86" t="s">
        <v>44</v>
      </c>
      <c r="T2" s="87"/>
      <c r="U2" s="88"/>
      <c r="V2" s="87"/>
      <c r="W2" s="87"/>
      <c r="X2" s="170"/>
      <c r="Y2" s="171"/>
      <c r="Z2" s="27" t="s">
        <v>110</v>
      </c>
      <c r="AA2" s="27">
        <v>1.3558179483300001E-3</v>
      </c>
      <c r="AB2" s="27"/>
      <c r="AC2" s="303"/>
    </row>
    <row r="3" spans="1:29" ht="12.75" customHeight="1" x14ac:dyDescent="0.2">
      <c r="A3" s="335" t="s">
        <v>12</v>
      </c>
      <c r="B3" s="337" t="s">
        <v>13</v>
      </c>
      <c r="C3" s="339" t="s">
        <v>6</v>
      </c>
      <c r="D3" s="340"/>
      <c r="E3" s="339" t="s">
        <v>7</v>
      </c>
      <c r="F3" s="340"/>
      <c r="G3" s="339" t="s">
        <v>8</v>
      </c>
      <c r="H3" s="340"/>
      <c r="I3" s="339" t="s">
        <v>9</v>
      </c>
      <c r="J3" s="340"/>
      <c r="K3" s="339" t="s">
        <v>10</v>
      </c>
      <c r="L3" s="340"/>
      <c r="M3" s="339" t="s">
        <v>11</v>
      </c>
      <c r="N3" s="340"/>
      <c r="O3" s="318"/>
      <c r="S3" s="89" t="s">
        <v>45</v>
      </c>
      <c r="T3" s="90">
        <v>7.45</v>
      </c>
      <c r="U3" s="91" t="s">
        <v>46</v>
      </c>
      <c r="V3" s="90"/>
      <c r="W3" s="90"/>
      <c r="X3" s="172"/>
      <c r="Y3" s="173"/>
      <c r="Z3" s="27"/>
    </row>
    <row r="4" spans="1:29" ht="12.75" customHeight="1" x14ac:dyDescent="0.2">
      <c r="A4" s="336"/>
      <c r="B4" s="338"/>
      <c r="C4" s="304" t="s">
        <v>0</v>
      </c>
      <c r="D4" s="312" t="s">
        <v>1</v>
      </c>
      <c r="E4" s="304" t="s">
        <v>0</v>
      </c>
      <c r="F4" s="312" t="s">
        <v>1</v>
      </c>
      <c r="G4" s="304" t="s">
        <v>0</v>
      </c>
      <c r="H4" s="312" t="s">
        <v>1</v>
      </c>
      <c r="I4" s="304" t="s">
        <v>0</v>
      </c>
      <c r="J4" s="312" t="s">
        <v>1</v>
      </c>
      <c r="K4" s="304" t="s">
        <v>0</v>
      </c>
      <c r="L4" s="312" t="s">
        <v>1</v>
      </c>
      <c r="M4" s="304" t="s">
        <v>0</v>
      </c>
      <c r="N4" s="312" t="s">
        <v>1</v>
      </c>
      <c r="O4" s="318"/>
      <c r="S4" s="89" t="s">
        <v>118</v>
      </c>
      <c r="T4" s="92">
        <f>W4*$AA$1</f>
        <v>22598.6587955</v>
      </c>
      <c r="U4" s="93" t="s">
        <v>104</v>
      </c>
      <c r="V4" s="90"/>
      <c r="W4" s="94">
        <v>1548500</v>
      </c>
      <c r="X4" s="172" t="s">
        <v>105</v>
      </c>
      <c r="Y4" s="173"/>
      <c r="Z4" s="27"/>
    </row>
    <row r="5" spans="1:29" ht="12.75" customHeight="1" thickBot="1" x14ac:dyDescent="0.25">
      <c r="A5" s="2" t="s">
        <v>14</v>
      </c>
      <c r="B5" s="3" t="s">
        <v>15</v>
      </c>
      <c r="C5" s="2" t="s">
        <v>19</v>
      </c>
      <c r="D5" s="3" t="s">
        <v>15</v>
      </c>
      <c r="E5" s="2" t="s">
        <v>19</v>
      </c>
      <c r="F5" s="3" t="s">
        <v>15</v>
      </c>
      <c r="G5" s="2" t="s">
        <v>19</v>
      </c>
      <c r="H5" s="3" t="s">
        <v>15</v>
      </c>
      <c r="I5" s="2" t="s">
        <v>20</v>
      </c>
      <c r="J5" s="3" t="s">
        <v>15</v>
      </c>
      <c r="K5" s="2" t="s">
        <v>20</v>
      </c>
      <c r="L5" s="3" t="s">
        <v>15</v>
      </c>
      <c r="M5" s="2" t="s">
        <v>20</v>
      </c>
      <c r="N5" s="3" t="s">
        <v>15</v>
      </c>
      <c r="O5" s="318"/>
      <c r="S5" s="89" t="s">
        <v>116</v>
      </c>
      <c r="T5" s="92">
        <f>W5*$AA$1*0.3048^2</f>
        <v>35869519.795392416</v>
      </c>
      <c r="U5" s="91" t="s">
        <v>109</v>
      </c>
      <c r="V5" s="90"/>
      <c r="W5" s="94">
        <v>26456000000</v>
      </c>
      <c r="X5" s="172" t="s">
        <v>108</v>
      </c>
      <c r="Y5" s="173"/>
      <c r="Z5" s="27"/>
    </row>
    <row r="6" spans="1:29" ht="12.75" customHeight="1" x14ac:dyDescent="0.2">
      <c r="A6" s="4">
        <v>30</v>
      </c>
      <c r="B6" s="5">
        <v>0</v>
      </c>
      <c r="C6" s="305">
        <v>0.97089999999999999</v>
      </c>
      <c r="D6" s="302">
        <v>90.02</v>
      </c>
      <c r="E6" s="305">
        <v>0</v>
      </c>
      <c r="F6" s="302">
        <v>179.43</v>
      </c>
      <c r="G6" s="305">
        <v>0.98570000000000002</v>
      </c>
      <c r="H6" s="302">
        <v>0.03</v>
      </c>
      <c r="I6" s="305">
        <v>1E-4</v>
      </c>
      <c r="J6" s="302">
        <v>-167.34</v>
      </c>
      <c r="K6" s="305">
        <v>0.25659999999999999</v>
      </c>
      <c r="L6" s="302">
        <v>-91.46</v>
      </c>
      <c r="M6" s="305">
        <v>0</v>
      </c>
      <c r="N6" s="302">
        <v>-39.08</v>
      </c>
      <c r="O6" s="319"/>
      <c r="S6" s="89"/>
      <c r="T6" s="90"/>
      <c r="U6" s="91"/>
      <c r="V6" s="90"/>
      <c r="W6" s="90"/>
      <c r="X6" s="172"/>
      <c r="Y6" s="173"/>
      <c r="Z6" s="27"/>
    </row>
    <row r="7" spans="1:29" ht="12.75" customHeight="1" x14ac:dyDescent="0.2">
      <c r="A7" s="6">
        <v>28</v>
      </c>
      <c r="B7" s="7"/>
      <c r="C7" s="305">
        <v>0.96450000000000002</v>
      </c>
      <c r="D7" s="302">
        <v>90.01</v>
      </c>
      <c r="E7" s="305">
        <v>0</v>
      </c>
      <c r="F7" s="302">
        <v>4.2300000000000004</v>
      </c>
      <c r="G7" s="305">
        <v>0.98119999999999996</v>
      </c>
      <c r="H7" s="302">
        <v>0.04</v>
      </c>
      <c r="I7" s="305">
        <v>1E-4</v>
      </c>
      <c r="J7" s="302">
        <v>-158.65</v>
      </c>
      <c r="K7" s="305">
        <v>0.29420000000000002</v>
      </c>
      <c r="L7" s="302">
        <v>-91.68</v>
      </c>
      <c r="M7" s="305">
        <v>0</v>
      </c>
      <c r="N7" s="302">
        <v>50.84</v>
      </c>
      <c r="O7" s="319"/>
      <c r="S7" s="89"/>
      <c r="T7" s="90"/>
      <c r="U7" s="91"/>
      <c r="V7" s="90"/>
      <c r="W7" s="90"/>
      <c r="X7" s="172"/>
      <c r="Y7" s="174"/>
      <c r="Z7" s="27"/>
    </row>
    <row r="8" spans="1:29" ht="12.75" customHeight="1" x14ac:dyDescent="0.2">
      <c r="A8" s="6">
        <v>26</v>
      </c>
      <c r="B8" s="7"/>
      <c r="C8" s="305">
        <v>0.95609999999999995</v>
      </c>
      <c r="D8" s="302">
        <v>90</v>
      </c>
      <c r="E8" s="305">
        <v>0</v>
      </c>
      <c r="F8" s="302">
        <v>154.83000000000001</v>
      </c>
      <c r="G8" s="305">
        <v>0.97470000000000001</v>
      </c>
      <c r="H8" s="302">
        <v>0.05</v>
      </c>
      <c r="I8" s="305">
        <v>1E-4</v>
      </c>
      <c r="J8" s="302">
        <v>-142.19999999999999</v>
      </c>
      <c r="K8" s="305">
        <v>0.34050000000000002</v>
      </c>
      <c r="L8" s="302">
        <v>-91.95</v>
      </c>
      <c r="M8" s="305">
        <v>0</v>
      </c>
      <c r="N8" s="302">
        <v>57.09</v>
      </c>
      <c r="O8" s="319"/>
      <c r="S8" s="89"/>
      <c r="T8" s="90"/>
      <c r="U8" s="91"/>
      <c r="V8" s="90"/>
      <c r="W8" s="90"/>
      <c r="X8" s="172"/>
      <c r="Y8" s="174"/>
      <c r="Z8" s="27"/>
    </row>
    <row r="9" spans="1:29" ht="12.75" customHeight="1" x14ac:dyDescent="0.2">
      <c r="A9" s="6">
        <v>24</v>
      </c>
      <c r="B9" s="7"/>
      <c r="C9" s="305">
        <v>0.9446</v>
      </c>
      <c r="D9" s="302">
        <v>89.98</v>
      </c>
      <c r="E9" s="305">
        <v>0</v>
      </c>
      <c r="F9" s="302">
        <v>73.099999999999994</v>
      </c>
      <c r="G9" s="305">
        <v>0.96499999999999997</v>
      </c>
      <c r="H9" s="302">
        <v>0.08</v>
      </c>
      <c r="I9" s="305">
        <v>2.0000000000000001E-4</v>
      </c>
      <c r="J9" s="302">
        <v>-80.900000000000006</v>
      </c>
      <c r="K9" s="305">
        <v>0.39829999999999999</v>
      </c>
      <c r="L9" s="302">
        <v>-92.29</v>
      </c>
      <c r="M9" s="305">
        <v>0</v>
      </c>
      <c r="N9" s="302">
        <v>98.44</v>
      </c>
      <c r="O9" s="319"/>
      <c r="S9" s="86" t="s">
        <v>32</v>
      </c>
      <c r="T9" s="87"/>
      <c r="U9" s="88"/>
      <c r="V9" s="87"/>
      <c r="W9" s="87"/>
      <c r="X9" s="87"/>
      <c r="Y9" s="175"/>
      <c r="Z9" s="27"/>
    </row>
    <row r="10" spans="1:29" ht="12.75" customHeight="1" x14ac:dyDescent="0.2">
      <c r="A10" s="6">
        <v>22</v>
      </c>
      <c r="B10" s="7"/>
      <c r="C10" s="305">
        <v>0.92830000000000001</v>
      </c>
      <c r="D10" s="302">
        <v>89.96</v>
      </c>
      <c r="E10" s="305">
        <v>0</v>
      </c>
      <c r="F10" s="302">
        <v>153.31</v>
      </c>
      <c r="G10" s="305">
        <v>0.95030000000000003</v>
      </c>
      <c r="H10" s="302">
        <v>0.13</v>
      </c>
      <c r="I10" s="305">
        <v>1E-4</v>
      </c>
      <c r="J10" s="302">
        <v>-33.03</v>
      </c>
      <c r="K10" s="305">
        <v>0.47139999999999999</v>
      </c>
      <c r="L10" s="302">
        <v>-92.73</v>
      </c>
      <c r="M10" s="305">
        <v>0</v>
      </c>
      <c r="N10" s="302">
        <v>134.99</v>
      </c>
      <c r="O10" s="319"/>
      <c r="S10" s="89" t="s">
        <v>2</v>
      </c>
      <c r="T10" s="94">
        <f>W10*$AA$1</f>
        <v>1973.6794417200001</v>
      </c>
      <c r="U10" s="27" t="s">
        <v>104</v>
      </c>
      <c r="V10" s="176">
        <f>T10/T4</f>
        <v>8.7336131740393938E-2</v>
      </c>
      <c r="W10" s="94">
        <v>135240</v>
      </c>
      <c r="X10" s="90" t="s">
        <v>105</v>
      </c>
      <c r="Y10" s="174"/>
      <c r="Z10" s="27"/>
    </row>
    <row r="11" spans="1:29" ht="12.75" customHeight="1" x14ac:dyDescent="0.2">
      <c r="A11" s="6">
        <v>20</v>
      </c>
      <c r="B11" s="7"/>
      <c r="C11" s="305">
        <v>0.90439999999999998</v>
      </c>
      <c r="D11" s="302">
        <v>89.92</v>
      </c>
      <c r="E11" s="305">
        <v>0</v>
      </c>
      <c r="F11" s="302">
        <v>138.44</v>
      </c>
      <c r="G11" s="305">
        <v>0.92689999999999995</v>
      </c>
      <c r="H11" s="302">
        <v>0.23</v>
      </c>
      <c r="I11" s="305">
        <v>1E-4</v>
      </c>
      <c r="J11" s="302">
        <v>-17.43</v>
      </c>
      <c r="K11" s="305">
        <v>0.56499999999999995</v>
      </c>
      <c r="L11" s="302">
        <v>-93.3</v>
      </c>
      <c r="M11" s="305">
        <v>0</v>
      </c>
      <c r="N11" s="302">
        <v>110.57</v>
      </c>
      <c r="O11" s="319"/>
      <c r="S11" s="89" t="s">
        <v>3</v>
      </c>
      <c r="T11" s="94">
        <f>W11*$AA$1</f>
        <v>15541.0473047</v>
      </c>
      <c r="U11" s="27" t="s">
        <v>104</v>
      </c>
      <c r="V11" s="176">
        <f>T11/T4</f>
        <v>0.68769777203745563</v>
      </c>
      <c r="W11" s="94">
        <v>1064900</v>
      </c>
      <c r="X11" s="90" t="s">
        <v>105</v>
      </c>
      <c r="Y11" s="174"/>
      <c r="Z11" s="27"/>
    </row>
    <row r="12" spans="1:29" ht="12.75" customHeight="1" x14ac:dyDescent="0.2">
      <c r="A12" s="6">
        <v>19</v>
      </c>
      <c r="B12" s="7"/>
      <c r="C12" s="305">
        <v>0.88819999999999999</v>
      </c>
      <c r="D12" s="302">
        <v>89.9</v>
      </c>
      <c r="E12" s="305">
        <v>0</v>
      </c>
      <c r="F12" s="302">
        <v>174.08</v>
      </c>
      <c r="G12" s="305">
        <v>0.91</v>
      </c>
      <c r="H12" s="302">
        <v>0.3</v>
      </c>
      <c r="I12" s="305">
        <v>0</v>
      </c>
      <c r="J12" s="302">
        <v>-14.31</v>
      </c>
      <c r="K12" s="305">
        <v>0.62170000000000003</v>
      </c>
      <c r="L12" s="302">
        <v>-93.66</v>
      </c>
      <c r="M12" s="305">
        <v>0</v>
      </c>
      <c r="N12" s="302">
        <v>-154.01</v>
      </c>
      <c r="O12" s="319"/>
      <c r="S12" s="95" t="s">
        <v>4</v>
      </c>
      <c r="T12" s="96">
        <f>W12*$AA$1*0.3048^2</f>
        <v>17072459.678847194</v>
      </c>
      <c r="U12" s="27" t="s">
        <v>109</v>
      </c>
      <c r="V12" s="177">
        <f>T12/T5</f>
        <v>0.47596008466888423</v>
      </c>
      <c r="W12" s="96">
        <v>12592000000</v>
      </c>
      <c r="X12" s="178" t="s">
        <v>108</v>
      </c>
      <c r="Y12" s="179"/>
      <c r="Z12" s="27"/>
    </row>
    <row r="13" spans="1:29" ht="12.75" customHeight="1" x14ac:dyDescent="0.2">
      <c r="A13" s="6">
        <v>18</v>
      </c>
      <c r="B13" s="7"/>
      <c r="C13" s="305">
        <v>0.86799999999999999</v>
      </c>
      <c r="D13" s="302">
        <v>89.87</v>
      </c>
      <c r="E13" s="305">
        <v>0</v>
      </c>
      <c r="F13" s="302">
        <v>179.74</v>
      </c>
      <c r="G13" s="305">
        <v>0.88790000000000002</v>
      </c>
      <c r="H13" s="302">
        <v>0.41</v>
      </c>
      <c r="I13" s="305">
        <v>0</v>
      </c>
      <c r="J13" s="302">
        <v>-7.29</v>
      </c>
      <c r="K13" s="305">
        <v>0.68620000000000003</v>
      </c>
      <c r="L13" s="302">
        <v>-94.08</v>
      </c>
      <c r="M13" s="305">
        <v>0</v>
      </c>
      <c r="N13" s="302">
        <v>65.17</v>
      </c>
      <c r="O13" s="319"/>
      <c r="S13" s="98" t="s">
        <v>100</v>
      </c>
      <c r="T13" s="96">
        <f>W13*$AA$2</f>
        <v>43426848.8850099</v>
      </c>
      <c r="U13" s="99" t="s">
        <v>111</v>
      </c>
      <c r="V13" s="180"/>
      <c r="W13" s="96">
        <v>32030000000</v>
      </c>
      <c r="X13" s="178" t="s">
        <v>115</v>
      </c>
      <c r="Y13" s="179"/>
      <c r="Z13" s="27"/>
    </row>
    <row r="14" spans="1:29" ht="12.75" customHeight="1" x14ac:dyDescent="0.2">
      <c r="A14" s="6">
        <v>17</v>
      </c>
      <c r="B14" s="7"/>
      <c r="C14" s="305">
        <v>0.84260000000000002</v>
      </c>
      <c r="D14" s="302">
        <v>89.83</v>
      </c>
      <c r="E14" s="305">
        <v>0</v>
      </c>
      <c r="F14" s="302">
        <v>29.98</v>
      </c>
      <c r="G14" s="305">
        <v>0.85850000000000004</v>
      </c>
      <c r="H14" s="302">
        <v>0.56999999999999995</v>
      </c>
      <c r="I14" s="305">
        <v>0</v>
      </c>
      <c r="J14" s="302">
        <v>-36.159999999999997</v>
      </c>
      <c r="K14" s="305">
        <v>0.75949999999999995</v>
      </c>
      <c r="L14" s="302">
        <v>-94.57</v>
      </c>
      <c r="M14" s="305">
        <v>0</v>
      </c>
      <c r="N14" s="302">
        <v>76.41</v>
      </c>
      <c r="O14" s="319"/>
      <c r="Z14" s="27"/>
    </row>
    <row r="15" spans="1:29" ht="12.75" customHeight="1" x14ac:dyDescent="0.2">
      <c r="A15" s="6">
        <v>16</v>
      </c>
      <c r="B15" s="7"/>
      <c r="C15" s="305">
        <v>0.8105</v>
      </c>
      <c r="D15" s="302">
        <v>89.8</v>
      </c>
      <c r="E15" s="305">
        <v>0</v>
      </c>
      <c r="F15" s="302">
        <v>-3.42</v>
      </c>
      <c r="G15" s="305">
        <v>0.81869999999999998</v>
      </c>
      <c r="H15" s="302">
        <v>0.8</v>
      </c>
      <c r="I15" s="305">
        <v>0</v>
      </c>
      <c r="J15" s="302">
        <v>12.7</v>
      </c>
      <c r="K15" s="305">
        <v>0.84250000000000003</v>
      </c>
      <c r="L15" s="302">
        <v>-95.13</v>
      </c>
      <c r="M15" s="305">
        <v>0</v>
      </c>
      <c r="N15" s="302">
        <v>-77.45</v>
      </c>
      <c r="O15" s="319"/>
    </row>
    <row r="16" spans="1:29" ht="12.75" customHeight="1" x14ac:dyDescent="0.2">
      <c r="A16" s="6">
        <v>15</v>
      </c>
      <c r="B16" s="7"/>
      <c r="C16" s="305">
        <v>0.76919999999999999</v>
      </c>
      <c r="D16" s="302">
        <v>89.78</v>
      </c>
      <c r="E16" s="305">
        <v>0</v>
      </c>
      <c r="F16" s="302">
        <v>-30.11</v>
      </c>
      <c r="G16" s="305">
        <v>0.76400000000000001</v>
      </c>
      <c r="H16" s="302">
        <v>1.1200000000000001</v>
      </c>
      <c r="I16" s="305">
        <v>0</v>
      </c>
      <c r="J16" s="302">
        <v>-6.98</v>
      </c>
      <c r="K16" s="305">
        <v>0.93510000000000004</v>
      </c>
      <c r="L16" s="302">
        <v>-95.77</v>
      </c>
      <c r="M16" s="305">
        <v>0</v>
      </c>
      <c r="N16" s="302">
        <v>90.97</v>
      </c>
      <c r="O16" s="319"/>
    </row>
    <row r="17" spans="1:15" ht="12.75" customHeight="1" x14ac:dyDescent="0.2">
      <c r="A17" s="6">
        <v>14</v>
      </c>
      <c r="B17" s="7"/>
      <c r="C17" s="305">
        <v>0.71560000000000001</v>
      </c>
      <c r="D17" s="302">
        <v>89.81</v>
      </c>
      <c r="E17" s="305">
        <v>0</v>
      </c>
      <c r="F17" s="302">
        <v>166.25</v>
      </c>
      <c r="G17" s="305">
        <v>0.68710000000000004</v>
      </c>
      <c r="H17" s="302">
        <v>1.57</v>
      </c>
      <c r="I17" s="305">
        <v>0</v>
      </c>
      <c r="J17" s="302">
        <v>-2.35</v>
      </c>
      <c r="K17" s="305">
        <v>1.0358000000000001</v>
      </c>
      <c r="L17" s="302">
        <v>-96.46</v>
      </c>
      <c r="M17" s="305">
        <v>0</v>
      </c>
      <c r="N17" s="302">
        <v>-91.59</v>
      </c>
      <c r="O17" s="319"/>
    </row>
    <row r="18" spans="1:15" ht="12.75" customHeight="1" x14ac:dyDescent="0.2">
      <c r="A18" s="6">
        <v>13</v>
      </c>
      <c r="B18" s="7"/>
      <c r="C18" s="305">
        <v>0.64549999999999996</v>
      </c>
      <c r="D18" s="302">
        <v>89.99</v>
      </c>
      <c r="E18" s="305">
        <v>0</v>
      </c>
      <c r="F18" s="302">
        <v>135.30000000000001</v>
      </c>
      <c r="G18" s="305">
        <v>0.57750000000000001</v>
      </c>
      <c r="H18" s="302">
        <v>2.13</v>
      </c>
      <c r="I18" s="305">
        <v>0</v>
      </c>
      <c r="J18" s="302">
        <v>-33.36</v>
      </c>
      <c r="K18" s="305">
        <v>1.1376999999999999</v>
      </c>
      <c r="L18" s="302">
        <v>-97.09</v>
      </c>
      <c r="M18" s="305">
        <v>0</v>
      </c>
      <c r="N18" s="302">
        <v>92.94</v>
      </c>
      <c r="O18" s="319"/>
    </row>
    <row r="19" spans="1:15" ht="12.75" customHeight="1" x14ac:dyDescent="0.2">
      <c r="A19" s="6">
        <v>12</v>
      </c>
      <c r="B19" s="8"/>
      <c r="C19" s="305">
        <v>0.55230000000000001</v>
      </c>
      <c r="D19" s="302">
        <v>90.54</v>
      </c>
      <c r="E19" s="305">
        <v>0</v>
      </c>
      <c r="F19" s="302">
        <v>151.51</v>
      </c>
      <c r="G19" s="305">
        <v>0.41830000000000001</v>
      </c>
      <c r="H19" s="302">
        <v>2.54</v>
      </c>
      <c r="I19" s="305">
        <v>0</v>
      </c>
      <c r="J19" s="302">
        <v>-19.239999999999998</v>
      </c>
      <c r="K19" s="305">
        <v>1.2218</v>
      </c>
      <c r="L19" s="302">
        <v>-97.42</v>
      </c>
      <c r="M19" s="305">
        <v>0</v>
      </c>
      <c r="N19" s="302">
        <v>-95.65</v>
      </c>
      <c r="O19" s="319"/>
    </row>
    <row r="20" spans="1:15" ht="12.75" customHeight="1" x14ac:dyDescent="0.2">
      <c r="A20" s="6">
        <v>11</v>
      </c>
      <c r="B20" s="8"/>
      <c r="C20" s="305">
        <v>0.42720000000000002</v>
      </c>
      <c r="D20" s="302">
        <v>91.88</v>
      </c>
      <c r="E20" s="305">
        <v>0</v>
      </c>
      <c r="F20" s="302">
        <v>-178.7</v>
      </c>
      <c r="G20" s="305">
        <v>0.1784</v>
      </c>
      <c r="H20" s="302">
        <v>-0.71</v>
      </c>
      <c r="I20" s="305">
        <v>0</v>
      </c>
      <c r="J20" s="302">
        <v>-6.77</v>
      </c>
      <c r="K20" s="305">
        <v>1.2361</v>
      </c>
      <c r="L20" s="302">
        <v>-96.95</v>
      </c>
      <c r="M20" s="305">
        <v>0</v>
      </c>
      <c r="N20" s="302">
        <v>85.08</v>
      </c>
      <c r="O20" s="319"/>
    </row>
    <row r="21" spans="1:15" ht="12.75" customHeight="1" x14ac:dyDescent="0.2">
      <c r="A21" s="6">
        <v>10</v>
      </c>
      <c r="B21" s="8"/>
      <c r="C21" s="305">
        <v>0.26079999999999998</v>
      </c>
      <c r="D21" s="302">
        <v>94.38</v>
      </c>
      <c r="E21" s="305">
        <v>0</v>
      </c>
      <c r="F21" s="302">
        <v>85.76</v>
      </c>
      <c r="G21" s="305">
        <v>0.27079999999999999</v>
      </c>
      <c r="H21" s="302">
        <v>-151.87</v>
      </c>
      <c r="I21" s="305">
        <v>0</v>
      </c>
      <c r="J21" s="302">
        <v>-132.11000000000001</v>
      </c>
      <c r="K21" s="305">
        <v>1.0398000000000001</v>
      </c>
      <c r="L21" s="302">
        <v>-94</v>
      </c>
      <c r="M21" s="305">
        <v>0</v>
      </c>
      <c r="N21" s="302">
        <v>-106.38</v>
      </c>
      <c r="O21" s="319"/>
    </row>
    <row r="22" spans="1:15" ht="12.75" customHeight="1" x14ac:dyDescent="0.2">
      <c r="A22" s="6">
        <v>9.5</v>
      </c>
      <c r="B22" s="8"/>
      <c r="C22" s="305">
        <v>0.15609999999999999</v>
      </c>
      <c r="D22" s="302">
        <v>93.71</v>
      </c>
      <c r="E22" s="305">
        <v>0</v>
      </c>
      <c r="F22" s="302">
        <v>62.47</v>
      </c>
      <c r="G22" s="305">
        <v>0.74209999999999998</v>
      </c>
      <c r="H22" s="302">
        <v>-136.29</v>
      </c>
      <c r="I22" s="305">
        <v>0</v>
      </c>
      <c r="J22" s="302">
        <v>-146.59</v>
      </c>
      <c r="K22" s="305">
        <v>0.6835</v>
      </c>
      <c r="L22" s="302">
        <v>-90.17</v>
      </c>
      <c r="M22" s="305">
        <v>0</v>
      </c>
      <c r="N22" s="302">
        <v>60.41</v>
      </c>
      <c r="O22" s="319"/>
    </row>
    <row r="23" spans="1:15" ht="12.75" customHeight="1" x14ac:dyDescent="0.2">
      <c r="A23" s="6">
        <v>9</v>
      </c>
      <c r="B23" s="8"/>
      <c r="C23" s="305">
        <v>8.6800000000000002E-2</v>
      </c>
      <c r="D23" s="302">
        <v>60</v>
      </c>
      <c r="E23" s="305">
        <v>0</v>
      </c>
      <c r="F23" s="302">
        <v>118.46</v>
      </c>
      <c r="G23" s="305">
        <v>1.0774999999999999</v>
      </c>
      <c r="H23" s="302">
        <v>-84.74</v>
      </c>
      <c r="I23" s="305">
        <v>0</v>
      </c>
      <c r="J23" s="302">
        <v>-91.22</v>
      </c>
      <c r="K23" s="305">
        <v>0.43980000000000002</v>
      </c>
      <c r="L23" s="302">
        <v>-165.7</v>
      </c>
      <c r="M23" s="305">
        <v>0</v>
      </c>
      <c r="N23" s="302">
        <v>83.76</v>
      </c>
      <c r="O23" s="319"/>
    </row>
    <row r="24" spans="1:15" ht="12.75" customHeight="1" x14ac:dyDescent="0.2">
      <c r="A24" s="6">
        <v>8.5</v>
      </c>
      <c r="B24" s="8"/>
      <c r="C24" s="305">
        <v>7.0599999999999996E-2</v>
      </c>
      <c r="D24" s="302">
        <v>34.24</v>
      </c>
      <c r="E24" s="305">
        <v>0</v>
      </c>
      <c r="F24" s="302">
        <v>118.53</v>
      </c>
      <c r="G24" s="305">
        <v>0.59750000000000003</v>
      </c>
      <c r="H24" s="302">
        <v>-48.83</v>
      </c>
      <c r="I24" s="305">
        <v>0</v>
      </c>
      <c r="J24" s="302">
        <v>-71.98</v>
      </c>
      <c r="K24" s="305">
        <v>0.83479999999999999</v>
      </c>
      <c r="L24" s="302">
        <v>-175.39</v>
      </c>
      <c r="M24" s="305">
        <v>0</v>
      </c>
      <c r="N24" s="302">
        <v>178.7</v>
      </c>
      <c r="O24" s="319"/>
    </row>
    <row r="25" spans="1:15" ht="12.75" customHeight="1" x14ac:dyDescent="0.2">
      <c r="A25" s="6">
        <v>8</v>
      </c>
      <c r="B25" s="8"/>
      <c r="C25" s="305">
        <v>7.2400000000000006E-2</v>
      </c>
      <c r="D25" s="302">
        <v>11.58</v>
      </c>
      <c r="E25" s="305">
        <v>0</v>
      </c>
      <c r="F25" s="302">
        <v>142.58000000000001</v>
      </c>
      <c r="G25" s="305">
        <v>0.2341</v>
      </c>
      <c r="H25" s="302">
        <v>-33.03</v>
      </c>
      <c r="I25" s="305">
        <v>0</v>
      </c>
      <c r="J25" s="302">
        <v>-49.25</v>
      </c>
      <c r="K25" s="305">
        <v>1.1388</v>
      </c>
      <c r="L25" s="302">
        <v>-178.16</v>
      </c>
      <c r="M25" s="305">
        <v>0</v>
      </c>
      <c r="N25" s="302">
        <v>-129.74</v>
      </c>
      <c r="O25" s="319"/>
    </row>
    <row r="26" spans="1:15" ht="12.75" customHeight="1" x14ac:dyDescent="0.2">
      <c r="A26" s="6">
        <v>7.5</v>
      </c>
      <c r="B26" s="8"/>
      <c r="C26" s="305">
        <v>5.3499999999999999E-2</v>
      </c>
      <c r="D26" s="302">
        <v>25.32</v>
      </c>
      <c r="E26" s="305">
        <v>0</v>
      </c>
      <c r="F26" s="302">
        <v>80.69</v>
      </c>
      <c r="G26" s="305">
        <v>3.5400000000000001E-2</v>
      </c>
      <c r="H26" s="302">
        <v>-71.28</v>
      </c>
      <c r="I26" s="305">
        <v>0</v>
      </c>
      <c r="J26" s="302">
        <v>-144.55000000000001</v>
      </c>
      <c r="K26" s="305">
        <v>1.0557000000000001</v>
      </c>
      <c r="L26" s="302">
        <v>-160.63999999999999</v>
      </c>
      <c r="M26" s="305">
        <v>0</v>
      </c>
      <c r="N26" s="302">
        <v>82.52</v>
      </c>
      <c r="O26" s="319"/>
    </row>
    <row r="27" spans="1:15" ht="12.75" customHeight="1" x14ac:dyDescent="0.2">
      <c r="A27" s="6">
        <v>7</v>
      </c>
      <c r="B27" s="8"/>
      <c r="C27" s="305">
        <v>2.3800000000000002E-2</v>
      </c>
      <c r="D27" s="302">
        <v>5.82</v>
      </c>
      <c r="E27" s="305">
        <v>0</v>
      </c>
      <c r="F27" s="302">
        <v>78.77</v>
      </c>
      <c r="G27" s="305">
        <v>3.4599999999999999E-2</v>
      </c>
      <c r="H27" s="302">
        <v>144.04</v>
      </c>
      <c r="I27" s="305">
        <v>0</v>
      </c>
      <c r="J27" s="302">
        <v>-168.87</v>
      </c>
      <c r="K27" s="305">
        <v>0.47289999999999999</v>
      </c>
      <c r="L27" s="302">
        <v>-154.25</v>
      </c>
      <c r="M27" s="305">
        <v>0</v>
      </c>
      <c r="N27" s="302">
        <v>-87.12</v>
      </c>
      <c r="O27" s="319"/>
    </row>
    <row r="28" spans="1:15" ht="12.75" customHeight="1" x14ac:dyDescent="0.2">
      <c r="A28" s="6">
        <v>6.5</v>
      </c>
      <c r="B28" s="9"/>
      <c r="C28" s="305">
        <v>3.2599999999999997E-2</v>
      </c>
      <c r="D28" s="302">
        <v>-16.18</v>
      </c>
      <c r="E28" s="305">
        <v>0</v>
      </c>
      <c r="F28" s="302">
        <v>-95.78</v>
      </c>
      <c r="G28" s="305">
        <v>8.6499999999999994E-2</v>
      </c>
      <c r="H28" s="302">
        <v>131.32</v>
      </c>
      <c r="I28" s="305">
        <v>0</v>
      </c>
      <c r="J28" s="302">
        <v>38.31</v>
      </c>
      <c r="K28" s="305">
        <v>4.5699999999999998E-2</v>
      </c>
      <c r="L28" s="302">
        <v>-178.52</v>
      </c>
      <c r="M28" s="305">
        <v>0</v>
      </c>
      <c r="N28" s="302">
        <v>64.75</v>
      </c>
      <c r="O28" s="319"/>
    </row>
    <row r="29" spans="1:15" ht="12.75" customHeight="1" x14ac:dyDescent="0.2">
      <c r="A29" s="6">
        <v>6</v>
      </c>
      <c r="B29" s="9"/>
      <c r="C29" s="305">
        <v>2.5399999999999999E-2</v>
      </c>
      <c r="D29" s="302">
        <v>-32.57</v>
      </c>
      <c r="E29" s="305">
        <v>0</v>
      </c>
      <c r="F29" s="302">
        <v>134.9</v>
      </c>
      <c r="G29" s="305">
        <v>6.6199999999999995E-2</v>
      </c>
      <c r="H29" s="302">
        <v>-144</v>
      </c>
      <c r="I29" s="305">
        <v>0</v>
      </c>
      <c r="J29" s="302">
        <v>111.04</v>
      </c>
      <c r="K29" s="305">
        <v>0.16070000000000001</v>
      </c>
      <c r="L29" s="302">
        <v>19.18</v>
      </c>
      <c r="M29" s="305">
        <v>0</v>
      </c>
      <c r="N29" s="302">
        <v>76.42</v>
      </c>
      <c r="O29" s="319"/>
    </row>
    <row r="30" spans="1:15" ht="12.75" customHeight="1" x14ac:dyDescent="0.2">
      <c r="A30" s="6">
        <v>5.5</v>
      </c>
      <c r="B30" s="9"/>
      <c r="C30" s="305">
        <v>2.1100000000000001E-2</v>
      </c>
      <c r="D30" s="302">
        <v>177.55</v>
      </c>
      <c r="E30" s="305">
        <v>0</v>
      </c>
      <c r="F30" s="302">
        <v>116.16</v>
      </c>
      <c r="G30" s="305">
        <v>4.58E-2</v>
      </c>
      <c r="H30" s="302">
        <v>-90.72</v>
      </c>
      <c r="I30" s="305">
        <v>0</v>
      </c>
      <c r="J30" s="302">
        <v>-83.21</v>
      </c>
      <c r="K30" s="305">
        <v>2.4799999999999999E-2</v>
      </c>
      <c r="L30" s="302">
        <v>39.67</v>
      </c>
      <c r="M30" s="305">
        <v>0</v>
      </c>
      <c r="N30" s="302">
        <v>115.07</v>
      </c>
      <c r="O30" s="319"/>
    </row>
    <row r="31" spans="1:15" ht="12.75" customHeight="1" x14ac:dyDescent="0.2">
      <c r="A31" s="6">
        <v>5</v>
      </c>
      <c r="B31" s="9"/>
      <c r="C31" s="305">
        <v>2.69E-2</v>
      </c>
      <c r="D31" s="302">
        <v>149.97999999999999</v>
      </c>
      <c r="E31" s="305">
        <v>0</v>
      </c>
      <c r="F31" s="302">
        <v>-163.58000000000001</v>
      </c>
      <c r="G31" s="305">
        <v>2.5999999999999999E-3</v>
      </c>
      <c r="H31" s="302">
        <v>-145.11000000000001</v>
      </c>
      <c r="I31" s="305">
        <v>0</v>
      </c>
      <c r="J31" s="302">
        <v>-55.38</v>
      </c>
      <c r="K31" s="305">
        <v>7.0999999999999994E-2</v>
      </c>
      <c r="L31" s="302">
        <v>167.39</v>
      </c>
      <c r="M31" s="305">
        <v>0</v>
      </c>
      <c r="N31" s="302">
        <v>91.64</v>
      </c>
      <c r="O31" s="319"/>
    </row>
    <row r="32" spans="1:15" ht="12.75" customHeight="1" x14ac:dyDescent="0.2">
      <c r="A32" s="6">
        <v>4.5</v>
      </c>
      <c r="B32" s="9"/>
      <c r="C32" s="305">
        <v>2.7900000000000001E-2</v>
      </c>
      <c r="D32" s="302">
        <v>-8.9700000000000006</v>
      </c>
      <c r="E32" s="305">
        <v>0</v>
      </c>
      <c r="F32" s="302">
        <v>-67.260000000000005</v>
      </c>
      <c r="G32" s="305">
        <v>9.7999999999999997E-3</v>
      </c>
      <c r="H32" s="302">
        <v>0.52</v>
      </c>
      <c r="I32" s="305">
        <v>0</v>
      </c>
      <c r="J32" s="302">
        <v>-40.39</v>
      </c>
      <c r="K32" s="305">
        <v>3.6299999999999999E-2</v>
      </c>
      <c r="L32" s="302">
        <v>-8.8000000000000007</v>
      </c>
      <c r="M32" s="305">
        <v>0</v>
      </c>
      <c r="N32" s="302">
        <v>-167.56</v>
      </c>
      <c r="O32" s="319"/>
    </row>
    <row r="33" spans="1:15" ht="12.75" customHeight="1" x14ac:dyDescent="0.2">
      <c r="A33" s="6">
        <v>4</v>
      </c>
      <c r="B33" s="9"/>
      <c r="C33" s="305">
        <v>1.24E-2</v>
      </c>
      <c r="D33" s="302">
        <v>140.01</v>
      </c>
      <c r="E33" s="305">
        <v>0</v>
      </c>
      <c r="F33" s="302">
        <v>-134.16</v>
      </c>
      <c r="G33" s="305">
        <v>7.0000000000000001E-3</v>
      </c>
      <c r="H33" s="302">
        <v>168.55</v>
      </c>
      <c r="I33" s="305">
        <v>0</v>
      </c>
      <c r="J33" s="302">
        <v>112.98</v>
      </c>
      <c r="K33" s="305">
        <v>2.3699999999999999E-2</v>
      </c>
      <c r="L33" s="302">
        <v>139.29</v>
      </c>
      <c r="M33" s="305">
        <v>0</v>
      </c>
      <c r="N33" s="302">
        <v>64.63</v>
      </c>
      <c r="O33" s="319"/>
    </row>
    <row r="34" spans="1:15" ht="12.75" customHeight="1" x14ac:dyDescent="0.2">
      <c r="A34" s="6">
        <v>3.5</v>
      </c>
      <c r="B34" s="9"/>
      <c r="C34" s="305">
        <v>6.4000000000000003E-3</v>
      </c>
      <c r="D34" s="302">
        <v>157.19999999999999</v>
      </c>
      <c r="E34" s="305">
        <v>0</v>
      </c>
      <c r="F34" s="302">
        <v>-111</v>
      </c>
      <c r="G34" s="305">
        <v>5.0000000000000001E-3</v>
      </c>
      <c r="H34" s="302">
        <v>104.72</v>
      </c>
      <c r="I34" s="305">
        <v>0</v>
      </c>
      <c r="J34" s="302">
        <v>82.5</v>
      </c>
      <c r="K34" s="305">
        <v>1.55E-2</v>
      </c>
      <c r="L34" s="302">
        <v>145.55000000000001</v>
      </c>
      <c r="M34" s="305">
        <v>0</v>
      </c>
      <c r="N34" s="302">
        <v>95.21</v>
      </c>
      <c r="O34" s="319"/>
    </row>
    <row r="35" spans="1:15" ht="12.75" customHeight="1" x14ac:dyDescent="0.2">
      <c r="A35" s="6">
        <v>3.24</v>
      </c>
      <c r="B35" s="9"/>
      <c r="C35" s="305">
        <v>8.5000000000000006E-3</v>
      </c>
      <c r="D35" s="302">
        <v>-60.9</v>
      </c>
      <c r="E35" s="305">
        <v>0</v>
      </c>
      <c r="F35" s="302">
        <v>179.33</v>
      </c>
      <c r="G35" s="305">
        <v>2.0999999999999999E-3</v>
      </c>
      <c r="H35" s="302">
        <v>-95.71</v>
      </c>
      <c r="I35" s="305">
        <v>0</v>
      </c>
      <c r="J35" s="302">
        <v>133.49</v>
      </c>
      <c r="K35" s="305">
        <v>1.1900000000000001E-2</v>
      </c>
      <c r="L35" s="302">
        <v>-88.09</v>
      </c>
      <c r="M35" s="305">
        <v>0</v>
      </c>
      <c r="N35" s="302">
        <v>96.36</v>
      </c>
      <c r="O35" s="319"/>
    </row>
    <row r="36" spans="1:15" ht="12.75" customHeight="1" x14ac:dyDescent="0.2">
      <c r="A36" s="6">
        <v>0</v>
      </c>
      <c r="B36" s="9"/>
      <c r="C36" s="305">
        <v>0</v>
      </c>
      <c r="D36" s="302">
        <v>0</v>
      </c>
      <c r="E36" s="305">
        <v>0</v>
      </c>
      <c r="F36" s="302">
        <v>0</v>
      </c>
      <c r="G36" s="305">
        <v>0</v>
      </c>
      <c r="H36" s="302">
        <v>0</v>
      </c>
      <c r="I36" s="305">
        <v>0</v>
      </c>
      <c r="J36" s="302">
        <v>0</v>
      </c>
      <c r="K36" s="305">
        <v>0</v>
      </c>
      <c r="L36" s="302">
        <v>0</v>
      </c>
      <c r="M36" s="305">
        <v>0</v>
      </c>
      <c r="N36" s="302">
        <v>0</v>
      </c>
      <c r="O36" s="319"/>
    </row>
    <row r="37" spans="1:15" ht="12.75" customHeight="1" x14ac:dyDescent="0.2">
      <c r="A37" s="6">
        <v>0</v>
      </c>
      <c r="B37" s="9"/>
      <c r="C37" s="305">
        <v>0</v>
      </c>
      <c r="D37" s="302">
        <v>0</v>
      </c>
      <c r="E37" s="305">
        <v>0</v>
      </c>
      <c r="F37" s="302">
        <v>0</v>
      </c>
      <c r="G37" s="305">
        <v>0</v>
      </c>
      <c r="H37" s="302">
        <v>0</v>
      </c>
      <c r="I37" s="305">
        <v>0</v>
      </c>
      <c r="J37" s="302">
        <v>0</v>
      </c>
      <c r="K37" s="305">
        <v>0</v>
      </c>
      <c r="L37" s="302">
        <v>0</v>
      </c>
      <c r="M37" s="305">
        <v>0</v>
      </c>
      <c r="N37" s="302">
        <v>0</v>
      </c>
      <c r="O37" s="319"/>
    </row>
    <row r="38" spans="1:15" ht="12.75" customHeight="1" x14ac:dyDescent="0.2">
      <c r="A38" s="6">
        <v>0</v>
      </c>
      <c r="B38" s="9"/>
      <c r="C38" s="305">
        <v>0</v>
      </c>
      <c r="D38" s="302">
        <v>0</v>
      </c>
      <c r="E38" s="305">
        <v>0</v>
      </c>
      <c r="F38" s="302">
        <v>0</v>
      </c>
      <c r="G38" s="305">
        <v>0</v>
      </c>
      <c r="H38" s="302">
        <v>0</v>
      </c>
      <c r="I38" s="305">
        <v>0</v>
      </c>
      <c r="J38" s="302">
        <v>0</v>
      </c>
      <c r="K38" s="305">
        <v>0</v>
      </c>
      <c r="L38" s="302">
        <v>0</v>
      </c>
      <c r="M38" s="305">
        <v>0</v>
      </c>
      <c r="N38" s="302">
        <v>0</v>
      </c>
      <c r="O38" s="319"/>
    </row>
    <row r="39" spans="1:15" ht="12.75" customHeight="1" x14ac:dyDescent="0.2">
      <c r="A39" s="6">
        <v>0</v>
      </c>
      <c r="B39" s="9"/>
      <c r="C39" s="305">
        <v>0</v>
      </c>
      <c r="D39" s="302">
        <v>0</v>
      </c>
      <c r="E39" s="305">
        <v>0</v>
      </c>
      <c r="F39" s="302">
        <v>0</v>
      </c>
      <c r="G39" s="305">
        <v>0</v>
      </c>
      <c r="H39" s="302">
        <v>0</v>
      </c>
      <c r="I39" s="305">
        <v>0</v>
      </c>
      <c r="J39" s="302">
        <v>0</v>
      </c>
      <c r="K39" s="305">
        <v>0</v>
      </c>
      <c r="L39" s="302">
        <v>0</v>
      </c>
      <c r="M39" s="305">
        <v>0</v>
      </c>
      <c r="N39" s="302">
        <v>0</v>
      </c>
      <c r="O39" s="319"/>
    </row>
    <row r="40" spans="1:15" ht="12.75" customHeight="1" thickBot="1" x14ac:dyDescent="0.25">
      <c r="A40" s="10">
        <v>0</v>
      </c>
      <c r="B40" s="11"/>
      <c r="C40" s="12">
        <v>0</v>
      </c>
      <c r="D40" s="13">
        <v>0</v>
      </c>
      <c r="E40" s="12">
        <v>0</v>
      </c>
      <c r="F40" s="13">
        <v>0</v>
      </c>
      <c r="G40" s="12">
        <v>0</v>
      </c>
      <c r="H40" s="13">
        <v>0</v>
      </c>
      <c r="I40" s="12">
        <v>0</v>
      </c>
      <c r="J40" s="13">
        <v>0</v>
      </c>
      <c r="K40" s="12">
        <v>0</v>
      </c>
      <c r="L40" s="13">
        <v>0</v>
      </c>
      <c r="M40" s="12">
        <v>0</v>
      </c>
      <c r="N40" s="13">
        <v>0</v>
      </c>
      <c r="O40" s="319"/>
    </row>
    <row r="41" spans="1:15" ht="20.100000000000001" customHeight="1" x14ac:dyDescent="0.25">
      <c r="A41" s="333" t="str">
        <f>A1</f>
        <v>Paragon DPDS2</v>
      </c>
      <c r="B41" s="333"/>
      <c r="C41" s="333"/>
      <c r="D41" s="333"/>
      <c r="E41" s="333"/>
      <c r="F41" s="333"/>
      <c r="G41" s="333"/>
      <c r="H41" s="333"/>
      <c r="I41" s="333"/>
      <c r="J41" s="333"/>
      <c r="K41" s="333"/>
      <c r="L41" s="333"/>
      <c r="M41" s="333"/>
      <c r="N41" s="333"/>
      <c r="O41" s="311"/>
    </row>
    <row r="42" spans="1:15" ht="20.100000000000001" customHeight="1" thickBot="1" x14ac:dyDescent="0.3">
      <c r="A42" s="334" t="s">
        <v>5</v>
      </c>
      <c r="B42" s="334"/>
      <c r="C42" s="334"/>
      <c r="D42" s="334"/>
      <c r="E42" s="334"/>
      <c r="F42" s="334"/>
      <c r="G42" s="334"/>
      <c r="H42" s="334"/>
      <c r="I42" s="334"/>
      <c r="J42" s="334"/>
      <c r="K42" s="334"/>
      <c r="L42" s="334"/>
      <c r="M42" s="334"/>
      <c r="N42" s="334"/>
      <c r="O42" s="317"/>
    </row>
    <row r="43" spans="1:15" ht="12.75" customHeight="1" x14ac:dyDescent="0.2">
      <c r="A43" s="335" t="s">
        <v>12</v>
      </c>
      <c r="B43" s="337" t="s">
        <v>13</v>
      </c>
      <c r="C43" s="339" t="s">
        <v>6</v>
      </c>
      <c r="D43" s="340"/>
      <c r="E43" s="339" t="s">
        <v>7</v>
      </c>
      <c r="F43" s="340"/>
      <c r="G43" s="339" t="s">
        <v>8</v>
      </c>
      <c r="H43" s="340"/>
      <c r="I43" s="339" t="s">
        <v>9</v>
      </c>
      <c r="J43" s="340"/>
      <c r="K43" s="339" t="s">
        <v>10</v>
      </c>
      <c r="L43" s="340"/>
      <c r="M43" s="339" t="s">
        <v>11</v>
      </c>
      <c r="N43" s="340"/>
      <c r="O43" s="318"/>
    </row>
    <row r="44" spans="1:15" ht="12.75" customHeight="1" x14ac:dyDescent="0.2">
      <c r="A44" s="336"/>
      <c r="B44" s="338"/>
      <c r="C44" s="304" t="s">
        <v>0</v>
      </c>
      <c r="D44" s="312" t="s">
        <v>1</v>
      </c>
      <c r="E44" s="304" t="s">
        <v>0</v>
      </c>
      <c r="F44" s="312" t="s">
        <v>1</v>
      </c>
      <c r="G44" s="304" t="s">
        <v>0</v>
      </c>
      <c r="H44" s="312" t="s">
        <v>1</v>
      </c>
      <c r="I44" s="304" t="s">
        <v>0</v>
      </c>
      <c r="J44" s="312" t="s">
        <v>1</v>
      </c>
      <c r="K44" s="304" t="s">
        <v>0</v>
      </c>
      <c r="L44" s="312" t="s">
        <v>1</v>
      </c>
      <c r="M44" s="304" t="s">
        <v>0</v>
      </c>
      <c r="N44" s="312" t="s">
        <v>1</v>
      </c>
      <c r="O44" s="318"/>
    </row>
    <row r="45" spans="1:15" ht="12.75" customHeight="1" thickBot="1" x14ac:dyDescent="0.25">
      <c r="A45" s="2" t="s">
        <v>14</v>
      </c>
      <c r="B45" s="3" t="s">
        <v>15</v>
      </c>
      <c r="C45" s="2" t="s">
        <v>19</v>
      </c>
      <c r="D45" s="3" t="s">
        <v>15</v>
      </c>
      <c r="E45" s="2" t="s">
        <v>19</v>
      </c>
      <c r="F45" s="3" t="s">
        <v>15</v>
      </c>
      <c r="G45" s="2" t="s">
        <v>19</v>
      </c>
      <c r="H45" s="3" t="s">
        <v>15</v>
      </c>
      <c r="I45" s="2" t="s">
        <v>20</v>
      </c>
      <c r="J45" s="3" t="s">
        <v>15</v>
      </c>
      <c r="K45" s="2" t="s">
        <v>20</v>
      </c>
      <c r="L45" s="3" t="s">
        <v>15</v>
      </c>
      <c r="M45" s="2" t="s">
        <v>20</v>
      </c>
      <c r="N45" s="3" t="s">
        <v>15</v>
      </c>
      <c r="O45" s="318"/>
    </row>
    <row r="46" spans="1:15" ht="12.75" customHeight="1" x14ac:dyDescent="0.2">
      <c r="A46" s="4">
        <v>30</v>
      </c>
      <c r="B46" s="5">
        <v>15</v>
      </c>
      <c r="C46" s="305">
        <v>0.9385</v>
      </c>
      <c r="D46" s="302">
        <v>90.02</v>
      </c>
      <c r="E46" s="305">
        <v>0.247</v>
      </c>
      <c r="F46" s="302">
        <v>90.03</v>
      </c>
      <c r="G46" s="305">
        <v>0.98680000000000001</v>
      </c>
      <c r="H46" s="302">
        <v>0.02</v>
      </c>
      <c r="I46" s="305">
        <v>0.12720000000000001</v>
      </c>
      <c r="J46" s="302">
        <v>94.2</v>
      </c>
      <c r="K46" s="305">
        <v>0.248</v>
      </c>
      <c r="L46" s="302">
        <v>-91.42</v>
      </c>
      <c r="M46" s="305">
        <v>5.1299999999999998E-2</v>
      </c>
      <c r="N46" s="302">
        <v>-178.44</v>
      </c>
      <c r="O46" s="319"/>
    </row>
    <row r="47" spans="1:15" ht="12.75" customHeight="1" x14ac:dyDescent="0.2">
      <c r="A47" s="6">
        <v>28</v>
      </c>
      <c r="B47" s="7"/>
      <c r="C47" s="305">
        <v>0.93259999999999998</v>
      </c>
      <c r="D47" s="302">
        <v>90.01</v>
      </c>
      <c r="E47" s="305">
        <v>0.24340000000000001</v>
      </c>
      <c r="F47" s="302">
        <v>89.92</v>
      </c>
      <c r="G47" s="305">
        <v>0.98260000000000003</v>
      </c>
      <c r="H47" s="302">
        <v>0.03</v>
      </c>
      <c r="I47" s="305">
        <v>0.1822</v>
      </c>
      <c r="J47" s="302">
        <v>98.1</v>
      </c>
      <c r="K47" s="305">
        <v>0.28439999999999999</v>
      </c>
      <c r="L47" s="302">
        <v>-91.63</v>
      </c>
      <c r="M47" s="305">
        <v>5.8299999999999998E-2</v>
      </c>
      <c r="N47" s="302">
        <v>-177.88</v>
      </c>
      <c r="O47" s="319"/>
    </row>
    <row r="48" spans="1:15" ht="12.75" customHeight="1" x14ac:dyDescent="0.2">
      <c r="A48" s="6">
        <v>26</v>
      </c>
      <c r="B48" s="7"/>
      <c r="C48" s="305">
        <v>0.92479999999999996</v>
      </c>
      <c r="D48" s="302">
        <v>90</v>
      </c>
      <c r="E48" s="305">
        <v>0.2374</v>
      </c>
      <c r="F48" s="302">
        <v>89.2</v>
      </c>
      <c r="G48" s="305">
        <v>0.97650000000000003</v>
      </c>
      <c r="H48" s="302">
        <v>0.05</v>
      </c>
      <c r="I48" s="305">
        <v>0.31230000000000002</v>
      </c>
      <c r="J48" s="302">
        <v>111.21</v>
      </c>
      <c r="K48" s="305">
        <v>0.32929999999999998</v>
      </c>
      <c r="L48" s="302">
        <v>-91.89</v>
      </c>
      <c r="M48" s="305">
        <v>6.59E-2</v>
      </c>
      <c r="N48" s="302">
        <v>-176.7</v>
      </c>
      <c r="O48" s="319"/>
    </row>
    <row r="49" spans="1:15" ht="12.75" customHeight="1" x14ac:dyDescent="0.2">
      <c r="A49" s="6">
        <v>24</v>
      </c>
      <c r="B49" s="7"/>
      <c r="C49" s="305">
        <v>0.91410000000000002</v>
      </c>
      <c r="D49" s="302">
        <v>89.99</v>
      </c>
      <c r="E49" s="305">
        <v>0.24149999999999999</v>
      </c>
      <c r="F49" s="302">
        <v>86.03</v>
      </c>
      <c r="G49" s="305">
        <v>0.96760000000000002</v>
      </c>
      <c r="H49" s="302">
        <v>0.08</v>
      </c>
      <c r="I49" s="305">
        <v>0.50409999999999999</v>
      </c>
      <c r="J49" s="302">
        <v>168.21</v>
      </c>
      <c r="K49" s="305">
        <v>0.38529999999999998</v>
      </c>
      <c r="L49" s="302">
        <v>-92.22</v>
      </c>
      <c r="M49" s="305">
        <v>7.0699999999999999E-2</v>
      </c>
      <c r="N49" s="302">
        <v>-179.41</v>
      </c>
      <c r="O49" s="319"/>
    </row>
    <row r="50" spans="1:15" ht="12.75" customHeight="1" x14ac:dyDescent="0.2">
      <c r="A50" s="6">
        <v>22</v>
      </c>
      <c r="B50" s="7"/>
      <c r="C50" s="305">
        <v>0.89910000000000001</v>
      </c>
      <c r="D50" s="302">
        <v>89.96</v>
      </c>
      <c r="E50" s="305">
        <v>0.245</v>
      </c>
      <c r="F50" s="302">
        <v>88.6</v>
      </c>
      <c r="G50" s="305">
        <v>0.95399999999999996</v>
      </c>
      <c r="H50" s="302">
        <v>0.12</v>
      </c>
      <c r="I50" s="305">
        <v>0.2281</v>
      </c>
      <c r="J50" s="302">
        <v>-147.56</v>
      </c>
      <c r="K50" s="305">
        <v>0.45629999999999998</v>
      </c>
      <c r="L50" s="302">
        <v>-92.65</v>
      </c>
      <c r="M50" s="305">
        <v>8.8999999999999996E-2</v>
      </c>
      <c r="N50" s="302">
        <v>178.06</v>
      </c>
      <c r="O50" s="319"/>
    </row>
    <row r="51" spans="1:15" ht="12.75" customHeight="1" x14ac:dyDescent="0.2">
      <c r="A51" s="6">
        <v>20</v>
      </c>
      <c r="B51" s="7"/>
      <c r="C51" s="305">
        <v>0.877</v>
      </c>
      <c r="D51" s="302">
        <v>89.92</v>
      </c>
      <c r="E51" s="305">
        <v>0.2364</v>
      </c>
      <c r="F51" s="302">
        <v>89.43</v>
      </c>
      <c r="G51" s="305">
        <v>0.93230000000000002</v>
      </c>
      <c r="H51" s="302">
        <v>0.21</v>
      </c>
      <c r="I51" s="305">
        <v>0.1094</v>
      </c>
      <c r="J51" s="302">
        <v>-151.05000000000001</v>
      </c>
      <c r="K51" s="305">
        <v>0.54759999999999998</v>
      </c>
      <c r="L51" s="302">
        <v>-93.22</v>
      </c>
      <c r="M51" s="305">
        <v>0.1075</v>
      </c>
      <c r="N51" s="302">
        <v>178.85</v>
      </c>
      <c r="O51" s="319"/>
    </row>
    <row r="52" spans="1:15" ht="12.75" customHeight="1" x14ac:dyDescent="0.2">
      <c r="A52" s="6">
        <v>19</v>
      </c>
      <c r="B52" s="7"/>
      <c r="C52" s="305">
        <v>0.86209999999999998</v>
      </c>
      <c r="D52" s="302">
        <v>89.9</v>
      </c>
      <c r="E52" s="305">
        <v>0.23130000000000001</v>
      </c>
      <c r="F52" s="302">
        <v>89.6</v>
      </c>
      <c r="G52" s="305">
        <v>0.91659999999999997</v>
      </c>
      <c r="H52" s="302">
        <v>0.28999999999999998</v>
      </c>
      <c r="I52" s="305">
        <v>8.2500000000000004E-2</v>
      </c>
      <c r="J52" s="302">
        <v>-162.86000000000001</v>
      </c>
      <c r="K52" s="305">
        <v>0.60299999999999998</v>
      </c>
      <c r="L52" s="302">
        <v>-93.57</v>
      </c>
      <c r="M52" s="305">
        <v>0.1178</v>
      </c>
      <c r="N52" s="302">
        <v>179.12</v>
      </c>
      <c r="O52" s="319"/>
    </row>
    <row r="53" spans="1:15" ht="12.75" customHeight="1" x14ac:dyDescent="0.2">
      <c r="A53" s="6">
        <v>18</v>
      </c>
      <c r="B53" s="7"/>
      <c r="C53" s="305">
        <v>0.84360000000000002</v>
      </c>
      <c r="D53" s="302">
        <v>89.87</v>
      </c>
      <c r="E53" s="305">
        <v>0.22520000000000001</v>
      </c>
      <c r="F53" s="302">
        <v>89.72</v>
      </c>
      <c r="G53" s="305">
        <v>0.89610000000000001</v>
      </c>
      <c r="H53" s="302">
        <v>0.39</v>
      </c>
      <c r="I53" s="305">
        <v>6.9400000000000003E-2</v>
      </c>
      <c r="J53" s="302">
        <v>178.82</v>
      </c>
      <c r="K53" s="305">
        <v>0.66620000000000001</v>
      </c>
      <c r="L53" s="302">
        <v>-93.98</v>
      </c>
      <c r="M53" s="305">
        <v>0.12920000000000001</v>
      </c>
      <c r="N53" s="302">
        <v>179.32</v>
      </c>
      <c r="O53" s="319"/>
    </row>
    <row r="54" spans="1:15" ht="12.75" customHeight="1" x14ac:dyDescent="0.2">
      <c r="A54" s="6">
        <v>17</v>
      </c>
      <c r="B54" s="7"/>
      <c r="C54" s="305">
        <v>0.82030000000000003</v>
      </c>
      <c r="D54" s="302">
        <v>89.83</v>
      </c>
      <c r="E54" s="305">
        <v>0.21790000000000001</v>
      </c>
      <c r="F54" s="302">
        <v>89.81</v>
      </c>
      <c r="G54" s="305">
        <v>0.86880000000000002</v>
      </c>
      <c r="H54" s="302">
        <v>0.54</v>
      </c>
      <c r="I54" s="305">
        <v>6.9099999999999995E-2</v>
      </c>
      <c r="J54" s="302">
        <v>157.78</v>
      </c>
      <c r="K54" s="305">
        <v>0.73839999999999995</v>
      </c>
      <c r="L54" s="302">
        <v>-94.45</v>
      </c>
      <c r="M54" s="305">
        <v>0.14169999999999999</v>
      </c>
      <c r="N54" s="302">
        <v>179.48</v>
      </c>
      <c r="O54" s="319"/>
    </row>
    <row r="55" spans="1:15" ht="12.75" customHeight="1" x14ac:dyDescent="0.2">
      <c r="A55" s="6">
        <v>16</v>
      </c>
      <c r="B55" s="7"/>
      <c r="C55" s="305">
        <v>0.79069999999999996</v>
      </c>
      <c r="D55" s="302">
        <v>89.79</v>
      </c>
      <c r="E55" s="305">
        <v>0.2089</v>
      </c>
      <c r="F55" s="302">
        <v>89.9</v>
      </c>
      <c r="G55" s="305">
        <v>0.83189999999999997</v>
      </c>
      <c r="H55" s="302">
        <v>0.76</v>
      </c>
      <c r="I55" s="305">
        <v>7.9899999999999999E-2</v>
      </c>
      <c r="J55" s="302">
        <v>139.94999999999999</v>
      </c>
      <c r="K55" s="305">
        <v>0.8206</v>
      </c>
      <c r="L55" s="302">
        <v>-95.01</v>
      </c>
      <c r="M55" s="305">
        <v>0.15529999999999999</v>
      </c>
      <c r="N55" s="302">
        <v>179.64</v>
      </c>
      <c r="O55" s="319"/>
    </row>
    <row r="56" spans="1:15" ht="12.75" customHeight="1" x14ac:dyDescent="0.2">
      <c r="A56" s="6">
        <v>15</v>
      </c>
      <c r="B56" s="7"/>
      <c r="C56" s="305">
        <v>0.75280000000000002</v>
      </c>
      <c r="D56" s="302">
        <v>89.77</v>
      </c>
      <c r="E56" s="305">
        <v>0.19769999999999999</v>
      </c>
      <c r="F56" s="302">
        <v>90</v>
      </c>
      <c r="G56" s="305">
        <v>0.78100000000000003</v>
      </c>
      <c r="H56" s="302">
        <v>1.07</v>
      </c>
      <c r="I56" s="305">
        <v>9.9099999999999994E-2</v>
      </c>
      <c r="J56" s="302">
        <v>127.3</v>
      </c>
      <c r="K56" s="305">
        <v>0.9133</v>
      </c>
      <c r="L56" s="302">
        <v>-95.63</v>
      </c>
      <c r="M56" s="305">
        <v>0.16969999999999999</v>
      </c>
      <c r="N56" s="302">
        <v>179.81</v>
      </c>
      <c r="O56" s="319"/>
    </row>
    <row r="57" spans="1:15" ht="12.75" customHeight="1" x14ac:dyDescent="0.2">
      <c r="A57" s="6">
        <v>14</v>
      </c>
      <c r="B57" s="7"/>
      <c r="C57" s="305">
        <v>0.70369999999999999</v>
      </c>
      <c r="D57" s="302">
        <v>89.79</v>
      </c>
      <c r="E57" s="305">
        <v>0.1835</v>
      </c>
      <c r="F57" s="302">
        <v>90.15</v>
      </c>
      <c r="G57" s="305">
        <v>0.70950000000000002</v>
      </c>
      <c r="H57" s="302">
        <v>1.5</v>
      </c>
      <c r="I57" s="305">
        <v>0.12520000000000001</v>
      </c>
      <c r="J57" s="302">
        <v>118.63</v>
      </c>
      <c r="K57" s="305">
        <v>1.0156000000000001</v>
      </c>
      <c r="L57" s="302">
        <v>-96.3</v>
      </c>
      <c r="M57" s="305">
        <v>0.18440000000000001</v>
      </c>
      <c r="N57" s="302">
        <v>-179.97</v>
      </c>
      <c r="O57" s="319"/>
    </row>
    <row r="58" spans="1:15" ht="12.75" customHeight="1" x14ac:dyDescent="0.2">
      <c r="A58" s="6">
        <v>13</v>
      </c>
      <c r="B58" s="7"/>
      <c r="C58" s="305">
        <v>0.63919999999999999</v>
      </c>
      <c r="D58" s="302">
        <v>89.95</v>
      </c>
      <c r="E58" s="305">
        <v>0.1656</v>
      </c>
      <c r="F58" s="302">
        <v>90.45</v>
      </c>
      <c r="G58" s="305">
        <v>0.60719999999999996</v>
      </c>
      <c r="H58" s="302">
        <v>2.06</v>
      </c>
      <c r="I58" s="305">
        <v>0.15859999999999999</v>
      </c>
      <c r="J58" s="302">
        <v>112.47</v>
      </c>
      <c r="K58" s="305">
        <v>1.1224000000000001</v>
      </c>
      <c r="L58" s="302">
        <v>-96.92</v>
      </c>
      <c r="M58" s="305">
        <v>0.1978</v>
      </c>
      <c r="N58" s="302">
        <v>-179.66</v>
      </c>
      <c r="O58" s="319"/>
    </row>
    <row r="59" spans="1:15" ht="12.75" customHeight="1" x14ac:dyDescent="0.2">
      <c r="A59" s="6">
        <v>12</v>
      </c>
      <c r="B59" s="8"/>
      <c r="C59" s="305">
        <v>0.55320000000000003</v>
      </c>
      <c r="D59" s="302">
        <v>90.46</v>
      </c>
      <c r="E59" s="305">
        <v>0.14319999999999999</v>
      </c>
      <c r="F59" s="302">
        <v>91.2</v>
      </c>
      <c r="G59" s="305">
        <v>0.45810000000000001</v>
      </c>
      <c r="H59" s="302">
        <v>2.61</v>
      </c>
      <c r="I59" s="305">
        <v>0.2014</v>
      </c>
      <c r="J59" s="302">
        <v>107.91</v>
      </c>
      <c r="K59" s="305">
        <v>1.2176</v>
      </c>
      <c r="L59" s="302">
        <v>-97.25</v>
      </c>
      <c r="M59" s="305">
        <v>0.2074</v>
      </c>
      <c r="N59" s="302">
        <v>-179.14</v>
      </c>
      <c r="O59" s="319"/>
    </row>
    <row r="60" spans="1:15" ht="12.75" customHeight="1" x14ac:dyDescent="0.2">
      <c r="A60" s="6">
        <v>11</v>
      </c>
      <c r="B60" s="8"/>
      <c r="C60" s="305">
        <v>0.43709999999999999</v>
      </c>
      <c r="D60" s="302">
        <v>91.73</v>
      </c>
      <c r="E60" s="305">
        <v>0.1163</v>
      </c>
      <c r="F60" s="302">
        <v>93.45</v>
      </c>
      <c r="G60" s="305">
        <v>0.23230000000000001</v>
      </c>
      <c r="H60" s="302">
        <v>1.44</v>
      </c>
      <c r="I60" s="305">
        <v>0.25719999999999998</v>
      </c>
      <c r="J60" s="302">
        <v>104.73</v>
      </c>
      <c r="K60" s="305">
        <v>1.2557</v>
      </c>
      <c r="L60" s="302">
        <v>-96.77</v>
      </c>
      <c r="M60" s="305">
        <v>0.20810000000000001</v>
      </c>
      <c r="N60" s="302">
        <v>-178.15</v>
      </c>
      <c r="O60" s="319"/>
    </row>
    <row r="61" spans="1:15" ht="12.75" customHeight="1" x14ac:dyDescent="0.2">
      <c r="A61" s="6">
        <v>10</v>
      </c>
      <c r="B61" s="8"/>
      <c r="C61" s="305">
        <v>0.28070000000000001</v>
      </c>
      <c r="D61" s="302">
        <v>94.2</v>
      </c>
      <c r="E61" s="305">
        <v>8.6099999999999996E-2</v>
      </c>
      <c r="F61" s="302">
        <v>101.13</v>
      </c>
      <c r="G61" s="305">
        <v>0.1903</v>
      </c>
      <c r="H61" s="302">
        <v>-150.41</v>
      </c>
      <c r="I61" s="305">
        <v>0.3322</v>
      </c>
      <c r="J61" s="302">
        <v>103.92</v>
      </c>
      <c r="K61" s="305">
        <v>1.1102000000000001</v>
      </c>
      <c r="L61" s="302">
        <v>-93.9</v>
      </c>
      <c r="M61" s="305">
        <v>0.1928</v>
      </c>
      <c r="N61" s="302">
        <v>-175.9</v>
      </c>
      <c r="O61" s="319"/>
    </row>
    <row r="62" spans="1:15" ht="12.75" customHeight="1" x14ac:dyDescent="0.2">
      <c r="A62" s="6">
        <v>9.5</v>
      </c>
      <c r="B62" s="8"/>
      <c r="C62" s="305">
        <v>0.18090000000000001</v>
      </c>
      <c r="D62" s="302">
        <v>94.41</v>
      </c>
      <c r="E62" s="305">
        <v>7.1499999999999994E-2</v>
      </c>
      <c r="F62" s="302">
        <v>110.84</v>
      </c>
      <c r="G62" s="305">
        <v>0.63780000000000003</v>
      </c>
      <c r="H62" s="302">
        <v>-137.84</v>
      </c>
      <c r="I62" s="305">
        <v>0.37819999999999998</v>
      </c>
      <c r="J62" s="302">
        <v>105.44</v>
      </c>
      <c r="K62" s="305">
        <v>0.80579999999999996</v>
      </c>
      <c r="L62" s="302">
        <v>-89.79</v>
      </c>
      <c r="M62" s="305">
        <v>0.1767</v>
      </c>
      <c r="N62" s="302">
        <v>-173.46</v>
      </c>
      <c r="O62" s="319"/>
    </row>
    <row r="63" spans="1:15" ht="12.75" customHeight="1" x14ac:dyDescent="0.2">
      <c r="A63" s="6">
        <v>9</v>
      </c>
      <c r="B63" s="8"/>
      <c r="C63" s="305">
        <v>0.1033</v>
      </c>
      <c r="D63" s="302">
        <v>71.02</v>
      </c>
      <c r="E63" s="305">
        <v>6.0400000000000002E-2</v>
      </c>
      <c r="F63" s="302">
        <v>128.86000000000001</v>
      </c>
      <c r="G63" s="305">
        <v>0.99680000000000002</v>
      </c>
      <c r="H63" s="302">
        <v>-87.55</v>
      </c>
      <c r="I63" s="305">
        <v>0.42649999999999999</v>
      </c>
      <c r="J63" s="302">
        <v>109.45</v>
      </c>
      <c r="K63" s="305">
        <v>0.43869999999999998</v>
      </c>
      <c r="L63" s="302">
        <v>-143.31</v>
      </c>
      <c r="M63" s="305">
        <v>0.1547</v>
      </c>
      <c r="N63" s="302">
        <v>-168.68</v>
      </c>
      <c r="O63" s="319"/>
    </row>
    <row r="64" spans="1:15" ht="12.75" customHeight="1" x14ac:dyDescent="0.2">
      <c r="A64" s="6">
        <v>8.5</v>
      </c>
      <c r="B64" s="8"/>
      <c r="C64" s="305">
        <v>7.5700000000000003E-2</v>
      </c>
      <c r="D64" s="302">
        <v>50.02</v>
      </c>
      <c r="E64" s="305">
        <v>5.7500000000000002E-2</v>
      </c>
      <c r="F64" s="302">
        <v>156.52000000000001</v>
      </c>
      <c r="G64" s="305">
        <v>0.58540000000000003</v>
      </c>
      <c r="H64" s="302">
        <v>-53.73</v>
      </c>
      <c r="I64" s="305">
        <v>0.46460000000000001</v>
      </c>
      <c r="J64" s="302">
        <v>117.44</v>
      </c>
      <c r="K64" s="305">
        <v>0.76180000000000003</v>
      </c>
      <c r="L64" s="302">
        <v>-165.31</v>
      </c>
      <c r="M64" s="305">
        <v>0.1298</v>
      </c>
      <c r="N64" s="302">
        <v>-158.08000000000001</v>
      </c>
      <c r="O64" s="319"/>
    </row>
    <row r="65" spans="1:15" ht="12.75" customHeight="1" x14ac:dyDescent="0.2">
      <c r="A65" s="6">
        <v>8</v>
      </c>
      <c r="B65" s="8"/>
      <c r="C65" s="305">
        <v>6.5100000000000005E-2</v>
      </c>
      <c r="D65" s="302">
        <v>24.02</v>
      </c>
      <c r="E65" s="305">
        <v>6.3100000000000003E-2</v>
      </c>
      <c r="F65" s="302">
        <v>-173.52</v>
      </c>
      <c r="G65" s="305">
        <v>0.25559999999999999</v>
      </c>
      <c r="H65" s="302">
        <v>-43.6</v>
      </c>
      <c r="I65" s="305">
        <v>0.46260000000000001</v>
      </c>
      <c r="J65" s="302">
        <v>130.88</v>
      </c>
      <c r="K65" s="305">
        <v>1.0343</v>
      </c>
      <c r="L65" s="302">
        <v>-173.32</v>
      </c>
      <c r="M65" s="305">
        <v>0.11260000000000001</v>
      </c>
      <c r="N65" s="302">
        <v>-133.01</v>
      </c>
      <c r="O65" s="319"/>
    </row>
    <row r="66" spans="1:15" ht="12.75" customHeight="1" x14ac:dyDescent="0.2">
      <c r="A66" s="6">
        <v>7.5</v>
      </c>
      <c r="B66" s="8"/>
      <c r="C66" s="305">
        <v>4.87E-2</v>
      </c>
      <c r="D66" s="302">
        <v>33.54</v>
      </c>
      <c r="E66" s="305">
        <v>6.5000000000000002E-2</v>
      </c>
      <c r="F66" s="302">
        <v>-147.37</v>
      </c>
      <c r="G66" s="305">
        <v>7.5999999999999998E-2</v>
      </c>
      <c r="H66" s="302">
        <v>-75.11</v>
      </c>
      <c r="I66" s="305">
        <v>0.3856</v>
      </c>
      <c r="J66" s="302">
        <v>149.77000000000001</v>
      </c>
      <c r="K66" s="305">
        <v>1.0227999999999999</v>
      </c>
      <c r="L66" s="302">
        <v>-160.41</v>
      </c>
      <c r="M66" s="305">
        <v>0.127</v>
      </c>
      <c r="N66" s="302">
        <v>-85.01</v>
      </c>
      <c r="O66" s="319"/>
    </row>
    <row r="67" spans="1:15" ht="12.75" customHeight="1" x14ac:dyDescent="0.2">
      <c r="A67" s="6">
        <v>7</v>
      </c>
      <c r="B67" s="8"/>
      <c r="C67" s="305">
        <v>1.7600000000000001E-2</v>
      </c>
      <c r="D67" s="302">
        <v>22.05</v>
      </c>
      <c r="E67" s="305">
        <v>5.0900000000000001E-2</v>
      </c>
      <c r="F67" s="302">
        <v>-127.43</v>
      </c>
      <c r="G67" s="305">
        <v>2.3E-2</v>
      </c>
      <c r="H67" s="302">
        <v>-162.6</v>
      </c>
      <c r="I67" s="305">
        <v>0.27110000000000001</v>
      </c>
      <c r="J67" s="302">
        <v>173.35</v>
      </c>
      <c r="K67" s="305">
        <v>0.53359999999999996</v>
      </c>
      <c r="L67" s="302">
        <v>-158.16999999999999</v>
      </c>
      <c r="M67" s="305">
        <v>0.12590000000000001</v>
      </c>
      <c r="N67" s="302">
        <v>-31.83</v>
      </c>
      <c r="O67" s="319"/>
    </row>
    <row r="68" spans="1:15" ht="12.75" customHeight="1" x14ac:dyDescent="0.2">
      <c r="A68" s="6">
        <v>6.5</v>
      </c>
      <c r="B68" s="9"/>
      <c r="C68" s="305">
        <v>2.2499999999999999E-2</v>
      </c>
      <c r="D68" s="302">
        <v>-14.56</v>
      </c>
      <c r="E68" s="305">
        <v>3.6499999999999998E-2</v>
      </c>
      <c r="F68" s="302">
        <v>-88.69</v>
      </c>
      <c r="G68" s="305">
        <v>7.2400000000000006E-2</v>
      </c>
      <c r="H68" s="302">
        <v>129.11000000000001</v>
      </c>
      <c r="I68" s="305">
        <v>0.2223</v>
      </c>
      <c r="J68" s="302">
        <v>-125.11</v>
      </c>
      <c r="K68" s="305">
        <v>0.14019999999999999</v>
      </c>
      <c r="L68" s="302">
        <v>178.66</v>
      </c>
      <c r="M68" s="305">
        <v>6.7199999999999996E-2</v>
      </c>
      <c r="N68" s="302">
        <v>-6.92</v>
      </c>
      <c r="O68" s="319"/>
    </row>
    <row r="69" spans="1:15" ht="12.75" customHeight="1" x14ac:dyDescent="0.2">
      <c r="A69" s="6">
        <v>6</v>
      </c>
      <c r="B69" s="9"/>
      <c r="C69" s="305">
        <v>2.2700000000000001E-2</v>
      </c>
      <c r="D69" s="302">
        <v>-26.98</v>
      </c>
      <c r="E69" s="305">
        <v>3.5999999999999997E-2</v>
      </c>
      <c r="F69" s="302">
        <v>40.409999999999997</v>
      </c>
      <c r="G69" s="305">
        <v>5.1799999999999999E-2</v>
      </c>
      <c r="H69" s="302">
        <v>-169.73</v>
      </c>
      <c r="I69" s="305">
        <v>0.2422</v>
      </c>
      <c r="J69" s="302">
        <v>-6.88</v>
      </c>
      <c r="K69" s="305">
        <v>0.1149</v>
      </c>
      <c r="L69" s="302">
        <v>25.84</v>
      </c>
      <c r="M69" s="305">
        <v>1.95E-2</v>
      </c>
      <c r="N69" s="302">
        <v>-39.880000000000003</v>
      </c>
      <c r="O69" s="319"/>
    </row>
    <row r="70" spans="1:15" ht="12.75" customHeight="1" x14ac:dyDescent="0.2">
      <c r="A70" s="6">
        <v>5.5</v>
      </c>
      <c r="B70" s="9"/>
      <c r="C70" s="305">
        <v>7.6E-3</v>
      </c>
      <c r="D70" s="302">
        <v>-132.15</v>
      </c>
      <c r="E70" s="305">
        <v>2.07E-2</v>
      </c>
      <c r="F70" s="302">
        <v>103.32</v>
      </c>
      <c r="G70" s="305">
        <v>3.4599999999999999E-2</v>
      </c>
      <c r="H70" s="302">
        <v>-97.41</v>
      </c>
      <c r="I70" s="305">
        <v>0.12920000000000001</v>
      </c>
      <c r="J70" s="302">
        <v>43.12</v>
      </c>
      <c r="K70" s="305">
        <v>6.0499999999999998E-2</v>
      </c>
      <c r="L70" s="302">
        <v>0.82</v>
      </c>
      <c r="M70" s="305">
        <v>4.2299999999999997E-2</v>
      </c>
      <c r="N70" s="302">
        <v>30.39</v>
      </c>
      <c r="O70" s="319"/>
    </row>
    <row r="71" spans="1:15" ht="12.75" customHeight="1" x14ac:dyDescent="0.2">
      <c r="A71" s="6">
        <v>5</v>
      </c>
      <c r="B71" s="9"/>
      <c r="C71" s="305">
        <v>2.6200000000000001E-2</v>
      </c>
      <c r="D71" s="302">
        <v>161.37</v>
      </c>
      <c r="E71" s="305">
        <v>3.3799999999999997E-2</v>
      </c>
      <c r="F71" s="302">
        <v>121.43</v>
      </c>
      <c r="G71" s="305">
        <v>1.2500000000000001E-2</v>
      </c>
      <c r="H71" s="302">
        <v>-142.16999999999999</v>
      </c>
      <c r="I71" s="305">
        <v>9.35E-2</v>
      </c>
      <c r="J71" s="302">
        <v>90.8</v>
      </c>
      <c r="K71" s="305">
        <v>5.9799999999999999E-2</v>
      </c>
      <c r="L71" s="302">
        <v>174.08</v>
      </c>
      <c r="M71" s="305">
        <v>9.1000000000000004E-3</v>
      </c>
      <c r="N71" s="302">
        <v>-131.4</v>
      </c>
      <c r="O71" s="319"/>
    </row>
    <row r="72" spans="1:15" ht="12.75" customHeight="1" x14ac:dyDescent="0.2">
      <c r="A72" s="6">
        <v>4.5</v>
      </c>
      <c r="B72" s="9"/>
      <c r="C72" s="305">
        <v>2.18E-2</v>
      </c>
      <c r="D72" s="302">
        <v>11.76</v>
      </c>
      <c r="E72" s="305">
        <v>1.3599999999999999E-2</v>
      </c>
      <c r="F72" s="302">
        <v>8.58</v>
      </c>
      <c r="G72" s="305">
        <v>1.2999999999999999E-2</v>
      </c>
      <c r="H72" s="302">
        <v>16.11</v>
      </c>
      <c r="I72" s="305">
        <v>0.02</v>
      </c>
      <c r="J72" s="302">
        <v>-56.06</v>
      </c>
      <c r="K72" s="305">
        <v>3.2500000000000001E-2</v>
      </c>
      <c r="L72" s="302">
        <v>26.77</v>
      </c>
      <c r="M72" s="305">
        <v>2.5000000000000001E-2</v>
      </c>
      <c r="N72" s="302">
        <v>-112.85</v>
      </c>
      <c r="O72" s="319"/>
    </row>
    <row r="73" spans="1:15" ht="12.75" customHeight="1" x14ac:dyDescent="0.2">
      <c r="A73" s="6">
        <v>4</v>
      </c>
      <c r="B73" s="9"/>
      <c r="C73" s="305">
        <v>1.18E-2</v>
      </c>
      <c r="D73" s="302">
        <v>175.5</v>
      </c>
      <c r="E73" s="305">
        <v>4.3E-3</v>
      </c>
      <c r="F73" s="302">
        <v>52.58</v>
      </c>
      <c r="G73" s="305">
        <v>7.0000000000000001E-3</v>
      </c>
      <c r="H73" s="302">
        <v>169.96</v>
      </c>
      <c r="I73" s="305">
        <v>2.7400000000000001E-2</v>
      </c>
      <c r="J73" s="302">
        <v>-3.79</v>
      </c>
      <c r="K73" s="305">
        <v>2.4299999999999999E-2</v>
      </c>
      <c r="L73" s="302">
        <v>170.07</v>
      </c>
      <c r="M73" s="305">
        <v>4.1000000000000003E-3</v>
      </c>
      <c r="N73" s="302">
        <v>47.08</v>
      </c>
      <c r="O73" s="319"/>
    </row>
    <row r="74" spans="1:15" ht="12.75" customHeight="1" x14ac:dyDescent="0.2">
      <c r="A74" s="6">
        <v>3.5</v>
      </c>
      <c r="B74" s="9"/>
      <c r="C74" s="305">
        <v>5.7999999999999996E-3</v>
      </c>
      <c r="D74" s="302">
        <v>-164.67</v>
      </c>
      <c r="E74" s="305">
        <v>3.3999999999999998E-3</v>
      </c>
      <c r="F74" s="302">
        <v>-76.87</v>
      </c>
      <c r="G74" s="305">
        <v>8.0000000000000004E-4</v>
      </c>
      <c r="H74" s="302">
        <v>-161.24</v>
      </c>
      <c r="I74" s="305">
        <v>1.5900000000000001E-2</v>
      </c>
      <c r="J74" s="302">
        <v>-131.85</v>
      </c>
      <c r="K74" s="305">
        <v>9.7000000000000003E-3</v>
      </c>
      <c r="L74" s="302">
        <v>-168.37</v>
      </c>
      <c r="M74" s="305">
        <v>3.2000000000000002E-3</v>
      </c>
      <c r="N74" s="302">
        <v>-38.799999999999997</v>
      </c>
      <c r="O74" s="319"/>
    </row>
    <row r="75" spans="1:15" ht="12.75" customHeight="1" x14ac:dyDescent="0.2">
      <c r="A75" s="6">
        <v>3.24</v>
      </c>
      <c r="B75" s="9"/>
      <c r="C75" s="305">
        <v>7.1999999999999998E-3</v>
      </c>
      <c r="D75" s="302">
        <v>-31.62</v>
      </c>
      <c r="E75" s="305">
        <v>2E-3</v>
      </c>
      <c r="F75" s="302">
        <v>-65.849999999999994</v>
      </c>
      <c r="G75" s="305">
        <v>2.7000000000000001E-3</v>
      </c>
      <c r="H75" s="302">
        <v>-32.85</v>
      </c>
      <c r="I75" s="305">
        <v>2.8E-3</v>
      </c>
      <c r="J75" s="302">
        <v>51.38</v>
      </c>
      <c r="K75" s="305">
        <v>8.0999999999999996E-3</v>
      </c>
      <c r="L75" s="302">
        <v>-51.18</v>
      </c>
      <c r="M75" s="305">
        <v>3.3999999999999998E-3</v>
      </c>
      <c r="N75" s="302">
        <v>99.63</v>
      </c>
      <c r="O75" s="319"/>
    </row>
    <row r="76" spans="1:15" ht="12.75" customHeight="1" x14ac:dyDescent="0.2">
      <c r="A76" s="6">
        <v>0</v>
      </c>
      <c r="B76" s="9"/>
      <c r="C76" s="305">
        <v>0</v>
      </c>
      <c r="D76" s="302">
        <v>0</v>
      </c>
      <c r="E76" s="305">
        <v>0</v>
      </c>
      <c r="F76" s="302">
        <v>0</v>
      </c>
      <c r="G76" s="305">
        <v>0</v>
      </c>
      <c r="H76" s="302">
        <v>0</v>
      </c>
      <c r="I76" s="305">
        <v>0</v>
      </c>
      <c r="J76" s="302">
        <v>0</v>
      </c>
      <c r="K76" s="305">
        <v>0</v>
      </c>
      <c r="L76" s="302">
        <v>0</v>
      </c>
      <c r="M76" s="305">
        <v>0</v>
      </c>
      <c r="N76" s="302">
        <v>0</v>
      </c>
      <c r="O76" s="319"/>
    </row>
    <row r="77" spans="1:15" ht="12.75" customHeight="1" x14ac:dyDescent="0.2">
      <c r="A77" s="6">
        <v>0</v>
      </c>
      <c r="B77" s="9"/>
      <c r="C77" s="305">
        <v>0</v>
      </c>
      <c r="D77" s="302">
        <v>0</v>
      </c>
      <c r="E77" s="305">
        <v>0</v>
      </c>
      <c r="F77" s="302">
        <v>0</v>
      </c>
      <c r="G77" s="305">
        <v>0</v>
      </c>
      <c r="H77" s="302">
        <v>0</v>
      </c>
      <c r="I77" s="305">
        <v>0</v>
      </c>
      <c r="J77" s="302">
        <v>0</v>
      </c>
      <c r="K77" s="305">
        <v>0</v>
      </c>
      <c r="L77" s="302">
        <v>0</v>
      </c>
      <c r="M77" s="305">
        <v>0</v>
      </c>
      <c r="N77" s="302">
        <v>0</v>
      </c>
      <c r="O77" s="319"/>
    </row>
    <row r="78" spans="1:15" ht="12.75" customHeight="1" x14ac:dyDescent="0.2">
      <c r="A78" s="6">
        <v>0</v>
      </c>
      <c r="B78" s="9"/>
      <c r="C78" s="305">
        <v>0</v>
      </c>
      <c r="D78" s="302">
        <v>0</v>
      </c>
      <c r="E78" s="305">
        <v>0</v>
      </c>
      <c r="F78" s="302">
        <v>0</v>
      </c>
      <c r="G78" s="305">
        <v>0</v>
      </c>
      <c r="H78" s="302">
        <v>0</v>
      </c>
      <c r="I78" s="305">
        <v>0</v>
      </c>
      <c r="J78" s="302">
        <v>0</v>
      </c>
      <c r="K78" s="305">
        <v>0</v>
      </c>
      <c r="L78" s="302">
        <v>0</v>
      </c>
      <c r="M78" s="305">
        <v>0</v>
      </c>
      <c r="N78" s="302">
        <v>0</v>
      </c>
      <c r="O78" s="319"/>
    </row>
    <row r="79" spans="1:15" ht="12.75" customHeight="1" x14ac:dyDescent="0.2">
      <c r="A79" s="6">
        <v>0</v>
      </c>
      <c r="B79" s="9"/>
      <c r="C79" s="305">
        <v>0</v>
      </c>
      <c r="D79" s="302">
        <v>0</v>
      </c>
      <c r="E79" s="305">
        <v>0</v>
      </c>
      <c r="F79" s="302">
        <v>0</v>
      </c>
      <c r="G79" s="305">
        <v>0</v>
      </c>
      <c r="H79" s="302">
        <v>0</v>
      </c>
      <c r="I79" s="305">
        <v>0</v>
      </c>
      <c r="J79" s="302">
        <v>0</v>
      </c>
      <c r="K79" s="305">
        <v>0</v>
      </c>
      <c r="L79" s="302">
        <v>0</v>
      </c>
      <c r="M79" s="305">
        <v>0</v>
      </c>
      <c r="N79" s="302">
        <v>0</v>
      </c>
      <c r="O79" s="319"/>
    </row>
    <row r="80" spans="1:15" ht="12.75" customHeight="1" thickBot="1" x14ac:dyDescent="0.25">
      <c r="A80" s="10">
        <v>0</v>
      </c>
      <c r="B80" s="11"/>
      <c r="C80" s="12">
        <v>0</v>
      </c>
      <c r="D80" s="13">
        <v>0</v>
      </c>
      <c r="E80" s="12">
        <v>0</v>
      </c>
      <c r="F80" s="13">
        <v>0</v>
      </c>
      <c r="G80" s="12">
        <v>0</v>
      </c>
      <c r="H80" s="13">
        <v>0</v>
      </c>
      <c r="I80" s="12">
        <v>0</v>
      </c>
      <c r="J80" s="13">
        <v>0</v>
      </c>
      <c r="K80" s="12">
        <v>0</v>
      </c>
      <c r="L80" s="13">
        <v>0</v>
      </c>
      <c r="M80" s="12">
        <v>0</v>
      </c>
      <c r="N80" s="13">
        <v>0</v>
      </c>
      <c r="O80" s="319"/>
    </row>
    <row r="81" spans="1:15" ht="20.100000000000001" customHeight="1" x14ac:dyDescent="0.25">
      <c r="A81" s="333" t="str">
        <f>A41</f>
        <v>Paragon DPDS2</v>
      </c>
      <c r="B81" s="333"/>
      <c r="C81" s="333"/>
      <c r="D81" s="333"/>
      <c r="E81" s="333"/>
      <c r="F81" s="333"/>
      <c r="G81" s="333"/>
      <c r="H81" s="333"/>
      <c r="I81" s="333"/>
      <c r="J81" s="333"/>
      <c r="K81" s="333"/>
      <c r="L81" s="333"/>
      <c r="M81" s="333"/>
      <c r="N81" s="333"/>
      <c r="O81" s="311"/>
    </row>
    <row r="82" spans="1:15" ht="20.100000000000001" customHeight="1" thickBot="1" x14ac:dyDescent="0.3">
      <c r="A82" s="334" t="s">
        <v>5</v>
      </c>
      <c r="B82" s="334"/>
      <c r="C82" s="334"/>
      <c r="D82" s="334"/>
      <c r="E82" s="334"/>
      <c r="F82" s="334"/>
      <c r="G82" s="334"/>
      <c r="H82" s="334"/>
      <c r="I82" s="334"/>
      <c r="J82" s="334"/>
      <c r="K82" s="334"/>
      <c r="L82" s="334"/>
      <c r="M82" s="334"/>
      <c r="N82" s="334"/>
      <c r="O82" s="317"/>
    </row>
    <row r="83" spans="1:15" ht="12.75" customHeight="1" x14ac:dyDescent="0.2">
      <c r="A83" s="335" t="s">
        <v>12</v>
      </c>
      <c r="B83" s="337" t="s">
        <v>13</v>
      </c>
      <c r="C83" s="339" t="s">
        <v>6</v>
      </c>
      <c r="D83" s="340"/>
      <c r="E83" s="339" t="s">
        <v>7</v>
      </c>
      <c r="F83" s="340"/>
      <c r="G83" s="339" t="s">
        <v>8</v>
      </c>
      <c r="H83" s="340"/>
      <c r="I83" s="339" t="s">
        <v>9</v>
      </c>
      <c r="J83" s="340"/>
      <c r="K83" s="339" t="s">
        <v>10</v>
      </c>
      <c r="L83" s="340"/>
      <c r="M83" s="339" t="s">
        <v>11</v>
      </c>
      <c r="N83" s="340"/>
      <c r="O83" s="318"/>
    </row>
    <row r="84" spans="1:15" ht="12.75" customHeight="1" x14ac:dyDescent="0.2">
      <c r="A84" s="336"/>
      <c r="B84" s="338"/>
      <c r="C84" s="304" t="s">
        <v>0</v>
      </c>
      <c r="D84" s="312" t="s">
        <v>1</v>
      </c>
      <c r="E84" s="304" t="s">
        <v>0</v>
      </c>
      <c r="F84" s="312" t="s">
        <v>1</v>
      </c>
      <c r="G84" s="304" t="s">
        <v>0</v>
      </c>
      <c r="H84" s="312" t="s">
        <v>1</v>
      </c>
      <c r="I84" s="304" t="s">
        <v>0</v>
      </c>
      <c r="J84" s="312" t="s">
        <v>1</v>
      </c>
      <c r="K84" s="304" t="s">
        <v>0</v>
      </c>
      <c r="L84" s="312" t="s">
        <v>1</v>
      </c>
      <c r="M84" s="304" t="s">
        <v>0</v>
      </c>
      <c r="N84" s="312" t="s">
        <v>1</v>
      </c>
      <c r="O84" s="318"/>
    </row>
    <row r="85" spans="1:15" ht="12.75" customHeight="1" thickBot="1" x14ac:dyDescent="0.25">
      <c r="A85" s="2" t="s">
        <v>14</v>
      </c>
      <c r="B85" s="3" t="s">
        <v>15</v>
      </c>
      <c r="C85" s="2" t="s">
        <v>19</v>
      </c>
      <c r="D85" s="3" t="s">
        <v>15</v>
      </c>
      <c r="E85" s="2" t="s">
        <v>19</v>
      </c>
      <c r="F85" s="3" t="s">
        <v>15</v>
      </c>
      <c r="G85" s="2" t="s">
        <v>19</v>
      </c>
      <c r="H85" s="3" t="s">
        <v>15</v>
      </c>
      <c r="I85" s="2" t="s">
        <v>20</v>
      </c>
      <c r="J85" s="3" t="s">
        <v>15</v>
      </c>
      <c r="K85" s="2" t="s">
        <v>20</v>
      </c>
      <c r="L85" s="3" t="s">
        <v>15</v>
      </c>
      <c r="M85" s="2" t="s">
        <v>20</v>
      </c>
      <c r="N85" s="3" t="s">
        <v>15</v>
      </c>
      <c r="O85" s="318"/>
    </row>
    <row r="86" spans="1:15" ht="12.75" customHeight="1" x14ac:dyDescent="0.2">
      <c r="A86" s="4">
        <v>30</v>
      </c>
      <c r="B86" s="5">
        <v>30</v>
      </c>
      <c r="C86" s="305">
        <v>0.84319999999999995</v>
      </c>
      <c r="D86" s="302">
        <v>90.03</v>
      </c>
      <c r="E86" s="305">
        <v>0.47810000000000002</v>
      </c>
      <c r="F86" s="302">
        <v>90</v>
      </c>
      <c r="G86" s="305">
        <v>0.98960000000000004</v>
      </c>
      <c r="H86" s="302">
        <v>0.02</v>
      </c>
      <c r="I86" s="305">
        <v>0.24709999999999999</v>
      </c>
      <c r="J86" s="302">
        <v>95.21</v>
      </c>
      <c r="K86" s="305">
        <v>0.2228</v>
      </c>
      <c r="L86" s="302">
        <v>-91.31</v>
      </c>
      <c r="M86" s="305">
        <v>8.8900000000000007E-2</v>
      </c>
      <c r="N86" s="302">
        <v>-178.24</v>
      </c>
      <c r="O86" s="319"/>
    </row>
    <row r="87" spans="1:15" ht="12.75" customHeight="1" x14ac:dyDescent="0.2">
      <c r="A87" s="6">
        <v>28</v>
      </c>
      <c r="B87" s="7"/>
      <c r="C87" s="305">
        <v>0.83850000000000002</v>
      </c>
      <c r="D87" s="302">
        <v>90.02</v>
      </c>
      <c r="E87" s="305">
        <v>0.47160000000000002</v>
      </c>
      <c r="F87" s="302">
        <v>89.87</v>
      </c>
      <c r="G87" s="305">
        <v>0.98640000000000005</v>
      </c>
      <c r="H87" s="302">
        <v>0.03</v>
      </c>
      <c r="I87" s="305">
        <v>0.35449999999999998</v>
      </c>
      <c r="J87" s="302">
        <v>99.37</v>
      </c>
      <c r="K87" s="305">
        <v>0.25559999999999999</v>
      </c>
      <c r="L87" s="302">
        <v>-91.5</v>
      </c>
      <c r="M87" s="305">
        <v>0.10100000000000001</v>
      </c>
      <c r="N87" s="302">
        <v>-177.62</v>
      </c>
      <c r="O87" s="319"/>
    </row>
    <row r="88" spans="1:15" ht="12.75" customHeight="1" x14ac:dyDescent="0.2">
      <c r="A88" s="6">
        <v>26</v>
      </c>
      <c r="B88" s="7"/>
      <c r="C88" s="305">
        <v>0.83220000000000005</v>
      </c>
      <c r="D88" s="302">
        <v>90.01</v>
      </c>
      <c r="E88" s="305">
        <v>0.46039999999999998</v>
      </c>
      <c r="F88" s="302">
        <v>89.11</v>
      </c>
      <c r="G88" s="305">
        <v>0.98160000000000003</v>
      </c>
      <c r="H88" s="302">
        <v>0.04</v>
      </c>
      <c r="I88" s="305">
        <v>0.60929999999999995</v>
      </c>
      <c r="J88" s="302">
        <v>112.86</v>
      </c>
      <c r="K88" s="305">
        <v>0.29609999999999997</v>
      </c>
      <c r="L88" s="302">
        <v>-91.74</v>
      </c>
      <c r="M88" s="305">
        <v>0.1138</v>
      </c>
      <c r="N88" s="302">
        <v>-176.3</v>
      </c>
      <c r="O88" s="319"/>
    </row>
    <row r="89" spans="1:15" ht="12.75" customHeight="1" x14ac:dyDescent="0.2">
      <c r="A89" s="6">
        <v>24</v>
      </c>
      <c r="B89" s="7"/>
      <c r="C89" s="305">
        <v>0.82379999999999998</v>
      </c>
      <c r="D89" s="302">
        <v>90</v>
      </c>
      <c r="E89" s="305">
        <v>0.47039999999999998</v>
      </c>
      <c r="F89" s="302">
        <v>85.95</v>
      </c>
      <c r="G89" s="305">
        <v>0.97470000000000001</v>
      </c>
      <c r="H89" s="302">
        <v>7.0000000000000007E-2</v>
      </c>
      <c r="I89" s="305">
        <v>0.9869</v>
      </c>
      <c r="J89" s="302">
        <v>170.49</v>
      </c>
      <c r="K89" s="305">
        <v>0.34689999999999999</v>
      </c>
      <c r="L89" s="302">
        <v>-92.05</v>
      </c>
      <c r="M89" s="305">
        <v>0.1211</v>
      </c>
      <c r="N89" s="302">
        <v>-179.59</v>
      </c>
      <c r="O89" s="319"/>
    </row>
    <row r="90" spans="1:15" ht="12.75" customHeight="1" x14ac:dyDescent="0.2">
      <c r="A90" s="6">
        <v>22</v>
      </c>
      <c r="B90" s="7"/>
      <c r="C90" s="305">
        <v>0.81200000000000006</v>
      </c>
      <c r="D90" s="302">
        <v>89.97</v>
      </c>
      <c r="E90" s="305">
        <v>0.47760000000000002</v>
      </c>
      <c r="F90" s="302">
        <v>88.62</v>
      </c>
      <c r="G90" s="305">
        <v>0.96399999999999997</v>
      </c>
      <c r="H90" s="302">
        <v>0.11</v>
      </c>
      <c r="I90" s="305">
        <v>0.4481</v>
      </c>
      <c r="J90" s="302">
        <v>-144.12</v>
      </c>
      <c r="K90" s="305">
        <v>0.41160000000000002</v>
      </c>
      <c r="L90" s="302">
        <v>-92.45</v>
      </c>
      <c r="M90" s="305">
        <v>0.1547</v>
      </c>
      <c r="N90" s="302">
        <v>177.7</v>
      </c>
      <c r="O90" s="319"/>
    </row>
    <row r="91" spans="1:15" ht="12.75" customHeight="1" x14ac:dyDescent="0.2">
      <c r="A91" s="6">
        <v>20</v>
      </c>
      <c r="B91" s="7"/>
      <c r="C91" s="305">
        <v>0.79490000000000005</v>
      </c>
      <c r="D91" s="302">
        <v>89.94</v>
      </c>
      <c r="E91" s="305">
        <v>0.4622</v>
      </c>
      <c r="F91" s="302">
        <v>89.45</v>
      </c>
      <c r="G91" s="305">
        <v>0.94710000000000005</v>
      </c>
      <c r="H91" s="302">
        <v>0.18</v>
      </c>
      <c r="I91" s="305">
        <v>0.21329999999999999</v>
      </c>
      <c r="J91" s="302">
        <v>-145.24</v>
      </c>
      <c r="K91" s="305">
        <v>0.49540000000000001</v>
      </c>
      <c r="L91" s="302">
        <v>-92.97</v>
      </c>
      <c r="M91" s="305">
        <v>0.18759999999999999</v>
      </c>
      <c r="N91" s="302">
        <v>178.65</v>
      </c>
      <c r="O91" s="319"/>
    </row>
    <row r="92" spans="1:15" ht="12.75" customHeight="1" x14ac:dyDescent="0.2">
      <c r="A92" s="6">
        <v>19</v>
      </c>
      <c r="B92" s="7"/>
      <c r="C92" s="305">
        <v>0.7833</v>
      </c>
      <c r="D92" s="302">
        <v>89.91</v>
      </c>
      <c r="E92" s="305">
        <v>0.45329999999999998</v>
      </c>
      <c r="F92" s="302">
        <v>89.61</v>
      </c>
      <c r="G92" s="305">
        <v>0.93489999999999995</v>
      </c>
      <c r="H92" s="302">
        <v>0.24</v>
      </c>
      <c r="I92" s="305">
        <v>0.1573</v>
      </c>
      <c r="J92" s="302">
        <v>-155.35</v>
      </c>
      <c r="K92" s="305">
        <v>0.54659999999999997</v>
      </c>
      <c r="L92" s="302">
        <v>-93.3</v>
      </c>
      <c r="M92" s="305">
        <v>0.20610000000000001</v>
      </c>
      <c r="N92" s="302">
        <v>178.95</v>
      </c>
      <c r="O92" s="319"/>
    </row>
    <row r="93" spans="1:15" ht="12.75" customHeight="1" x14ac:dyDescent="0.2">
      <c r="A93" s="6">
        <v>18</v>
      </c>
      <c r="B93" s="7"/>
      <c r="C93" s="305">
        <v>0.76910000000000001</v>
      </c>
      <c r="D93" s="302">
        <v>89.88</v>
      </c>
      <c r="E93" s="305">
        <v>0.44290000000000002</v>
      </c>
      <c r="F93" s="302">
        <v>89.72</v>
      </c>
      <c r="G93" s="305">
        <v>0.91879999999999995</v>
      </c>
      <c r="H93" s="302">
        <v>0.33</v>
      </c>
      <c r="I93" s="305">
        <v>0.12590000000000001</v>
      </c>
      <c r="J93" s="302">
        <v>-172.6</v>
      </c>
      <c r="K93" s="305">
        <v>0.60570000000000002</v>
      </c>
      <c r="L93" s="302">
        <v>-93.68</v>
      </c>
      <c r="M93" s="305">
        <v>0.22650000000000001</v>
      </c>
      <c r="N93" s="302">
        <v>179.17</v>
      </c>
      <c r="O93" s="319"/>
    </row>
    <row r="94" spans="1:15" ht="12.75" customHeight="1" x14ac:dyDescent="0.2">
      <c r="A94" s="6">
        <v>17</v>
      </c>
      <c r="B94" s="7"/>
      <c r="C94" s="305">
        <v>0.75109999999999999</v>
      </c>
      <c r="D94" s="302">
        <v>89.84</v>
      </c>
      <c r="E94" s="305">
        <v>0.4304</v>
      </c>
      <c r="F94" s="302">
        <v>89.8</v>
      </c>
      <c r="G94" s="305">
        <v>0.89749999999999996</v>
      </c>
      <c r="H94" s="302">
        <v>0.46</v>
      </c>
      <c r="I94" s="305">
        <v>0.1188</v>
      </c>
      <c r="J94" s="302">
        <v>165.18</v>
      </c>
      <c r="K94" s="305">
        <v>0.67379999999999995</v>
      </c>
      <c r="L94" s="302">
        <v>-94.12</v>
      </c>
      <c r="M94" s="305">
        <v>0.2492</v>
      </c>
      <c r="N94" s="302">
        <v>179.36</v>
      </c>
      <c r="O94" s="319"/>
    </row>
    <row r="95" spans="1:15" ht="12.75" customHeight="1" x14ac:dyDescent="0.2">
      <c r="A95" s="6">
        <v>16</v>
      </c>
      <c r="B95" s="7"/>
      <c r="C95" s="305">
        <v>0.72850000000000004</v>
      </c>
      <c r="D95" s="302">
        <v>89.79</v>
      </c>
      <c r="E95" s="305">
        <v>0.41510000000000002</v>
      </c>
      <c r="F95" s="302">
        <v>89.87</v>
      </c>
      <c r="G95" s="305">
        <v>0.86860000000000004</v>
      </c>
      <c r="H95" s="302">
        <v>0.65</v>
      </c>
      <c r="I95" s="305">
        <v>0.13420000000000001</v>
      </c>
      <c r="J95" s="302">
        <v>144.81</v>
      </c>
      <c r="K95" s="305">
        <v>0.75270000000000004</v>
      </c>
      <c r="L95" s="302">
        <v>-94.64</v>
      </c>
      <c r="M95" s="305">
        <v>0.2742</v>
      </c>
      <c r="N95" s="302">
        <v>179.52</v>
      </c>
      <c r="O95" s="319"/>
    </row>
    <row r="96" spans="1:15" ht="12.75" customHeight="1" x14ac:dyDescent="0.2">
      <c r="A96" s="6">
        <v>15</v>
      </c>
      <c r="B96" s="7"/>
      <c r="C96" s="305">
        <v>0.69950000000000001</v>
      </c>
      <c r="D96" s="302">
        <v>89.75</v>
      </c>
      <c r="E96" s="305">
        <v>0.39589999999999997</v>
      </c>
      <c r="F96" s="302">
        <v>89.93</v>
      </c>
      <c r="G96" s="305">
        <v>0.8286</v>
      </c>
      <c r="H96" s="302">
        <v>0.93</v>
      </c>
      <c r="I96" s="305">
        <v>0.16689999999999999</v>
      </c>
      <c r="J96" s="302">
        <v>130.22</v>
      </c>
      <c r="K96" s="305">
        <v>0.84389999999999998</v>
      </c>
      <c r="L96" s="302">
        <v>-95.23</v>
      </c>
      <c r="M96" s="305">
        <v>0.30159999999999998</v>
      </c>
      <c r="N96" s="302">
        <v>179.69</v>
      </c>
      <c r="O96" s="319"/>
    </row>
    <row r="97" spans="1:15" ht="12.75" customHeight="1" x14ac:dyDescent="0.2">
      <c r="A97" s="6">
        <v>14</v>
      </c>
      <c r="B97" s="7"/>
      <c r="C97" s="305">
        <v>0.66200000000000003</v>
      </c>
      <c r="D97" s="302">
        <v>89.75</v>
      </c>
      <c r="E97" s="305">
        <v>0.37169999999999997</v>
      </c>
      <c r="F97" s="302">
        <v>90.03</v>
      </c>
      <c r="G97" s="305">
        <v>0.7722</v>
      </c>
      <c r="H97" s="302">
        <v>1.32</v>
      </c>
      <c r="I97" s="305">
        <v>0.21329999999999999</v>
      </c>
      <c r="J97" s="302">
        <v>120.48</v>
      </c>
      <c r="K97" s="305">
        <v>0.94840000000000002</v>
      </c>
      <c r="L97" s="302">
        <v>-95.86</v>
      </c>
      <c r="M97" s="305">
        <v>0.33029999999999998</v>
      </c>
      <c r="N97" s="302">
        <v>179.88</v>
      </c>
      <c r="O97" s="319"/>
    </row>
    <row r="98" spans="1:15" ht="12.75" customHeight="1" x14ac:dyDescent="0.2">
      <c r="A98" s="6">
        <v>13</v>
      </c>
      <c r="B98" s="7"/>
      <c r="C98" s="305">
        <v>0.61270000000000002</v>
      </c>
      <c r="D98" s="302">
        <v>89.86</v>
      </c>
      <c r="E98" s="305">
        <v>0.34089999999999998</v>
      </c>
      <c r="F98" s="302">
        <v>90.22</v>
      </c>
      <c r="G98" s="305">
        <v>0.69120000000000004</v>
      </c>
      <c r="H98" s="302">
        <v>1.89</v>
      </c>
      <c r="I98" s="305">
        <v>0.27310000000000001</v>
      </c>
      <c r="J98" s="302">
        <v>113.78</v>
      </c>
      <c r="K98" s="305">
        <v>1.0652999999999999</v>
      </c>
      <c r="L98" s="302">
        <v>-96.45</v>
      </c>
      <c r="M98" s="305">
        <v>0.35880000000000001</v>
      </c>
      <c r="N98" s="302">
        <v>-179.84</v>
      </c>
      <c r="O98" s="319"/>
    </row>
    <row r="99" spans="1:15" ht="12.75" customHeight="1" x14ac:dyDescent="0.2">
      <c r="A99" s="6">
        <v>12</v>
      </c>
      <c r="B99" s="8"/>
      <c r="C99" s="305">
        <v>0.54649999999999999</v>
      </c>
      <c r="D99" s="302">
        <v>90.3</v>
      </c>
      <c r="E99" s="305">
        <v>0.30199999999999999</v>
      </c>
      <c r="F99" s="302">
        <v>90.71</v>
      </c>
      <c r="G99" s="305">
        <v>0.57250000000000001</v>
      </c>
      <c r="H99" s="302">
        <v>2.69</v>
      </c>
      <c r="I99" s="305">
        <v>0.35</v>
      </c>
      <c r="J99" s="302">
        <v>108.91</v>
      </c>
      <c r="K99" s="305">
        <v>1.1871</v>
      </c>
      <c r="L99" s="302">
        <v>-96.76</v>
      </c>
      <c r="M99" s="305">
        <v>0.38300000000000001</v>
      </c>
      <c r="N99" s="302">
        <v>-179.4</v>
      </c>
      <c r="O99" s="319"/>
    </row>
    <row r="100" spans="1:15" ht="12.75" customHeight="1" x14ac:dyDescent="0.2">
      <c r="A100" s="6">
        <v>11</v>
      </c>
      <c r="B100" s="8"/>
      <c r="C100" s="305">
        <v>0.4556</v>
      </c>
      <c r="D100" s="302">
        <v>91.44</v>
      </c>
      <c r="E100" s="305">
        <v>0.254</v>
      </c>
      <c r="F100" s="302">
        <v>92.22</v>
      </c>
      <c r="G100" s="305">
        <v>0.39219999999999999</v>
      </c>
      <c r="H100" s="302">
        <v>4.1100000000000003</v>
      </c>
      <c r="I100" s="305">
        <v>0.45140000000000002</v>
      </c>
      <c r="J100" s="302">
        <v>105.46</v>
      </c>
      <c r="K100" s="305">
        <v>1.286</v>
      </c>
      <c r="L100" s="302">
        <v>-96.32</v>
      </c>
      <c r="M100" s="305">
        <v>0.39529999999999998</v>
      </c>
      <c r="N100" s="302">
        <v>-178.6</v>
      </c>
      <c r="O100" s="319"/>
    </row>
    <row r="101" spans="1:15" ht="12.75" customHeight="1" x14ac:dyDescent="0.2">
      <c r="A101" s="6">
        <v>10</v>
      </c>
      <c r="B101" s="8"/>
      <c r="C101" s="305">
        <v>0.32940000000000003</v>
      </c>
      <c r="D101" s="302">
        <v>93.89</v>
      </c>
      <c r="E101" s="305">
        <v>0.1973</v>
      </c>
      <c r="F101" s="302">
        <v>97.48</v>
      </c>
      <c r="G101" s="305">
        <v>6.2700000000000006E-2</v>
      </c>
      <c r="H101" s="302">
        <v>2.5299999999999998</v>
      </c>
      <c r="I101" s="305">
        <v>0.59189999999999998</v>
      </c>
      <c r="J101" s="302">
        <v>104.19</v>
      </c>
      <c r="K101" s="305">
        <v>1.2802</v>
      </c>
      <c r="L101" s="302">
        <v>-93.72</v>
      </c>
      <c r="M101" s="305">
        <v>0.38300000000000001</v>
      </c>
      <c r="N101" s="302">
        <v>-176.89</v>
      </c>
      <c r="O101" s="319"/>
    </row>
    <row r="102" spans="1:15" ht="12.75" customHeight="1" x14ac:dyDescent="0.2">
      <c r="A102" s="6">
        <v>9.5</v>
      </c>
      <c r="B102" s="8"/>
      <c r="C102" s="305">
        <v>0.24640000000000001</v>
      </c>
      <c r="D102" s="302">
        <v>95.67</v>
      </c>
      <c r="E102" s="305">
        <v>0.16700000000000001</v>
      </c>
      <c r="F102" s="302">
        <v>104.23</v>
      </c>
      <c r="G102" s="305">
        <v>0.30880000000000002</v>
      </c>
      <c r="H102" s="302">
        <v>-145.6</v>
      </c>
      <c r="I102" s="305">
        <v>0.68200000000000005</v>
      </c>
      <c r="J102" s="302">
        <v>105.36</v>
      </c>
      <c r="K102" s="305">
        <v>1.1306</v>
      </c>
      <c r="L102" s="302">
        <v>-89.31</v>
      </c>
      <c r="M102" s="305">
        <v>0.36220000000000002</v>
      </c>
      <c r="N102" s="302">
        <v>-175.13</v>
      </c>
      <c r="O102" s="319"/>
    </row>
    <row r="103" spans="1:15" ht="12.75" customHeight="1" x14ac:dyDescent="0.2">
      <c r="A103" s="6">
        <v>9</v>
      </c>
      <c r="B103" s="8"/>
      <c r="C103" s="305">
        <v>0.16009999999999999</v>
      </c>
      <c r="D103" s="302">
        <v>88.33</v>
      </c>
      <c r="E103" s="305">
        <v>0.13850000000000001</v>
      </c>
      <c r="F103" s="302">
        <v>117.48</v>
      </c>
      <c r="G103" s="305">
        <v>0.7339</v>
      </c>
      <c r="H103" s="302">
        <v>-97.5</v>
      </c>
      <c r="I103" s="305">
        <v>0.78280000000000005</v>
      </c>
      <c r="J103" s="302">
        <v>108.91</v>
      </c>
      <c r="K103" s="305">
        <v>0.71419999999999995</v>
      </c>
      <c r="L103" s="302">
        <v>-100.51</v>
      </c>
      <c r="M103" s="305">
        <v>0.32940000000000003</v>
      </c>
      <c r="N103" s="302">
        <v>-171.82</v>
      </c>
      <c r="O103" s="319"/>
    </row>
    <row r="104" spans="1:15" ht="12.75" customHeight="1" x14ac:dyDescent="0.2">
      <c r="A104" s="6">
        <v>8.5</v>
      </c>
      <c r="B104" s="8"/>
      <c r="C104" s="305">
        <v>0.1119</v>
      </c>
      <c r="D104" s="302">
        <v>79.84</v>
      </c>
      <c r="E104" s="305">
        <v>0.1187</v>
      </c>
      <c r="F104" s="302">
        <v>141.71</v>
      </c>
      <c r="G104" s="305">
        <v>0.54530000000000001</v>
      </c>
      <c r="H104" s="302">
        <v>-67.36</v>
      </c>
      <c r="I104" s="305">
        <v>0.87439999999999996</v>
      </c>
      <c r="J104" s="302">
        <v>116.32</v>
      </c>
      <c r="K104" s="305">
        <v>0.71160000000000001</v>
      </c>
      <c r="L104" s="302">
        <v>-127.26</v>
      </c>
      <c r="M104" s="305">
        <v>0.28510000000000002</v>
      </c>
      <c r="N104" s="302">
        <v>-164.66</v>
      </c>
      <c r="O104" s="319"/>
    </row>
    <row r="105" spans="1:15" ht="12.75" customHeight="1" x14ac:dyDescent="0.2">
      <c r="A105" s="6">
        <v>8</v>
      </c>
      <c r="B105" s="8"/>
      <c r="C105" s="305">
        <v>6.7599999999999993E-2</v>
      </c>
      <c r="D105" s="302">
        <v>67.44</v>
      </c>
      <c r="E105" s="305">
        <v>0.1172</v>
      </c>
      <c r="F105" s="302">
        <v>175.49</v>
      </c>
      <c r="G105" s="305">
        <v>0.33660000000000001</v>
      </c>
      <c r="H105" s="302">
        <v>-63.18</v>
      </c>
      <c r="I105" s="305">
        <v>0.9</v>
      </c>
      <c r="J105" s="302">
        <v>129</v>
      </c>
      <c r="K105" s="305">
        <v>0.7601</v>
      </c>
      <c r="L105" s="302">
        <v>-148.72999999999999</v>
      </c>
      <c r="M105" s="305">
        <v>0.23669999999999999</v>
      </c>
      <c r="N105" s="302">
        <v>-146.6</v>
      </c>
      <c r="O105" s="319"/>
    </row>
    <row r="106" spans="1:15" ht="12.75" customHeight="1" x14ac:dyDescent="0.2">
      <c r="A106" s="6">
        <v>7.5</v>
      </c>
      <c r="B106" s="8"/>
      <c r="C106" s="305">
        <v>4.3700000000000003E-2</v>
      </c>
      <c r="D106" s="302">
        <v>63.8</v>
      </c>
      <c r="E106" s="305">
        <v>0.123</v>
      </c>
      <c r="F106" s="302">
        <v>-152.5</v>
      </c>
      <c r="G106" s="305">
        <v>0.1923</v>
      </c>
      <c r="H106" s="302">
        <v>-75.95</v>
      </c>
      <c r="I106" s="305">
        <v>0.77980000000000005</v>
      </c>
      <c r="J106" s="302">
        <v>146.5</v>
      </c>
      <c r="K106" s="305">
        <v>0.86429999999999996</v>
      </c>
      <c r="L106" s="302">
        <v>-154.82</v>
      </c>
      <c r="M106" s="305">
        <v>0.21149999999999999</v>
      </c>
      <c r="N106" s="302">
        <v>-100.31</v>
      </c>
      <c r="O106" s="319"/>
    </row>
    <row r="107" spans="1:15" ht="12.75" customHeight="1" x14ac:dyDescent="0.2">
      <c r="A107" s="6">
        <v>7</v>
      </c>
      <c r="B107" s="8"/>
      <c r="C107" s="305">
        <v>1.66E-2</v>
      </c>
      <c r="D107" s="302">
        <v>93.41</v>
      </c>
      <c r="E107" s="305">
        <v>0.1061</v>
      </c>
      <c r="F107" s="302">
        <v>-130.61000000000001</v>
      </c>
      <c r="G107" s="305">
        <v>9.5500000000000002E-2</v>
      </c>
      <c r="H107" s="302">
        <v>-91.07</v>
      </c>
      <c r="I107" s="305">
        <v>0.55379999999999996</v>
      </c>
      <c r="J107" s="302">
        <v>166</v>
      </c>
      <c r="K107" s="305">
        <v>0.65539999999999998</v>
      </c>
      <c r="L107" s="302">
        <v>-159.19999999999999</v>
      </c>
      <c r="M107" s="305">
        <v>0.2001</v>
      </c>
      <c r="N107" s="302">
        <v>-36.450000000000003</v>
      </c>
      <c r="O107" s="319"/>
    </row>
    <row r="108" spans="1:15" ht="12.75" customHeight="1" x14ac:dyDescent="0.2">
      <c r="A108" s="6">
        <v>6.5</v>
      </c>
      <c r="B108" s="9"/>
      <c r="C108" s="305">
        <v>3.5000000000000001E-3</v>
      </c>
      <c r="D108" s="302">
        <v>168.88</v>
      </c>
      <c r="E108" s="305">
        <v>7.4200000000000002E-2</v>
      </c>
      <c r="F108" s="302">
        <v>-105.19</v>
      </c>
      <c r="G108" s="305">
        <v>2.7099999999999999E-2</v>
      </c>
      <c r="H108" s="302">
        <v>161.31</v>
      </c>
      <c r="I108" s="305">
        <v>0.35299999999999998</v>
      </c>
      <c r="J108" s="302">
        <v>-146.37</v>
      </c>
      <c r="K108" s="305">
        <v>0.37859999999999999</v>
      </c>
      <c r="L108" s="302">
        <v>-174.66</v>
      </c>
      <c r="M108" s="305">
        <v>0.13789999999999999</v>
      </c>
      <c r="N108" s="302">
        <v>-7.87</v>
      </c>
      <c r="O108" s="319"/>
    </row>
    <row r="109" spans="1:15" ht="12.75" customHeight="1" x14ac:dyDescent="0.2">
      <c r="A109" s="6">
        <v>6</v>
      </c>
      <c r="B109" s="9"/>
      <c r="C109" s="305">
        <v>6.0000000000000001E-3</v>
      </c>
      <c r="D109" s="302">
        <v>1.74</v>
      </c>
      <c r="E109" s="305">
        <v>3.3799999999999997E-2</v>
      </c>
      <c r="F109" s="302">
        <v>45.71</v>
      </c>
      <c r="G109" s="305">
        <v>6.5699999999999995E-2</v>
      </c>
      <c r="H109" s="302">
        <v>146.85</v>
      </c>
      <c r="I109" s="305">
        <v>0.25629999999999997</v>
      </c>
      <c r="J109" s="302">
        <v>-6.03</v>
      </c>
      <c r="K109" s="305">
        <v>9.11E-2</v>
      </c>
      <c r="L109" s="302">
        <v>152.85</v>
      </c>
      <c r="M109" s="305">
        <v>5.7200000000000001E-2</v>
      </c>
      <c r="N109" s="302">
        <v>-19.47</v>
      </c>
      <c r="O109" s="319"/>
    </row>
    <row r="110" spans="1:15" ht="12.75" customHeight="1" x14ac:dyDescent="0.2">
      <c r="A110" s="6">
        <v>5.5</v>
      </c>
      <c r="B110" s="9"/>
      <c r="C110" s="305">
        <v>1.54E-2</v>
      </c>
      <c r="D110" s="302">
        <v>-12.62</v>
      </c>
      <c r="E110" s="305">
        <v>3.2500000000000001E-2</v>
      </c>
      <c r="F110" s="302">
        <v>118.74</v>
      </c>
      <c r="G110" s="305">
        <v>1.2200000000000001E-2</v>
      </c>
      <c r="H110" s="302">
        <v>178.36</v>
      </c>
      <c r="I110" s="305">
        <v>0.1401</v>
      </c>
      <c r="J110" s="302">
        <v>50.44</v>
      </c>
      <c r="K110" s="305">
        <v>9.4799999999999995E-2</v>
      </c>
      <c r="L110" s="302">
        <v>12.34</v>
      </c>
      <c r="M110" s="305">
        <v>2.5899999999999999E-2</v>
      </c>
      <c r="N110" s="302">
        <v>24.23</v>
      </c>
      <c r="O110" s="319"/>
    </row>
    <row r="111" spans="1:15" ht="12.75" customHeight="1" x14ac:dyDescent="0.2">
      <c r="A111" s="6">
        <v>5</v>
      </c>
      <c r="B111" s="9"/>
      <c r="C111" s="305">
        <v>1.4999999999999999E-2</v>
      </c>
      <c r="D111" s="302">
        <v>-164.31</v>
      </c>
      <c r="E111" s="305">
        <v>2.3699999999999999E-2</v>
      </c>
      <c r="F111" s="302">
        <v>141.6</v>
      </c>
      <c r="G111" s="305">
        <v>1.6799999999999999E-2</v>
      </c>
      <c r="H111" s="302">
        <v>-121.57</v>
      </c>
      <c r="I111" s="305">
        <v>4.9799999999999997E-2</v>
      </c>
      <c r="J111" s="302">
        <v>76.34</v>
      </c>
      <c r="K111" s="305">
        <v>2.5100000000000001E-2</v>
      </c>
      <c r="L111" s="302">
        <v>-86.95</v>
      </c>
      <c r="M111" s="305">
        <v>1.29E-2</v>
      </c>
      <c r="N111" s="302">
        <v>-109.32</v>
      </c>
      <c r="O111" s="319"/>
    </row>
    <row r="112" spans="1:15" ht="12.75" customHeight="1" x14ac:dyDescent="0.2">
      <c r="A112" s="6">
        <v>4.5</v>
      </c>
      <c r="B112" s="9"/>
      <c r="C112" s="305">
        <v>1.1599999999999999E-2</v>
      </c>
      <c r="D112" s="302">
        <v>47.17</v>
      </c>
      <c r="E112" s="305">
        <v>2.23E-2</v>
      </c>
      <c r="F112" s="302">
        <v>55.48</v>
      </c>
      <c r="G112" s="305">
        <v>6.4999999999999997E-3</v>
      </c>
      <c r="H112" s="302">
        <v>92.58</v>
      </c>
      <c r="I112" s="305">
        <v>3.1600000000000003E-2</v>
      </c>
      <c r="J112" s="302">
        <v>22.16</v>
      </c>
      <c r="K112" s="305">
        <v>3.3599999999999998E-2</v>
      </c>
      <c r="L112" s="302">
        <v>113.22</v>
      </c>
      <c r="M112" s="305">
        <v>2.24E-2</v>
      </c>
      <c r="N112" s="302">
        <v>-43.27</v>
      </c>
      <c r="O112" s="319"/>
    </row>
    <row r="113" spans="1:15" ht="12.75" customHeight="1" x14ac:dyDescent="0.2">
      <c r="A113" s="6">
        <v>4</v>
      </c>
      <c r="B113" s="9"/>
      <c r="C113" s="305">
        <v>1.0999999999999999E-2</v>
      </c>
      <c r="D113" s="302">
        <v>-105.23</v>
      </c>
      <c r="E113" s="305">
        <v>2E-3</v>
      </c>
      <c r="F113" s="302">
        <v>-54.53</v>
      </c>
      <c r="G113" s="305">
        <v>7.4999999999999997E-3</v>
      </c>
      <c r="H113" s="302">
        <v>-112.99</v>
      </c>
      <c r="I113" s="305">
        <v>2.3699999999999999E-2</v>
      </c>
      <c r="J113" s="302">
        <v>36.56</v>
      </c>
      <c r="K113" s="305">
        <v>1.8700000000000001E-2</v>
      </c>
      <c r="L113" s="302">
        <v>-109.09</v>
      </c>
      <c r="M113" s="305">
        <v>1.2999999999999999E-2</v>
      </c>
      <c r="N113" s="302">
        <v>118.72</v>
      </c>
      <c r="O113" s="319"/>
    </row>
    <row r="114" spans="1:15" ht="12.75" customHeight="1" x14ac:dyDescent="0.2">
      <c r="A114" s="6">
        <v>3.5</v>
      </c>
      <c r="B114" s="9"/>
      <c r="C114" s="305">
        <v>3.0999999999999999E-3</v>
      </c>
      <c r="D114" s="302">
        <v>-20.059999999999999</v>
      </c>
      <c r="E114" s="305">
        <v>5.4999999999999997E-3</v>
      </c>
      <c r="F114" s="302">
        <v>-88.87</v>
      </c>
      <c r="G114" s="305">
        <v>6.7999999999999996E-3</v>
      </c>
      <c r="H114" s="302">
        <v>13.91</v>
      </c>
      <c r="I114" s="305">
        <v>1.6299999999999999E-2</v>
      </c>
      <c r="J114" s="302">
        <v>-127.26</v>
      </c>
      <c r="K114" s="305">
        <v>1.21E-2</v>
      </c>
      <c r="L114" s="302">
        <v>15.23</v>
      </c>
      <c r="M114" s="305">
        <v>1.5299999999999999E-2</v>
      </c>
      <c r="N114" s="302">
        <v>-140.29</v>
      </c>
      <c r="O114" s="319"/>
    </row>
    <row r="115" spans="1:15" ht="12.75" customHeight="1" x14ac:dyDescent="0.2">
      <c r="A115" s="6">
        <v>3.24</v>
      </c>
      <c r="B115" s="9"/>
      <c r="C115" s="305">
        <v>3.0999999999999999E-3</v>
      </c>
      <c r="D115" s="302">
        <v>-41.06</v>
      </c>
      <c r="E115" s="305">
        <v>3.8999999999999998E-3</v>
      </c>
      <c r="F115" s="302">
        <v>-17.3</v>
      </c>
      <c r="G115" s="305">
        <v>2.0000000000000001E-4</v>
      </c>
      <c r="H115" s="302">
        <v>52.1</v>
      </c>
      <c r="I115" s="305">
        <v>3.2000000000000002E-3</v>
      </c>
      <c r="J115" s="302">
        <v>-170.88</v>
      </c>
      <c r="K115" s="305">
        <v>6.7000000000000002E-3</v>
      </c>
      <c r="L115" s="302">
        <v>-172.09</v>
      </c>
      <c r="M115" s="305">
        <v>9.7000000000000003E-3</v>
      </c>
      <c r="N115" s="302">
        <v>2.8</v>
      </c>
      <c r="O115" s="319"/>
    </row>
    <row r="116" spans="1:15" ht="12.75" customHeight="1" x14ac:dyDescent="0.2">
      <c r="A116" s="6">
        <v>0</v>
      </c>
      <c r="B116" s="9"/>
      <c r="C116" s="305">
        <v>0</v>
      </c>
      <c r="D116" s="302">
        <v>0</v>
      </c>
      <c r="E116" s="305">
        <v>0</v>
      </c>
      <c r="F116" s="302">
        <v>0</v>
      </c>
      <c r="G116" s="305">
        <v>0</v>
      </c>
      <c r="H116" s="302">
        <v>0</v>
      </c>
      <c r="I116" s="305">
        <v>0</v>
      </c>
      <c r="J116" s="302">
        <v>0</v>
      </c>
      <c r="K116" s="305">
        <v>0</v>
      </c>
      <c r="L116" s="302">
        <v>0</v>
      </c>
      <c r="M116" s="305">
        <v>0</v>
      </c>
      <c r="N116" s="302">
        <v>0</v>
      </c>
      <c r="O116" s="319"/>
    </row>
    <row r="117" spans="1:15" ht="12.75" customHeight="1" x14ac:dyDescent="0.2">
      <c r="A117" s="6">
        <v>0</v>
      </c>
      <c r="B117" s="9"/>
      <c r="C117" s="305">
        <v>0</v>
      </c>
      <c r="D117" s="302">
        <v>0</v>
      </c>
      <c r="E117" s="305">
        <v>0</v>
      </c>
      <c r="F117" s="302">
        <v>0</v>
      </c>
      <c r="G117" s="305">
        <v>0</v>
      </c>
      <c r="H117" s="302">
        <v>0</v>
      </c>
      <c r="I117" s="305">
        <v>0</v>
      </c>
      <c r="J117" s="302">
        <v>0</v>
      </c>
      <c r="K117" s="305">
        <v>0</v>
      </c>
      <c r="L117" s="302">
        <v>0</v>
      </c>
      <c r="M117" s="305">
        <v>0</v>
      </c>
      <c r="N117" s="302">
        <v>0</v>
      </c>
      <c r="O117" s="319"/>
    </row>
    <row r="118" spans="1:15" ht="12.75" customHeight="1" x14ac:dyDescent="0.2">
      <c r="A118" s="6">
        <v>0</v>
      </c>
      <c r="B118" s="9"/>
      <c r="C118" s="305">
        <v>0</v>
      </c>
      <c r="D118" s="302">
        <v>0</v>
      </c>
      <c r="E118" s="305">
        <v>0</v>
      </c>
      <c r="F118" s="302">
        <v>0</v>
      </c>
      <c r="G118" s="305">
        <v>0</v>
      </c>
      <c r="H118" s="302">
        <v>0</v>
      </c>
      <c r="I118" s="305">
        <v>0</v>
      </c>
      <c r="J118" s="302">
        <v>0</v>
      </c>
      <c r="K118" s="305">
        <v>0</v>
      </c>
      <c r="L118" s="302">
        <v>0</v>
      </c>
      <c r="M118" s="305">
        <v>0</v>
      </c>
      <c r="N118" s="302">
        <v>0</v>
      </c>
      <c r="O118" s="319"/>
    </row>
    <row r="119" spans="1:15" ht="12.75" customHeight="1" x14ac:dyDescent="0.2">
      <c r="A119" s="6">
        <v>0</v>
      </c>
      <c r="B119" s="9"/>
      <c r="C119" s="305">
        <v>0</v>
      </c>
      <c r="D119" s="302">
        <v>0</v>
      </c>
      <c r="E119" s="305">
        <v>0</v>
      </c>
      <c r="F119" s="302">
        <v>0</v>
      </c>
      <c r="G119" s="305">
        <v>0</v>
      </c>
      <c r="H119" s="302">
        <v>0</v>
      </c>
      <c r="I119" s="305">
        <v>0</v>
      </c>
      <c r="J119" s="302">
        <v>0</v>
      </c>
      <c r="K119" s="305">
        <v>0</v>
      </c>
      <c r="L119" s="302">
        <v>0</v>
      </c>
      <c r="M119" s="305">
        <v>0</v>
      </c>
      <c r="N119" s="302">
        <v>0</v>
      </c>
      <c r="O119" s="319"/>
    </row>
    <row r="120" spans="1:15" ht="12.75" customHeight="1" thickBot="1" x14ac:dyDescent="0.25">
      <c r="A120" s="10">
        <v>0</v>
      </c>
      <c r="B120" s="11"/>
      <c r="C120" s="12">
        <v>0</v>
      </c>
      <c r="D120" s="13">
        <v>0</v>
      </c>
      <c r="E120" s="12">
        <v>0</v>
      </c>
      <c r="F120" s="13">
        <v>0</v>
      </c>
      <c r="G120" s="12">
        <v>0</v>
      </c>
      <c r="H120" s="13">
        <v>0</v>
      </c>
      <c r="I120" s="12">
        <v>0</v>
      </c>
      <c r="J120" s="13">
        <v>0</v>
      </c>
      <c r="K120" s="12">
        <v>0</v>
      </c>
      <c r="L120" s="13">
        <v>0</v>
      </c>
      <c r="M120" s="12">
        <v>0</v>
      </c>
      <c r="N120" s="13">
        <v>0</v>
      </c>
      <c r="O120" s="319"/>
    </row>
    <row r="121" spans="1:15" ht="20.100000000000001" customHeight="1" x14ac:dyDescent="0.25">
      <c r="A121" s="333" t="str">
        <f>A81</f>
        <v>Paragon DPDS2</v>
      </c>
      <c r="B121" s="333"/>
      <c r="C121" s="333"/>
      <c r="D121" s="333"/>
      <c r="E121" s="333"/>
      <c r="F121" s="333"/>
      <c r="G121" s="333"/>
      <c r="H121" s="333"/>
      <c r="I121" s="333"/>
      <c r="J121" s="333"/>
      <c r="K121" s="333"/>
      <c r="L121" s="333"/>
      <c r="M121" s="333"/>
      <c r="N121" s="333"/>
      <c r="O121" s="311"/>
    </row>
    <row r="122" spans="1:15" ht="20.100000000000001" customHeight="1" thickBot="1" x14ac:dyDescent="0.3">
      <c r="A122" s="334" t="s">
        <v>5</v>
      </c>
      <c r="B122" s="334"/>
      <c r="C122" s="334"/>
      <c r="D122" s="334"/>
      <c r="E122" s="334"/>
      <c r="F122" s="334"/>
      <c r="G122" s="334"/>
      <c r="H122" s="334"/>
      <c r="I122" s="334"/>
      <c r="J122" s="334"/>
      <c r="K122" s="334"/>
      <c r="L122" s="334"/>
      <c r="M122" s="334"/>
      <c r="N122" s="334"/>
      <c r="O122" s="317"/>
    </row>
    <row r="123" spans="1:15" ht="12.75" customHeight="1" x14ac:dyDescent="0.2">
      <c r="A123" s="335" t="s">
        <v>12</v>
      </c>
      <c r="B123" s="337" t="s">
        <v>13</v>
      </c>
      <c r="C123" s="339" t="s">
        <v>6</v>
      </c>
      <c r="D123" s="340"/>
      <c r="E123" s="339" t="s">
        <v>7</v>
      </c>
      <c r="F123" s="340"/>
      <c r="G123" s="339" t="s">
        <v>8</v>
      </c>
      <c r="H123" s="340"/>
      <c r="I123" s="339" t="s">
        <v>9</v>
      </c>
      <c r="J123" s="340"/>
      <c r="K123" s="339" t="s">
        <v>10</v>
      </c>
      <c r="L123" s="340"/>
      <c r="M123" s="339" t="s">
        <v>11</v>
      </c>
      <c r="N123" s="340"/>
      <c r="O123" s="318"/>
    </row>
    <row r="124" spans="1:15" ht="12.75" customHeight="1" x14ac:dyDescent="0.2">
      <c r="A124" s="336"/>
      <c r="B124" s="338"/>
      <c r="C124" s="304" t="s">
        <v>0</v>
      </c>
      <c r="D124" s="312" t="s">
        <v>1</v>
      </c>
      <c r="E124" s="304" t="s">
        <v>0</v>
      </c>
      <c r="F124" s="312" t="s">
        <v>1</v>
      </c>
      <c r="G124" s="304" t="s">
        <v>0</v>
      </c>
      <c r="H124" s="312" t="s">
        <v>1</v>
      </c>
      <c r="I124" s="304" t="s">
        <v>0</v>
      </c>
      <c r="J124" s="312" t="s">
        <v>1</v>
      </c>
      <c r="K124" s="304" t="s">
        <v>0</v>
      </c>
      <c r="L124" s="312" t="s">
        <v>1</v>
      </c>
      <c r="M124" s="304" t="s">
        <v>0</v>
      </c>
      <c r="N124" s="312" t="s">
        <v>1</v>
      </c>
      <c r="O124" s="318"/>
    </row>
    <row r="125" spans="1:15" ht="12.75" customHeight="1" thickBot="1" x14ac:dyDescent="0.25">
      <c r="A125" s="2" t="s">
        <v>14</v>
      </c>
      <c r="B125" s="3" t="s">
        <v>15</v>
      </c>
      <c r="C125" s="2" t="s">
        <v>19</v>
      </c>
      <c r="D125" s="3" t="s">
        <v>15</v>
      </c>
      <c r="E125" s="2" t="s">
        <v>19</v>
      </c>
      <c r="F125" s="3" t="s">
        <v>15</v>
      </c>
      <c r="G125" s="2" t="s">
        <v>19</v>
      </c>
      <c r="H125" s="3" t="s">
        <v>15</v>
      </c>
      <c r="I125" s="2" t="s">
        <v>20</v>
      </c>
      <c r="J125" s="3" t="s">
        <v>15</v>
      </c>
      <c r="K125" s="2" t="s">
        <v>20</v>
      </c>
      <c r="L125" s="3" t="s">
        <v>15</v>
      </c>
      <c r="M125" s="2" t="s">
        <v>20</v>
      </c>
      <c r="N125" s="3" t="s">
        <v>15</v>
      </c>
      <c r="O125" s="318"/>
    </row>
    <row r="126" spans="1:15" ht="12.75" customHeight="1" x14ac:dyDescent="0.2">
      <c r="A126" s="4">
        <v>30</v>
      </c>
      <c r="B126" s="5">
        <v>45</v>
      </c>
      <c r="C126" s="305">
        <v>0.6905</v>
      </c>
      <c r="D126" s="302">
        <v>90.05</v>
      </c>
      <c r="E126" s="305">
        <v>0.67810000000000004</v>
      </c>
      <c r="F126" s="302">
        <v>89.96</v>
      </c>
      <c r="G126" s="305">
        <v>0.99360000000000004</v>
      </c>
      <c r="H126" s="302">
        <v>0.02</v>
      </c>
      <c r="I126" s="305">
        <v>0.35199999999999998</v>
      </c>
      <c r="J126" s="302">
        <v>96.81</v>
      </c>
      <c r="K126" s="305">
        <v>0.18229999999999999</v>
      </c>
      <c r="L126" s="302">
        <v>-91.14</v>
      </c>
      <c r="M126" s="305">
        <v>0.1026</v>
      </c>
      <c r="N126" s="302">
        <v>-177.81</v>
      </c>
      <c r="O126" s="319"/>
    </row>
    <row r="127" spans="1:15" ht="12.75" customHeight="1" x14ac:dyDescent="0.2">
      <c r="A127" s="6">
        <v>28</v>
      </c>
      <c r="B127" s="7"/>
      <c r="C127" s="305">
        <v>0.68720000000000003</v>
      </c>
      <c r="D127" s="302">
        <v>90.04</v>
      </c>
      <c r="E127" s="305">
        <v>0.66949999999999998</v>
      </c>
      <c r="F127" s="302">
        <v>89.8</v>
      </c>
      <c r="G127" s="305">
        <v>0.99160000000000004</v>
      </c>
      <c r="H127" s="302">
        <v>0.02</v>
      </c>
      <c r="I127" s="305">
        <v>0.50629999999999997</v>
      </c>
      <c r="J127" s="302">
        <v>101.35</v>
      </c>
      <c r="K127" s="305">
        <v>0.20930000000000001</v>
      </c>
      <c r="L127" s="302">
        <v>-91.31</v>
      </c>
      <c r="M127" s="305">
        <v>0.11650000000000001</v>
      </c>
      <c r="N127" s="302">
        <v>-177.04</v>
      </c>
      <c r="O127" s="319"/>
    </row>
    <row r="128" spans="1:15" ht="12.75" customHeight="1" x14ac:dyDescent="0.2">
      <c r="A128" s="6">
        <v>26</v>
      </c>
      <c r="B128" s="7"/>
      <c r="C128" s="305">
        <v>0.68300000000000005</v>
      </c>
      <c r="D128" s="302">
        <v>90.03</v>
      </c>
      <c r="E128" s="305">
        <v>0.65480000000000005</v>
      </c>
      <c r="F128" s="302">
        <v>88.96</v>
      </c>
      <c r="G128" s="305">
        <v>0.98870000000000002</v>
      </c>
      <c r="H128" s="302">
        <v>0.03</v>
      </c>
      <c r="I128" s="305">
        <v>0.87329999999999997</v>
      </c>
      <c r="J128" s="302">
        <v>115.41</v>
      </c>
      <c r="K128" s="305">
        <v>0.24279999999999999</v>
      </c>
      <c r="L128" s="302">
        <v>-91.52</v>
      </c>
      <c r="M128" s="305">
        <v>0.1305</v>
      </c>
      <c r="N128" s="302">
        <v>-175.45</v>
      </c>
      <c r="O128" s="319"/>
    </row>
    <row r="129" spans="1:15" ht="12.75" customHeight="1" x14ac:dyDescent="0.2">
      <c r="A129" s="6">
        <v>24</v>
      </c>
      <c r="B129" s="7"/>
      <c r="C129" s="305">
        <v>0.6774</v>
      </c>
      <c r="D129" s="302">
        <v>90.02</v>
      </c>
      <c r="E129" s="305">
        <v>0.67290000000000005</v>
      </c>
      <c r="F129" s="302">
        <v>85.85</v>
      </c>
      <c r="G129" s="305">
        <v>0.98440000000000005</v>
      </c>
      <c r="H129" s="302">
        <v>0.05</v>
      </c>
      <c r="I129" s="305">
        <v>1.4217</v>
      </c>
      <c r="J129" s="302">
        <v>173.97</v>
      </c>
      <c r="K129" s="305">
        <v>0.28489999999999999</v>
      </c>
      <c r="L129" s="302">
        <v>-91.79</v>
      </c>
      <c r="M129" s="305">
        <v>0.1361</v>
      </c>
      <c r="N129" s="302">
        <v>-180</v>
      </c>
      <c r="O129" s="319"/>
    </row>
    <row r="130" spans="1:15" ht="12.75" customHeight="1" x14ac:dyDescent="0.2">
      <c r="A130" s="6">
        <v>22</v>
      </c>
      <c r="B130" s="7"/>
      <c r="C130" s="305">
        <v>0.66969999999999996</v>
      </c>
      <c r="D130" s="302">
        <v>90</v>
      </c>
      <c r="E130" s="305">
        <v>0.68389999999999995</v>
      </c>
      <c r="F130" s="302">
        <v>88.67</v>
      </c>
      <c r="G130" s="305">
        <v>0.97789999999999999</v>
      </c>
      <c r="H130" s="302">
        <v>0.08</v>
      </c>
      <c r="I130" s="305">
        <v>0.6492</v>
      </c>
      <c r="J130" s="302">
        <v>-138.97</v>
      </c>
      <c r="K130" s="305">
        <v>0.33889999999999998</v>
      </c>
      <c r="L130" s="302">
        <v>-92.14</v>
      </c>
      <c r="M130" s="305">
        <v>0.17899999999999999</v>
      </c>
      <c r="N130" s="302">
        <v>176.93</v>
      </c>
      <c r="O130" s="319"/>
    </row>
    <row r="131" spans="1:15" ht="12.75" customHeight="1" x14ac:dyDescent="0.2">
      <c r="A131" s="6">
        <v>20</v>
      </c>
      <c r="B131" s="7"/>
      <c r="C131" s="305">
        <v>0.65869999999999995</v>
      </c>
      <c r="D131" s="302">
        <v>89.96</v>
      </c>
      <c r="E131" s="305">
        <v>0.66449999999999998</v>
      </c>
      <c r="F131" s="302">
        <v>89.48</v>
      </c>
      <c r="G131" s="305">
        <v>0.96750000000000003</v>
      </c>
      <c r="H131" s="302">
        <v>0.14000000000000001</v>
      </c>
      <c r="I131" s="305">
        <v>0.3075</v>
      </c>
      <c r="J131" s="302">
        <v>-136.66</v>
      </c>
      <c r="K131" s="305">
        <v>0.40949999999999998</v>
      </c>
      <c r="L131" s="302">
        <v>-92.6</v>
      </c>
      <c r="M131" s="305">
        <v>0.21879999999999999</v>
      </c>
      <c r="N131" s="302">
        <v>178.22</v>
      </c>
      <c r="O131" s="319"/>
    </row>
    <row r="132" spans="1:15" ht="12.75" customHeight="1" x14ac:dyDescent="0.2">
      <c r="A132" s="6">
        <v>19</v>
      </c>
      <c r="B132" s="7"/>
      <c r="C132" s="305">
        <v>0.65129999999999999</v>
      </c>
      <c r="D132" s="302">
        <v>89.94</v>
      </c>
      <c r="E132" s="305">
        <v>0.65380000000000005</v>
      </c>
      <c r="F132" s="302">
        <v>89.63</v>
      </c>
      <c r="G132" s="305">
        <v>0.96009999999999995</v>
      </c>
      <c r="H132" s="302">
        <v>0.19</v>
      </c>
      <c r="I132" s="305">
        <v>0.2213</v>
      </c>
      <c r="J132" s="302">
        <v>-143.93</v>
      </c>
      <c r="K132" s="305">
        <v>0.45319999999999999</v>
      </c>
      <c r="L132" s="302">
        <v>-92.89</v>
      </c>
      <c r="M132" s="305">
        <v>0.24099999999999999</v>
      </c>
      <c r="N132" s="302">
        <v>178.6</v>
      </c>
      <c r="O132" s="319"/>
    </row>
    <row r="133" spans="1:15" ht="12.75" customHeight="1" x14ac:dyDescent="0.2">
      <c r="A133" s="6">
        <v>18</v>
      </c>
      <c r="B133" s="7"/>
      <c r="C133" s="305">
        <v>0.64229999999999998</v>
      </c>
      <c r="D133" s="302">
        <v>89.91</v>
      </c>
      <c r="E133" s="305">
        <v>0.64170000000000005</v>
      </c>
      <c r="F133" s="302">
        <v>89.73</v>
      </c>
      <c r="G133" s="305">
        <v>0.95030000000000003</v>
      </c>
      <c r="H133" s="302">
        <v>0.26</v>
      </c>
      <c r="I133" s="305">
        <v>0.16569999999999999</v>
      </c>
      <c r="J133" s="302">
        <v>-158.4</v>
      </c>
      <c r="K133" s="305">
        <v>0.504</v>
      </c>
      <c r="L133" s="302">
        <v>-93.23</v>
      </c>
      <c r="M133" s="305">
        <v>0.26579999999999998</v>
      </c>
      <c r="N133" s="302">
        <v>178.88</v>
      </c>
      <c r="O133" s="319"/>
    </row>
    <row r="134" spans="1:15" ht="12.75" customHeight="1" x14ac:dyDescent="0.2">
      <c r="A134" s="6">
        <v>17</v>
      </c>
      <c r="B134" s="7"/>
      <c r="C134" s="305">
        <v>0.63109999999999999</v>
      </c>
      <c r="D134" s="302">
        <v>89.87</v>
      </c>
      <c r="E134" s="305">
        <v>0.62729999999999997</v>
      </c>
      <c r="F134" s="302">
        <v>89.79</v>
      </c>
      <c r="G134" s="305">
        <v>0.93740000000000001</v>
      </c>
      <c r="H134" s="302">
        <v>0.36</v>
      </c>
      <c r="I134" s="305">
        <v>0.14019999999999999</v>
      </c>
      <c r="J134" s="302">
        <v>178.91</v>
      </c>
      <c r="K134" s="305">
        <v>0.56359999999999999</v>
      </c>
      <c r="L134" s="302">
        <v>-93.64</v>
      </c>
      <c r="M134" s="305">
        <v>0.29380000000000001</v>
      </c>
      <c r="N134" s="302">
        <v>179.1</v>
      </c>
      <c r="O134" s="319"/>
    </row>
    <row r="135" spans="1:15" ht="12.75" customHeight="1" x14ac:dyDescent="0.2">
      <c r="A135" s="6">
        <v>16</v>
      </c>
      <c r="B135" s="7"/>
      <c r="C135" s="305">
        <v>0.61709999999999998</v>
      </c>
      <c r="D135" s="302">
        <v>89.82</v>
      </c>
      <c r="E135" s="305">
        <v>0.60970000000000002</v>
      </c>
      <c r="F135" s="302">
        <v>89.83</v>
      </c>
      <c r="G135" s="305">
        <v>0.91990000000000005</v>
      </c>
      <c r="H135" s="302">
        <v>0.51</v>
      </c>
      <c r="I135" s="305">
        <v>0.14829999999999999</v>
      </c>
      <c r="J135" s="302">
        <v>153.94999999999999</v>
      </c>
      <c r="K135" s="305">
        <v>0.63390000000000002</v>
      </c>
      <c r="L135" s="302">
        <v>-94.11</v>
      </c>
      <c r="M135" s="305">
        <v>0.32519999999999999</v>
      </c>
      <c r="N135" s="302">
        <v>179.28</v>
      </c>
      <c r="O135" s="319"/>
    </row>
    <row r="136" spans="1:15" ht="12.75" customHeight="1" x14ac:dyDescent="0.2">
      <c r="A136" s="6">
        <v>15</v>
      </c>
      <c r="B136" s="7"/>
      <c r="C136" s="305">
        <v>0.59940000000000004</v>
      </c>
      <c r="D136" s="302">
        <v>89.78</v>
      </c>
      <c r="E136" s="305">
        <v>0.58789999999999998</v>
      </c>
      <c r="F136" s="302">
        <v>89.86</v>
      </c>
      <c r="G136" s="305">
        <v>0.89570000000000005</v>
      </c>
      <c r="H136" s="302">
        <v>0.74</v>
      </c>
      <c r="I136" s="305">
        <v>0.1847</v>
      </c>
      <c r="J136" s="302">
        <v>135.13</v>
      </c>
      <c r="K136" s="305">
        <v>0.7177</v>
      </c>
      <c r="L136" s="302">
        <v>-94.64</v>
      </c>
      <c r="M136" s="305">
        <v>0.36049999999999999</v>
      </c>
      <c r="N136" s="302">
        <v>179.45</v>
      </c>
      <c r="O136" s="319"/>
    </row>
    <row r="137" spans="1:15" ht="12.75" customHeight="1" x14ac:dyDescent="0.2">
      <c r="A137" s="6">
        <v>14</v>
      </c>
      <c r="B137" s="7"/>
      <c r="C137" s="305">
        <v>0.5766</v>
      </c>
      <c r="D137" s="302">
        <v>89.76</v>
      </c>
      <c r="E137" s="305">
        <v>0.56030000000000002</v>
      </c>
      <c r="F137" s="302">
        <v>89.9</v>
      </c>
      <c r="G137" s="305">
        <v>0.86180000000000001</v>
      </c>
      <c r="H137" s="302">
        <v>1.1000000000000001</v>
      </c>
      <c r="I137" s="305">
        <v>0.2412</v>
      </c>
      <c r="J137" s="302">
        <v>123.14</v>
      </c>
      <c r="K137" s="305">
        <v>0.81799999999999995</v>
      </c>
      <c r="L137" s="302">
        <v>-95.23</v>
      </c>
      <c r="M137" s="305">
        <v>0.39939999999999998</v>
      </c>
      <c r="N137" s="302">
        <v>179.64</v>
      </c>
      <c r="O137" s="319"/>
    </row>
    <row r="138" spans="1:15" ht="12.75" customHeight="1" x14ac:dyDescent="0.2">
      <c r="A138" s="6">
        <v>13</v>
      </c>
      <c r="B138" s="7"/>
      <c r="C138" s="305">
        <v>0.54679999999999995</v>
      </c>
      <c r="D138" s="302">
        <v>89.85</v>
      </c>
      <c r="E138" s="305">
        <v>0.52510000000000001</v>
      </c>
      <c r="F138" s="302">
        <v>89.95</v>
      </c>
      <c r="G138" s="305">
        <v>0.81320000000000003</v>
      </c>
      <c r="H138" s="302">
        <v>1.66</v>
      </c>
      <c r="I138" s="305">
        <v>0.31530000000000002</v>
      </c>
      <c r="J138" s="302">
        <v>115.43</v>
      </c>
      <c r="K138" s="305">
        <v>0.93889999999999996</v>
      </c>
      <c r="L138" s="302">
        <v>-95.8</v>
      </c>
      <c r="M138" s="305">
        <v>0.44090000000000001</v>
      </c>
      <c r="N138" s="302">
        <v>179.87</v>
      </c>
      <c r="O138" s="319"/>
    </row>
    <row r="139" spans="1:15" ht="12.75" customHeight="1" x14ac:dyDescent="0.2">
      <c r="A139" s="6">
        <v>12</v>
      </c>
      <c r="B139" s="8"/>
      <c r="C139" s="305">
        <v>0.50690000000000002</v>
      </c>
      <c r="D139" s="302">
        <v>90.23</v>
      </c>
      <c r="E139" s="305">
        <v>0.48010000000000003</v>
      </c>
      <c r="F139" s="302">
        <v>90.13</v>
      </c>
      <c r="G139" s="305">
        <v>0.74309999999999998</v>
      </c>
      <c r="H139" s="302">
        <v>2.67</v>
      </c>
      <c r="I139" s="305">
        <v>0.41020000000000001</v>
      </c>
      <c r="J139" s="302">
        <v>110.09</v>
      </c>
      <c r="K139" s="305">
        <v>1.0831999999999999</v>
      </c>
      <c r="L139" s="302">
        <v>-96.13</v>
      </c>
      <c r="M139" s="305">
        <v>0.48220000000000002</v>
      </c>
      <c r="N139" s="302">
        <v>-179.79</v>
      </c>
      <c r="O139" s="319"/>
    </row>
    <row r="140" spans="1:15" ht="12.75" customHeight="1" x14ac:dyDescent="0.2">
      <c r="A140" s="6">
        <v>11</v>
      </c>
      <c r="B140" s="8"/>
      <c r="C140" s="305">
        <v>0.45119999999999999</v>
      </c>
      <c r="D140" s="302">
        <v>91.28</v>
      </c>
      <c r="E140" s="305">
        <v>0.4229</v>
      </c>
      <c r="F140" s="302">
        <v>90.82</v>
      </c>
      <c r="G140" s="305">
        <v>0.64100000000000001</v>
      </c>
      <c r="H140" s="302">
        <v>5.22</v>
      </c>
      <c r="I140" s="305">
        <v>0.53559999999999997</v>
      </c>
      <c r="J140" s="302">
        <v>106.29</v>
      </c>
      <c r="K140" s="305">
        <v>1.248</v>
      </c>
      <c r="L140" s="302">
        <v>-95.81</v>
      </c>
      <c r="M140" s="305">
        <v>0.51659999999999995</v>
      </c>
      <c r="N140" s="302">
        <v>-179.23</v>
      </c>
      <c r="O140" s="319"/>
    </row>
    <row r="141" spans="1:15" ht="12.75" customHeight="1" x14ac:dyDescent="0.2">
      <c r="A141" s="6">
        <v>10</v>
      </c>
      <c r="B141" s="8"/>
      <c r="C141" s="305">
        <v>0.372</v>
      </c>
      <c r="D141" s="302">
        <v>93.8</v>
      </c>
      <c r="E141" s="305">
        <v>0.35160000000000002</v>
      </c>
      <c r="F141" s="302">
        <v>93.47</v>
      </c>
      <c r="G141" s="305">
        <v>0.47160000000000002</v>
      </c>
      <c r="H141" s="302">
        <v>17.79</v>
      </c>
      <c r="I141" s="305">
        <v>0.71319999999999995</v>
      </c>
      <c r="J141" s="302">
        <v>104.39</v>
      </c>
      <c r="K141" s="305">
        <v>1.4222999999999999</v>
      </c>
      <c r="L141" s="302">
        <v>-93.81</v>
      </c>
      <c r="M141" s="305">
        <v>0.53110000000000002</v>
      </c>
      <c r="N141" s="302">
        <v>-178.13</v>
      </c>
      <c r="O141" s="319"/>
    </row>
    <row r="142" spans="1:15" ht="12.75" customHeight="1" x14ac:dyDescent="0.2">
      <c r="A142" s="6">
        <v>9.5</v>
      </c>
      <c r="B142" s="8"/>
      <c r="C142" s="305">
        <v>0.3196</v>
      </c>
      <c r="D142" s="302">
        <v>96.86</v>
      </c>
      <c r="E142" s="305">
        <v>0.30990000000000001</v>
      </c>
      <c r="F142" s="302">
        <v>96.97</v>
      </c>
      <c r="G142" s="305">
        <v>0.2823</v>
      </c>
      <c r="H142" s="302">
        <v>53.44</v>
      </c>
      <c r="I142" s="305">
        <v>0.83250000000000002</v>
      </c>
      <c r="J142" s="302">
        <v>104.99</v>
      </c>
      <c r="K142" s="305">
        <v>1.5051000000000001</v>
      </c>
      <c r="L142" s="302">
        <v>-89.52</v>
      </c>
      <c r="M142" s="305">
        <v>0.52429999999999999</v>
      </c>
      <c r="N142" s="302">
        <v>-177.1</v>
      </c>
      <c r="O142" s="319"/>
    </row>
    <row r="143" spans="1:15" ht="12.75" customHeight="1" x14ac:dyDescent="0.2">
      <c r="A143" s="6">
        <v>9</v>
      </c>
      <c r="B143" s="8"/>
      <c r="C143" s="305">
        <v>0.24079999999999999</v>
      </c>
      <c r="D143" s="302">
        <v>99.63</v>
      </c>
      <c r="E143" s="305">
        <v>0.2636</v>
      </c>
      <c r="F143" s="302">
        <v>104.06</v>
      </c>
      <c r="G143" s="305">
        <v>0.29649999999999999</v>
      </c>
      <c r="H143" s="302">
        <v>-139.09</v>
      </c>
      <c r="I143" s="305">
        <v>0.97509999999999997</v>
      </c>
      <c r="J143" s="302">
        <v>107.76</v>
      </c>
      <c r="K143" s="305">
        <v>1.3248</v>
      </c>
      <c r="L143" s="302">
        <v>-81.14</v>
      </c>
      <c r="M143" s="305">
        <v>0.50319999999999998</v>
      </c>
      <c r="N143" s="302">
        <v>-175.32</v>
      </c>
      <c r="O143" s="319"/>
    </row>
    <row r="144" spans="1:15" ht="12.75" customHeight="1" x14ac:dyDescent="0.2">
      <c r="A144" s="6">
        <v>8.5</v>
      </c>
      <c r="B144" s="8"/>
      <c r="C144" s="305">
        <v>0.17929999999999999</v>
      </c>
      <c r="D144" s="302">
        <v>98.53</v>
      </c>
      <c r="E144" s="305">
        <v>0.21340000000000001</v>
      </c>
      <c r="F144" s="302">
        <v>118.41</v>
      </c>
      <c r="G144" s="305">
        <v>0.44059999999999999</v>
      </c>
      <c r="H144" s="302">
        <v>-88.08</v>
      </c>
      <c r="I144" s="305">
        <v>1.1235999999999999</v>
      </c>
      <c r="J144" s="302">
        <v>114.13</v>
      </c>
      <c r="K144" s="305">
        <v>1.0992</v>
      </c>
      <c r="L144" s="302">
        <v>-85.04</v>
      </c>
      <c r="M144" s="305">
        <v>0.46379999999999999</v>
      </c>
      <c r="N144" s="302">
        <v>-171.7</v>
      </c>
      <c r="O144" s="319"/>
    </row>
    <row r="145" spans="1:15" ht="12.75" customHeight="1" x14ac:dyDescent="0.2">
      <c r="A145" s="6">
        <v>8</v>
      </c>
      <c r="B145" s="8"/>
      <c r="C145" s="305">
        <v>0.1163</v>
      </c>
      <c r="D145" s="302">
        <v>102.94</v>
      </c>
      <c r="E145" s="305">
        <v>0.1671</v>
      </c>
      <c r="F145" s="302">
        <v>146.04</v>
      </c>
      <c r="G145" s="305">
        <v>0.42480000000000001</v>
      </c>
      <c r="H145" s="302">
        <v>-75.48</v>
      </c>
      <c r="I145" s="305">
        <v>1.2102999999999999</v>
      </c>
      <c r="J145" s="302">
        <v>125.43</v>
      </c>
      <c r="K145" s="305">
        <v>0.83189999999999997</v>
      </c>
      <c r="L145" s="302">
        <v>-86.55</v>
      </c>
      <c r="M145" s="305">
        <v>0.4007</v>
      </c>
      <c r="N145" s="302">
        <v>-162.84</v>
      </c>
      <c r="O145" s="319"/>
    </row>
    <row r="146" spans="1:15" ht="12.75" customHeight="1" x14ac:dyDescent="0.2">
      <c r="A146" s="6">
        <v>7.5</v>
      </c>
      <c r="B146" s="8"/>
      <c r="C146" s="305">
        <v>5.8299999999999998E-2</v>
      </c>
      <c r="D146" s="302">
        <v>100.92</v>
      </c>
      <c r="E146" s="305">
        <v>0.14419999999999999</v>
      </c>
      <c r="F146" s="302">
        <v>-173.14</v>
      </c>
      <c r="G146" s="305">
        <v>0.33069999999999999</v>
      </c>
      <c r="H146" s="302">
        <v>-71.86</v>
      </c>
      <c r="I146" s="305">
        <v>1.1154999999999999</v>
      </c>
      <c r="J146" s="302">
        <v>140.85</v>
      </c>
      <c r="K146" s="305">
        <v>0.54969999999999997</v>
      </c>
      <c r="L146" s="302">
        <v>-119</v>
      </c>
      <c r="M146" s="305">
        <v>0.29189999999999999</v>
      </c>
      <c r="N146" s="302">
        <v>-136.57</v>
      </c>
      <c r="O146" s="319"/>
    </row>
    <row r="147" spans="1:15" ht="12.75" customHeight="1" x14ac:dyDescent="0.2">
      <c r="A147" s="6">
        <v>7</v>
      </c>
      <c r="B147" s="8"/>
      <c r="C147" s="305">
        <v>3.1300000000000001E-2</v>
      </c>
      <c r="D147" s="302">
        <v>116.6</v>
      </c>
      <c r="E147" s="305">
        <v>0.1363</v>
      </c>
      <c r="F147" s="302">
        <v>-140.15</v>
      </c>
      <c r="G147" s="305">
        <v>0.22750000000000001</v>
      </c>
      <c r="H147" s="302">
        <v>-78.010000000000005</v>
      </c>
      <c r="I147" s="305">
        <v>0.83550000000000002</v>
      </c>
      <c r="J147" s="302">
        <v>155.71</v>
      </c>
      <c r="K147" s="305">
        <v>0.63490000000000002</v>
      </c>
      <c r="L147" s="302">
        <v>-140.81</v>
      </c>
      <c r="M147" s="305">
        <v>0.13930000000000001</v>
      </c>
      <c r="N147" s="302">
        <v>-70.260000000000005</v>
      </c>
      <c r="O147" s="319"/>
    </row>
    <row r="148" spans="1:15" ht="12.75" customHeight="1" x14ac:dyDescent="0.2">
      <c r="A148" s="6">
        <v>6.5</v>
      </c>
      <c r="B148" s="9"/>
      <c r="C148" s="305">
        <v>2.1700000000000001E-2</v>
      </c>
      <c r="D148" s="302">
        <v>172.27</v>
      </c>
      <c r="E148" s="305">
        <v>0.1163</v>
      </c>
      <c r="F148" s="302">
        <v>-120.75</v>
      </c>
      <c r="G148" s="305">
        <v>0.1086</v>
      </c>
      <c r="H148" s="302">
        <v>-93.55</v>
      </c>
      <c r="I148" s="305">
        <v>0.48099999999999998</v>
      </c>
      <c r="J148" s="302">
        <v>176.59</v>
      </c>
      <c r="K148" s="305">
        <v>0.54059999999999997</v>
      </c>
      <c r="L148" s="302">
        <v>-153.26</v>
      </c>
      <c r="M148" s="305">
        <v>0.1227</v>
      </c>
      <c r="N148" s="302">
        <v>-13.06</v>
      </c>
      <c r="O148" s="319"/>
    </row>
    <row r="149" spans="1:15" ht="12.75" customHeight="1" x14ac:dyDescent="0.2">
      <c r="A149" s="6">
        <v>6</v>
      </c>
      <c r="B149" s="9"/>
      <c r="C149" s="305">
        <v>2.0199999999999999E-2</v>
      </c>
      <c r="D149" s="302">
        <v>168.04</v>
      </c>
      <c r="E149" s="305">
        <v>3.4200000000000001E-2</v>
      </c>
      <c r="F149" s="302">
        <v>-127.9</v>
      </c>
      <c r="G149" s="305">
        <v>7.5200000000000003E-2</v>
      </c>
      <c r="H149" s="302">
        <v>-158.04</v>
      </c>
      <c r="I149" s="305">
        <v>5.8500000000000003E-2</v>
      </c>
      <c r="J149" s="302">
        <v>106.17</v>
      </c>
      <c r="K149" s="305">
        <v>0.33579999999999999</v>
      </c>
      <c r="L149" s="302">
        <v>-169.9</v>
      </c>
      <c r="M149" s="305">
        <v>0.1174</v>
      </c>
      <c r="N149" s="302">
        <v>-7.11</v>
      </c>
      <c r="O149" s="319"/>
    </row>
    <row r="150" spans="1:15" ht="12.75" customHeight="1" x14ac:dyDescent="0.2">
      <c r="A150" s="6">
        <v>5.5</v>
      </c>
      <c r="B150" s="9"/>
      <c r="C150" s="305">
        <v>2.01E-2</v>
      </c>
      <c r="D150" s="302">
        <v>132.08000000000001</v>
      </c>
      <c r="E150" s="305">
        <v>4.0300000000000002E-2</v>
      </c>
      <c r="F150" s="302">
        <v>150.93</v>
      </c>
      <c r="G150" s="305">
        <v>3.15E-2</v>
      </c>
      <c r="H150" s="302">
        <v>169.48</v>
      </c>
      <c r="I150" s="305">
        <v>0.11700000000000001</v>
      </c>
      <c r="J150" s="302">
        <v>99.98</v>
      </c>
      <c r="K150" s="305">
        <v>0.1429</v>
      </c>
      <c r="L150" s="302">
        <v>143.05000000000001</v>
      </c>
      <c r="M150" s="305">
        <v>4.99E-2</v>
      </c>
      <c r="N150" s="302">
        <v>-4.82</v>
      </c>
      <c r="O150" s="319"/>
    </row>
    <row r="151" spans="1:15" ht="12.75" customHeight="1" x14ac:dyDescent="0.2">
      <c r="A151" s="6">
        <v>5</v>
      </c>
      <c r="B151" s="9"/>
      <c r="C151" s="305">
        <v>5.3E-3</v>
      </c>
      <c r="D151" s="302">
        <v>117.8</v>
      </c>
      <c r="E151" s="305">
        <v>3.4599999999999999E-2</v>
      </c>
      <c r="F151" s="302">
        <v>159.72999999999999</v>
      </c>
      <c r="G151" s="305">
        <v>1.7600000000000001E-2</v>
      </c>
      <c r="H151" s="302">
        <v>60.13</v>
      </c>
      <c r="I151" s="305">
        <v>4.4999999999999998E-2</v>
      </c>
      <c r="J151" s="302">
        <v>157.54</v>
      </c>
      <c r="K151" s="305">
        <v>3.4200000000000001E-2</v>
      </c>
      <c r="L151" s="302">
        <v>33.54</v>
      </c>
      <c r="M151" s="305">
        <v>3.6999999999999998E-2</v>
      </c>
      <c r="N151" s="302">
        <v>-136.4</v>
      </c>
      <c r="O151" s="319"/>
    </row>
    <row r="152" spans="1:15" ht="12.75" customHeight="1" x14ac:dyDescent="0.2">
      <c r="A152" s="6">
        <v>4.5</v>
      </c>
      <c r="B152" s="9"/>
      <c r="C152" s="305">
        <v>5.7000000000000002E-3</v>
      </c>
      <c r="D152" s="302">
        <v>-12.61</v>
      </c>
      <c r="E152" s="305">
        <v>1.2800000000000001E-2</v>
      </c>
      <c r="F152" s="302">
        <v>22.6</v>
      </c>
      <c r="G152" s="305">
        <v>4.1999999999999997E-3</v>
      </c>
      <c r="H152" s="302">
        <v>148.4</v>
      </c>
      <c r="I152" s="305">
        <v>6.9099999999999995E-2</v>
      </c>
      <c r="J152" s="302">
        <v>-34.4</v>
      </c>
      <c r="K152" s="305">
        <v>0.03</v>
      </c>
      <c r="L152" s="302">
        <v>-70.45</v>
      </c>
      <c r="M152" s="305">
        <v>3.1399999999999997E-2</v>
      </c>
      <c r="N152" s="302">
        <v>-59.38</v>
      </c>
      <c r="O152" s="319"/>
    </row>
    <row r="153" spans="1:15" ht="12.75" customHeight="1" x14ac:dyDescent="0.2">
      <c r="A153" s="6">
        <v>4</v>
      </c>
      <c r="B153" s="9"/>
      <c r="C153" s="305">
        <v>9.2999999999999992E-3</v>
      </c>
      <c r="D153" s="302">
        <v>-12.66</v>
      </c>
      <c r="E153" s="305">
        <v>1.61E-2</v>
      </c>
      <c r="F153" s="302">
        <v>19.66</v>
      </c>
      <c r="G153" s="305">
        <v>5.0000000000000001E-4</v>
      </c>
      <c r="H153" s="302">
        <v>125.57</v>
      </c>
      <c r="I153" s="305">
        <v>3.1E-2</v>
      </c>
      <c r="J153" s="302">
        <v>19.32</v>
      </c>
      <c r="K153" s="305">
        <v>1.2500000000000001E-2</v>
      </c>
      <c r="L153" s="302">
        <v>72.58</v>
      </c>
      <c r="M153" s="305">
        <v>6.8999999999999999E-3</v>
      </c>
      <c r="N153" s="302">
        <v>130.94999999999999</v>
      </c>
      <c r="O153" s="319"/>
    </row>
    <row r="154" spans="1:15" ht="12.75" customHeight="1" x14ac:dyDescent="0.2">
      <c r="A154" s="6">
        <v>3.5</v>
      </c>
      <c r="B154" s="9"/>
      <c r="C154" s="305">
        <v>7.6E-3</v>
      </c>
      <c r="D154" s="302">
        <v>148.16999999999999</v>
      </c>
      <c r="E154" s="305">
        <v>2.3E-3</v>
      </c>
      <c r="F154" s="302">
        <v>131.57</v>
      </c>
      <c r="G154" s="305">
        <v>1.8E-3</v>
      </c>
      <c r="H154" s="302">
        <v>160.49</v>
      </c>
      <c r="I154" s="305">
        <v>1.2E-2</v>
      </c>
      <c r="J154" s="302">
        <v>-36.21</v>
      </c>
      <c r="K154" s="305">
        <v>0.01</v>
      </c>
      <c r="L154" s="302">
        <v>159.06</v>
      </c>
      <c r="M154" s="305">
        <v>1.04E-2</v>
      </c>
      <c r="N154" s="302">
        <v>27.96</v>
      </c>
      <c r="O154" s="319"/>
    </row>
    <row r="155" spans="1:15" ht="12.75" customHeight="1" x14ac:dyDescent="0.2">
      <c r="A155" s="6">
        <v>3.24</v>
      </c>
      <c r="B155" s="9"/>
      <c r="C155" s="305">
        <v>3.8E-3</v>
      </c>
      <c r="D155" s="302">
        <v>9.82</v>
      </c>
      <c r="E155" s="305">
        <v>4.5999999999999999E-3</v>
      </c>
      <c r="F155" s="302">
        <v>86.54</v>
      </c>
      <c r="G155" s="305">
        <v>4.3E-3</v>
      </c>
      <c r="H155" s="302">
        <v>13.94</v>
      </c>
      <c r="I155" s="305">
        <v>1.3899999999999999E-2</v>
      </c>
      <c r="J155" s="302">
        <v>155.49</v>
      </c>
      <c r="K155" s="305">
        <v>7.6E-3</v>
      </c>
      <c r="L155" s="302">
        <v>12.32</v>
      </c>
      <c r="M155" s="305">
        <v>6.7000000000000002E-3</v>
      </c>
      <c r="N155" s="302">
        <v>160.53</v>
      </c>
      <c r="O155" s="319"/>
    </row>
    <row r="156" spans="1:15" ht="12.75" customHeight="1" x14ac:dyDescent="0.2">
      <c r="A156" s="6">
        <v>0</v>
      </c>
      <c r="B156" s="9"/>
      <c r="C156" s="305">
        <v>0</v>
      </c>
      <c r="D156" s="302">
        <v>0</v>
      </c>
      <c r="E156" s="305">
        <v>0</v>
      </c>
      <c r="F156" s="302">
        <v>0</v>
      </c>
      <c r="G156" s="305">
        <v>0</v>
      </c>
      <c r="H156" s="302">
        <v>0</v>
      </c>
      <c r="I156" s="305">
        <v>0</v>
      </c>
      <c r="J156" s="302">
        <v>0</v>
      </c>
      <c r="K156" s="305">
        <v>0</v>
      </c>
      <c r="L156" s="302">
        <v>0</v>
      </c>
      <c r="M156" s="305">
        <v>0</v>
      </c>
      <c r="N156" s="302">
        <v>0</v>
      </c>
      <c r="O156" s="319"/>
    </row>
    <row r="157" spans="1:15" ht="12.75" customHeight="1" x14ac:dyDescent="0.2">
      <c r="A157" s="6">
        <v>0</v>
      </c>
      <c r="B157" s="9"/>
      <c r="C157" s="305">
        <v>0</v>
      </c>
      <c r="D157" s="302">
        <v>0</v>
      </c>
      <c r="E157" s="305">
        <v>0</v>
      </c>
      <c r="F157" s="302">
        <v>0</v>
      </c>
      <c r="G157" s="305">
        <v>0</v>
      </c>
      <c r="H157" s="302">
        <v>0</v>
      </c>
      <c r="I157" s="305">
        <v>0</v>
      </c>
      <c r="J157" s="302">
        <v>0</v>
      </c>
      <c r="K157" s="305">
        <v>0</v>
      </c>
      <c r="L157" s="302">
        <v>0</v>
      </c>
      <c r="M157" s="305">
        <v>0</v>
      </c>
      <c r="N157" s="302">
        <v>0</v>
      </c>
      <c r="O157" s="319"/>
    </row>
    <row r="158" spans="1:15" ht="12.75" customHeight="1" x14ac:dyDescent="0.2">
      <c r="A158" s="6">
        <v>0</v>
      </c>
      <c r="B158" s="9"/>
      <c r="C158" s="305">
        <v>0</v>
      </c>
      <c r="D158" s="302">
        <v>0</v>
      </c>
      <c r="E158" s="305">
        <v>0</v>
      </c>
      <c r="F158" s="302">
        <v>0</v>
      </c>
      <c r="G158" s="305">
        <v>0</v>
      </c>
      <c r="H158" s="302">
        <v>0</v>
      </c>
      <c r="I158" s="305">
        <v>0</v>
      </c>
      <c r="J158" s="302">
        <v>0</v>
      </c>
      <c r="K158" s="305">
        <v>0</v>
      </c>
      <c r="L158" s="302">
        <v>0</v>
      </c>
      <c r="M158" s="305">
        <v>0</v>
      </c>
      <c r="N158" s="302">
        <v>0</v>
      </c>
      <c r="O158" s="319"/>
    </row>
    <row r="159" spans="1:15" ht="12.75" customHeight="1" x14ac:dyDescent="0.2">
      <c r="A159" s="6">
        <v>0</v>
      </c>
      <c r="B159" s="9"/>
      <c r="C159" s="305">
        <v>0</v>
      </c>
      <c r="D159" s="302">
        <v>0</v>
      </c>
      <c r="E159" s="305">
        <v>0</v>
      </c>
      <c r="F159" s="302">
        <v>0</v>
      </c>
      <c r="G159" s="305">
        <v>0</v>
      </c>
      <c r="H159" s="302">
        <v>0</v>
      </c>
      <c r="I159" s="305">
        <v>0</v>
      </c>
      <c r="J159" s="302">
        <v>0</v>
      </c>
      <c r="K159" s="305">
        <v>0</v>
      </c>
      <c r="L159" s="302">
        <v>0</v>
      </c>
      <c r="M159" s="305">
        <v>0</v>
      </c>
      <c r="N159" s="302">
        <v>0</v>
      </c>
      <c r="O159" s="319"/>
    </row>
    <row r="160" spans="1:15" ht="12.75" customHeight="1" thickBot="1" x14ac:dyDescent="0.25">
      <c r="A160" s="10">
        <v>0</v>
      </c>
      <c r="B160" s="11"/>
      <c r="C160" s="12">
        <v>0</v>
      </c>
      <c r="D160" s="13">
        <v>0</v>
      </c>
      <c r="E160" s="12">
        <v>0</v>
      </c>
      <c r="F160" s="13">
        <v>0</v>
      </c>
      <c r="G160" s="12">
        <v>0</v>
      </c>
      <c r="H160" s="13">
        <v>0</v>
      </c>
      <c r="I160" s="12">
        <v>0</v>
      </c>
      <c r="J160" s="13">
        <v>0</v>
      </c>
      <c r="K160" s="12">
        <v>0</v>
      </c>
      <c r="L160" s="13">
        <v>0</v>
      </c>
      <c r="M160" s="12">
        <v>0</v>
      </c>
      <c r="N160" s="13">
        <v>0</v>
      </c>
      <c r="O160" s="319"/>
    </row>
    <row r="161" spans="1:15" ht="20.100000000000001" customHeight="1" x14ac:dyDescent="0.25">
      <c r="A161" s="333" t="str">
        <f>A121</f>
        <v>Paragon DPDS2</v>
      </c>
      <c r="B161" s="333"/>
      <c r="C161" s="333"/>
      <c r="D161" s="333"/>
      <c r="E161" s="333"/>
      <c r="F161" s="333"/>
      <c r="G161" s="333"/>
      <c r="H161" s="333"/>
      <c r="I161" s="333"/>
      <c r="J161" s="333"/>
      <c r="K161" s="333"/>
      <c r="L161" s="333"/>
      <c r="M161" s="333"/>
      <c r="N161" s="333"/>
      <c r="O161" s="311"/>
    </row>
    <row r="162" spans="1:15" ht="20.100000000000001" customHeight="1" thickBot="1" x14ac:dyDescent="0.3">
      <c r="A162" s="334" t="s">
        <v>5</v>
      </c>
      <c r="B162" s="334"/>
      <c r="C162" s="334"/>
      <c r="D162" s="334"/>
      <c r="E162" s="334"/>
      <c r="F162" s="334"/>
      <c r="G162" s="334"/>
      <c r="H162" s="334"/>
      <c r="I162" s="334"/>
      <c r="J162" s="334"/>
      <c r="K162" s="334"/>
      <c r="L162" s="334"/>
      <c r="M162" s="334"/>
      <c r="N162" s="334"/>
      <c r="O162" s="317"/>
    </row>
    <row r="163" spans="1:15" ht="12.75" customHeight="1" x14ac:dyDescent="0.2">
      <c r="A163" s="335" t="s">
        <v>12</v>
      </c>
      <c r="B163" s="337" t="s">
        <v>13</v>
      </c>
      <c r="C163" s="339" t="s">
        <v>6</v>
      </c>
      <c r="D163" s="340"/>
      <c r="E163" s="339" t="s">
        <v>7</v>
      </c>
      <c r="F163" s="340"/>
      <c r="G163" s="339" t="s">
        <v>8</v>
      </c>
      <c r="H163" s="340"/>
      <c r="I163" s="339" t="s">
        <v>9</v>
      </c>
      <c r="J163" s="340"/>
      <c r="K163" s="339" t="s">
        <v>10</v>
      </c>
      <c r="L163" s="340"/>
      <c r="M163" s="339" t="s">
        <v>11</v>
      </c>
      <c r="N163" s="340"/>
      <c r="O163" s="318"/>
    </row>
    <row r="164" spans="1:15" ht="12.75" customHeight="1" x14ac:dyDescent="0.2">
      <c r="A164" s="336"/>
      <c r="B164" s="338"/>
      <c r="C164" s="304" t="s">
        <v>0</v>
      </c>
      <c r="D164" s="312" t="s">
        <v>1</v>
      </c>
      <c r="E164" s="304" t="s">
        <v>0</v>
      </c>
      <c r="F164" s="312" t="s">
        <v>1</v>
      </c>
      <c r="G164" s="304" t="s">
        <v>0</v>
      </c>
      <c r="H164" s="312" t="s">
        <v>1</v>
      </c>
      <c r="I164" s="304" t="s">
        <v>0</v>
      </c>
      <c r="J164" s="312" t="s">
        <v>1</v>
      </c>
      <c r="K164" s="304" t="s">
        <v>0</v>
      </c>
      <c r="L164" s="312" t="s">
        <v>1</v>
      </c>
      <c r="M164" s="304" t="s">
        <v>0</v>
      </c>
      <c r="N164" s="312" t="s">
        <v>1</v>
      </c>
      <c r="O164" s="318"/>
    </row>
    <row r="165" spans="1:15" ht="12.75" customHeight="1" thickBot="1" x14ac:dyDescent="0.25">
      <c r="A165" s="2" t="s">
        <v>14</v>
      </c>
      <c r="B165" s="3" t="s">
        <v>15</v>
      </c>
      <c r="C165" s="2" t="s">
        <v>19</v>
      </c>
      <c r="D165" s="3" t="s">
        <v>15</v>
      </c>
      <c r="E165" s="2" t="s">
        <v>19</v>
      </c>
      <c r="F165" s="3" t="s">
        <v>15</v>
      </c>
      <c r="G165" s="2" t="s">
        <v>19</v>
      </c>
      <c r="H165" s="3" t="s">
        <v>15</v>
      </c>
      <c r="I165" s="2" t="s">
        <v>20</v>
      </c>
      <c r="J165" s="3" t="s">
        <v>15</v>
      </c>
      <c r="K165" s="2" t="s">
        <v>20</v>
      </c>
      <c r="L165" s="3" t="s">
        <v>15</v>
      </c>
      <c r="M165" s="2" t="s">
        <v>20</v>
      </c>
      <c r="N165" s="3" t="s">
        <v>15</v>
      </c>
      <c r="O165" s="318"/>
    </row>
    <row r="166" spans="1:15" ht="12.75" customHeight="1" x14ac:dyDescent="0.2">
      <c r="A166" s="4">
        <v>30</v>
      </c>
      <c r="B166" s="5">
        <v>60</v>
      </c>
      <c r="C166" s="305">
        <v>0.48959999999999998</v>
      </c>
      <c r="D166" s="302">
        <v>90.08</v>
      </c>
      <c r="E166" s="305">
        <v>0.83289999999999997</v>
      </c>
      <c r="F166" s="302">
        <v>89.9</v>
      </c>
      <c r="G166" s="305">
        <v>0.99750000000000005</v>
      </c>
      <c r="H166" s="302">
        <v>0.01</v>
      </c>
      <c r="I166" s="305">
        <v>0.43430000000000002</v>
      </c>
      <c r="J166" s="302">
        <v>98.86</v>
      </c>
      <c r="K166" s="305">
        <v>0.12920000000000001</v>
      </c>
      <c r="L166" s="302">
        <v>-90.96</v>
      </c>
      <c r="M166" s="305">
        <v>8.8700000000000001E-2</v>
      </c>
      <c r="N166" s="302">
        <v>-176.86</v>
      </c>
      <c r="O166" s="319"/>
    </row>
    <row r="167" spans="1:15" ht="12.75" customHeight="1" x14ac:dyDescent="0.2">
      <c r="A167" s="6">
        <v>28</v>
      </c>
      <c r="B167" s="7"/>
      <c r="C167" s="305">
        <v>0.48780000000000001</v>
      </c>
      <c r="D167" s="302">
        <v>90.08</v>
      </c>
      <c r="E167" s="305">
        <v>0.82320000000000004</v>
      </c>
      <c r="F167" s="302">
        <v>89.7</v>
      </c>
      <c r="G167" s="305">
        <v>0.99680000000000002</v>
      </c>
      <c r="H167" s="302">
        <v>0.02</v>
      </c>
      <c r="I167" s="305">
        <v>0.62629999999999997</v>
      </c>
      <c r="J167" s="302">
        <v>103.87</v>
      </c>
      <c r="K167" s="305">
        <v>0.14849999999999999</v>
      </c>
      <c r="L167" s="302">
        <v>-91.1</v>
      </c>
      <c r="M167" s="305">
        <v>0.1003</v>
      </c>
      <c r="N167" s="302">
        <v>-175.76</v>
      </c>
      <c r="O167" s="319"/>
    </row>
    <row r="168" spans="1:15" ht="12.75" customHeight="1" x14ac:dyDescent="0.2">
      <c r="A168" s="6">
        <v>26</v>
      </c>
      <c r="B168" s="7"/>
      <c r="C168" s="305">
        <v>0.4854</v>
      </c>
      <c r="D168" s="302">
        <v>90.07</v>
      </c>
      <c r="E168" s="305">
        <v>0.80679999999999996</v>
      </c>
      <c r="F168" s="302">
        <v>88.79</v>
      </c>
      <c r="G168" s="305">
        <v>0.99570000000000003</v>
      </c>
      <c r="H168" s="302">
        <v>0.02</v>
      </c>
      <c r="I168" s="305">
        <v>1.0842000000000001</v>
      </c>
      <c r="J168" s="302">
        <v>118.63</v>
      </c>
      <c r="K168" s="305">
        <v>0.1724</v>
      </c>
      <c r="L168" s="302">
        <v>-91.28</v>
      </c>
      <c r="M168" s="305">
        <v>0.1108</v>
      </c>
      <c r="N168" s="302">
        <v>-173.51</v>
      </c>
      <c r="O168" s="319"/>
    </row>
    <row r="169" spans="1:15" ht="12.75" customHeight="1" x14ac:dyDescent="0.2">
      <c r="A169" s="6">
        <v>24</v>
      </c>
      <c r="B169" s="7"/>
      <c r="C169" s="305">
        <v>0.4824</v>
      </c>
      <c r="D169" s="302">
        <v>90.06</v>
      </c>
      <c r="E169" s="305">
        <v>0.8347</v>
      </c>
      <c r="F169" s="302">
        <v>85.76</v>
      </c>
      <c r="G169" s="305">
        <v>0.99409999999999998</v>
      </c>
      <c r="H169" s="302">
        <v>0.03</v>
      </c>
      <c r="I169" s="305">
        <v>1.7742</v>
      </c>
      <c r="J169" s="302">
        <v>178.26</v>
      </c>
      <c r="K169" s="305">
        <v>0.20269999999999999</v>
      </c>
      <c r="L169" s="302">
        <v>-91.5</v>
      </c>
      <c r="M169" s="305">
        <v>0.1099</v>
      </c>
      <c r="N169" s="302">
        <v>178.99</v>
      </c>
      <c r="O169" s="319"/>
    </row>
    <row r="170" spans="1:15" ht="12.75" customHeight="1" x14ac:dyDescent="0.2">
      <c r="A170" s="6">
        <v>22</v>
      </c>
      <c r="B170" s="7"/>
      <c r="C170" s="305">
        <v>0.4783</v>
      </c>
      <c r="D170" s="302">
        <v>90.05</v>
      </c>
      <c r="E170" s="305">
        <v>0.84850000000000003</v>
      </c>
      <c r="F170" s="302">
        <v>88.75</v>
      </c>
      <c r="G170" s="305">
        <v>0.99180000000000001</v>
      </c>
      <c r="H170" s="302">
        <v>0.06</v>
      </c>
      <c r="I170" s="305">
        <v>0.81559999999999999</v>
      </c>
      <c r="J170" s="302">
        <v>-132.77000000000001</v>
      </c>
      <c r="K170" s="305">
        <v>0.2417</v>
      </c>
      <c r="L170" s="302">
        <v>-91.8</v>
      </c>
      <c r="M170" s="305">
        <v>0.15440000000000001</v>
      </c>
      <c r="N170" s="302">
        <v>175.22</v>
      </c>
      <c r="O170" s="319"/>
    </row>
    <row r="171" spans="1:15" ht="12.75" customHeight="1" x14ac:dyDescent="0.2">
      <c r="A171" s="6">
        <v>20</v>
      </c>
      <c r="B171" s="7"/>
      <c r="C171" s="305">
        <v>0.47260000000000002</v>
      </c>
      <c r="D171" s="302">
        <v>90.03</v>
      </c>
      <c r="E171" s="305">
        <v>0.82750000000000001</v>
      </c>
      <c r="F171" s="302">
        <v>89.53</v>
      </c>
      <c r="G171" s="305">
        <v>0.98819999999999997</v>
      </c>
      <c r="H171" s="302">
        <v>0.1</v>
      </c>
      <c r="I171" s="305">
        <v>0.38690000000000002</v>
      </c>
      <c r="J171" s="302">
        <v>-126.58</v>
      </c>
      <c r="K171" s="305">
        <v>0.29310000000000003</v>
      </c>
      <c r="L171" s="302">
        <v>-92.21</v>
      </c>
      <c r="M171" s="305">
        <v>0.19109999999999999</v>
      </c>
      <c r="N171" s="302">
        <v>177.28</v>
      </c>
      <c r="O171" s="319"/>
    </row>
    <row r="172" spans="1:15" ht="12.75" customHeight="1" x14ac:dyDescent="0.2">
      <c r="A172" s="6">
        <v>19</v>
      </c>
      <c r="B172" s="7"/>
      <c r="C172" s="305">
        <v>0.46899999999999997</v>
      </c>
      <c r="D172" s="302">
        <v>90.01</v>
      </c>
      <c r="E172" s="305">
        <v>0.81679999999999997</v>
      </c>
      <c r="F172" s="302">
        <v>89.67</v>
      </c>
      <c r="G172" s="305">
        <v>0.98570000000000002</v>
      </c>
      <c r="H172" s="302">
        <v>0.13</v>
      </c>
      <c r="I172" s="305">
        <v>0.27410000000000001</v>
      </c>
      <c r="J172" s="302">
        <v>-130.35</v>
      </c>
      <c r="K172" s="305">
        <v>0.32529999999999998</v>
      </c>
      <c r="L172" s="302">
        <v>-92.47</v>
      </c>
      <c r="M172" s="305">
        <v>0.21129999999999999</v>
      </c>
      <c r="N172" s="302">
        <v>177.85</v>
      </c>
      <c r="O172" s="319"/>
    </row>
    <row r="173" spans="1:15" ht="12.75" customHeight="1" x14ac:dyDescent="0.2">
      <c r="A173" s="6">
        <v>18</v>
      </c>
      <c r="B173" s="7"/>
      <c r="C173" s="305">
        <v>0.46450000000000002</v>
      </c>
      <c r="D173" s="302">
        <v>89.99</v>
      </c>
      <c r="E173" s="305">
        <v>0.80500000000000005</v>
      </c>
      <c r="F173" s="302">
        <v>89.75</v>
      </c>
      <c r="G173" s="305">
        <v>0.98250000000000004</v>
      </c>
      <c r="H173" s="302">
        <v>0.18</v>
      </c>
      <c r="I173" s="305">
        <v>0.1933</v>
      </c>
      <c r="J173" s="302">
        <v>-139.99</v>
      </c>
      <c r="K173" s="305">
        <v>0.36320000000000002</v>
      </c>
      <c r="L173" s="302">
        <v>-92.78</v>
      </c>
      <c r="M173" s="305">
        <v>0.2339</v>
      </c>
      <c r="N173" s="302">
        <v>178.26</v>
      </c>
      <c r="O173" s="319"/>
    </row>
    <row r="174" spans="1:15" ht="12.75" customHeight="1" x14ac:dyDescent="0.2">
      <c r="A174" s="6">
        <v>17</v>
      </c>
      <c r="B174" s="7"/>
      <c r="C174" s="305">
        <v>0.4592</v>
      </c>
      <c r="D174" s="302">
        <v>89.96</v>
      </c>
      <c r="E174" s="305">
        <v>0.79159999999999997</v>
      </c>
      <c r="F174" s="302">
        <v>89.8</v>
      </c>
      <c r="G174" s="305">
        <v>0.97829999999999995</v>
      </c>
      <c r="H174" s="302">
        <v>0.26</v>
      </c>
      <c r="I174" s="305">
        <v>0.14030000000000001</v>
      </c>
      <c r="J174" s="302">
        <v>-159.56</v>
      </c>
      <c r="K174" s="305">
        <v>0.40820000000000001</v>
      </c>
      <c r="L174" s="302">
        <v>-93.14</v>
      </c>
      <c r="M174" s="305">
        <v>0.25969999999999999</v>
      </c>
      <c r="N174" s="302">
        <v>178.57</v>
      </c>
      <c r="O174" s="319"/>
    </row>
    <row r="175" spans="1:15" ht="12.75" customHeight="1" x14ac:dyDescent="0.2">
      <c r="A175" s="6">
        <v>16</v>
      </c>
      <c r="B175" s="7"/>
      <c r="C175" s="305">
        <v>0.4526</v>
      </c>
      <c r="D175" s="302">
        <v>89.92</v>
      </c>
      <c r="E175" s="305">
        <v>0.77539999999999998</v>
      </c>
      <c r="F175" s="302">
        <v>89.82</v>
      </c>
      <c r="G175" s="305">
        <v>0.9728</v>
      </c>
      <c r="H175" s="302">
        <v>0.37</v>
      </c>
      <c r="I175" s="305">
        <v>0.12479999999999999</v>
      </c>
      <c r="J175" s="302">
        <v>169.61</v>
      </c>
      <c r="K175" s="305">
        <v>0.46229999999999999</v>
      </c>
      <c r="L175" s="302">
        <v>-93.58</v>
      </c>
      <c r="M175" s="305">
        <v>0.2893</v>
      </c>
      <c r="N175" s="302">
        <v>178.81</v>
      </c>
      <c r="O175" s="319"/>
    </row>
    <row r="176" spans="1:15" ht="12.75" customHeight="1" x14ac:dyDescent="0.2">
      <c r="A176" s="6">
        <v>15</v>
      </c>
      <c r="B176" s="7"/>
      <c r="C176" s="305">
        <v>0.44450000000000001</v>
      </c>
      <c r="D176" s="302">
        <v>89.89</v>
      </c>
      <c r="E176" s="305">
        <v>0.75570000000000004</v>
      </c>
      <c r="F176" s="302">
        <v>89.81</v>
      </c>
      <c r="G176" s="305">
        <v>0.96560000000000001</v>
      </c>
      <c r="H176" s="302">
        <v>0.56000000000000005</v>
      </c>
      <c r="I176" s="305">
        <v>0.15229999999999999</v>
      </c>
      <c r="J176" s="302">
        <v>141.59</v>
      </c>
      <c r="K176" s="305">
        <v>0.52839999999999998</v>
      </c>
      <c r="L176" s="302">
        <v>-94.09</v>
      </c>
      <c r="M176" s="305">
        <v>0.32319999999999999</v>
      </c>
      <c r="N176" s="302">
        <v>179.01</v>
      </c>
      <c r="O176" s="319"/>
    </row>
    <row r="177" spans="1:15" ht="12.75" customHeight="1" x14ac:dyDescent="0.2">
      <c r="A177" s="6">
        <v>14</v>
      </c>
      <c r="B177" s="7"/>
      <c r="C177" s="305">
        <v>0.43440000000000001</v>
      </c>
      <c r="D177" s="302">
        <v>89.89</v>
      </c>
      <c r="E177" s="305">
        <v>0.73089999999999999</v>
      </c>
      <c r="F177" s="302">
        <v>89.78</v>
      </c>
      <c r="G177" s="305">
        <v>0.95609999999999995</v>
      </c>
      <c r="H177" s="302">
        <v>0.87</v>
      </c>
      <c r="I177" s="305">
        <v>0.2092</v>
      </c>
      <c r="J177" s="302">
        <v>124.95</v>
      </c>
      <c r="K177" s="305">
        <v>0.61080000000000001</v>
      </c>
      <c r="L177" s="302">
        <v>-94.68</v>
      </c>
      <c r="M177" s="305">
        <v>0.36209999999999998</v>
      </c>
      <c r="N177" s="302">
        <v>179.19</v>
      </c>
      <c r="O177" s="319"/>
    </row>
    <row r="178" spans="1:15" ht="12.75" customHeight="1" x14ac:dyDescent="0.2">
      <c r="A178" s="6">
        <v>13</v>
      </c>
      <c r="B178" s="7"/>
      <c r="C178" s="305">
        <v>0.42180000000000001</v>
      </c>
      <c r="D178" s="302">
        <v>89.98</v>
      </c>
      <c r="E178" s="305">
        <v>0.69930000000000003</v>
      </c>
      <c r="F178" s="302">
        <v>89.73</v>
      </c>
      <c r="G178" s="305">
        <v>0.94420000000000004</v>
      </c>
      <c r="H178" s="302">
        <v>1.41</v>
      </c>
      <c r="I178" s="305">
        <v>0.28539999999999999</v>
      </c>
      <c r="J178" s="302">
        <v>115.6</v>
      </c>
      <c r="K178" s="305">
        <v>0.71599999999999997</v>
      </c>
      <c r="L178" s="302">
        <v>-95.28</v>
      </c>
      <c r="M178" s="305">
        <v>0.40620000000000001</v>
      </c>
      <c r="N178" s="302">
        <v>179.39</v>
      </c>
      <c r="O178" s="319"/>
    </row>
    <row r="179" spans="1:15" ht="12.75" customHeight="1" x14ac:dyDescent="0.2">
      <c r="A179" s="6">
        <v>12</v>
      </c>
      <c r="B179" s="8"/>
      <c r="C179" s="305">
        <v>0.40539999999999998</v>
      </c>
      <c r="D179" s="302">
        <v>90.36</v>
      </c>
      <c r="E179" s="305">
        <v>0.65890000000000004</v>
      </c>
      <c r="F179" s="302">
        <v>89.66</v>
      </c>
      <c r="G179" s="305">
        <v>0.93149999999999999</v>
      </c>
      <c r="H179" s="302">
        <v>2.4900000000000002</v>
      </c>
      <c r="I179" s="305">
        <v>0.38100000000000001</v>
      </c>
      <c r="J179" s="302">
        <v>109.8</v>
      </c>
      <c r="K179" s="305">
        <v>0.85419999999999996</v>
      </c>
      <c r="L179" s="302">
        <v>-95.77</v>
      </c>
      <c r="M179" s="305">
        <v>0.45490000000000003</v>
      </c>
      <c r="N179" s="302">
        <v>179.64</v>
      </c>
      <c r="O179" s="319"/>
    </row>
    <row r="180" spans="1:15" ht="12.75" customHeight="1" x14ac:dyDescent="0.2">
      <c r="A180" s="6">
        <v>11</v>
      </c>
      <c r="B180" s="8"/>
      <c r="C180" s="305">
        <v>0.38319999999999999</v>
      </c>
      <c r="D180" s="302">
        <v>91.4</v>
      </c>
      <c r="E180" s="305">
        <v>0.60680000000000001</v>
      </c>
      <c r="F180" s="302">
        <v>89.69</v>
      </c>
      <c r="G180" s="305">
        <v>0.92849999999999999</v>
      </c>
      <c r="H180" s="302">
        <v>5.3</v>
      </c>
      <c r="I180" s="305">
        <v>0.50370000000000004</v>
      </c>
      <c r="J180" s="302">
        <v>105.81</v>
      </c>
      <c r="K180" s="305">
        <v>1.0434000000000001</v>
      </c>
      <c r="L180" s="302">
        <v>-95.87</v>
      </c>
      <c r="M180" s="305">
        <v>0.50539999999999996</v>
      </c>
      <c r="N180" s="302">
        <v>179.99</v>
      </c>
      <c r="O180" s="319"/>
    </row>
    <row r="181" spans="1:15" ht="12.75" customHeight="1" x14ac:dyDescent="0.2">
      <c r="A181" s="6">
        <v>10</v>
      </c>
      <c r="B181" s="8"/>
      <c r="C181" s="305">
        <v>0.35389999999999999</v>
      </c>
      <c r="D181" s="302">
        <v>94.03</v>
      </c>
      <c r="E181" s="305">
        <v>0.53979999999999995</v>
      </c>
      <c r="F181" s="302">
        <v>90.38</v>
      </c>
      <c r="G181" s="305">
        <v>0.98340000000000005</v>
      </c>
      <c r="H181" s="302">
        <v>17.100000000000001</v>
      </c>
      <c r="I181" s="305">
        <v>0.67430000000000001</v>
      </c>
      <c r="J181" s="302">
        <v>103.35</v>
      </c>
      <c r="K181" s="305">
        <v>1.3462000000000001</v>
      </c>
      <c r="L181" s="302">
        <v>-95.11</v>
      </c>
      <c r="M181" s="305">
        <v>0.55049999999999999</v>
      </c>
      <c r="N181" s="302">
        <v>-179.44</v>
      </c>
      <c r="O181" s="319"/>
    </row>
    <row r="182" spans="1:15" ht="12.75" customHeight="1" x14ac:dyDescent="0.2">
      <c r="A182" s="6">
        <v>9.5</v>
      </c>
      <c r="B182" s="8"/>
      <c r="C182" s="305">
        <v>0.33989999999999998</v>
      </c>
      <c r="D182" s="302">
        <v>98.14</v>
      </c>
      <c r="E182" s="305">
        <v>0.49880000000000002</v>
      </c>
      <c r="F182" s="302">
        <v>91.55</v>
      </c>
      <c r="G182" s="305">
        <v>1.0429999999999999</v>
      </c>
      <c r="H182" s="302">
        <v>41.28</v>
      </c>
      <c r="I182" s="305">
        <v>0.79059999999999997</v>
      </c>
      <c r="J182" s="302">
        <v>103.26</v>
      </c>
      <c r="K182" s="305">
        <v>1.6568000000000001</v>
      </c>
      <c r="L182" s="302">
        <v>-91.3</v>
      </c>
      <c r="M182" s="305">
        <v>0.56659999999999999</v>
      </c>
      <c r="N182" s="302">
        <v>-179</v>
      </c>
      <c r="O182" s="319"/>
    </row>
    <row r="183" spans="1:15" ht="12.75" customHeight="1" x14ac:dyDescent="0.2">
      <c r="A183" s="6">
        <v>9</v>
      </c>
      <c r="B183" s="8"/>
      <c r="C183" s="305">
        <v>0.2873</v>
      </c>
      <c r="D183" s="302">
        <v>108.01</v>
      </c>
      <c r="E183" s="305">
        <v>0.44990000000000002</v>
      </c>
      <c r="F183" s="302">
        <v>94.08</v>
      </c>
      <c r="G183" s="305">
        <v>0.63360000000000005</v>
      </c>
      <c r="H183" s="302">
        <v>109.73</v>
      </c>
      <c r="I183" s="305">
        <v>0.93569999999999998</v>
      </c>
      <c r="J183" s="302">
        <v>104.9</v>
      </c>
      <c r="K183" s="305">
        <v>1.8486</v>
      </c>
      <c r="L183" s="302">
        <v>-73.569999999999993</v>
      </c>
      <c r="M183" s="305">
        <v>0.57430000000000003</v>
      </c>
      <c r="N183" s="302">
        <v>-178.31</v>
      </c>
      <c r="O183" s="319"/>
    </row>
    <row r="184" spans="1:15" ht="12.75" customHeight="1" x14ac:dyDescent="0.2">
      <c r="A184" s="6">
        <v>8.5</v>
      </c>
      <c r="B184" s="8"/>
      <c r="C184" s="305">
        <v>0.222</v>
      </c>
      <c r="D184" s="302">
        <v>110.88</v>
      </c>
      <c r="E184" s="305">
        <v>0.38779999999999998</v>
      </c>
      <c r="F184" s="302">
        <v>99.28</v>
      </c>
      <c r="G184" s="305">
        <v>0.23150000000000001</v>
      </c>
      <c r="H184" s="302">
        <v>-134.74</v>
      </c>
      <c r="I184" s="305">
        <v>1.1031</v>
      </c>
      <c r="J184" s="302">
        <v>109.63</v>
      </c>
      <c r="K184" s="305">
        <v>1.6233</v>
      </c>
      <c r="L184" s="302">
        <v>-64.650000000000006</v>
      </c>
      <c r="M184" s="305">
        <v>0.56899999999999995</v>
      </c>
      <c r="N184" s="302">
        <v>-177.07</v>
      </c>
      <c r="O184" s="319"/>
    </row>
    <row r="185" spans="1:15" ht="12.75" customHeight="1" x14ac:dyDescent="0.2">
      <c r="A185" s="6">
        <v>8</v>
      </c>
      <c r="B185" s="8"/>
      <c r="C185" s="305">
        <v>0.16159999999999999</v>
      </c>
      <c r="D185" s="302">
        <v>120.62</v>
      </c>
      <c r="E185" s="305">
        <v>0.3039</v>
      </c>
      <c r="F185" s="302">
        <v>109.14</v>
      </c>
      <c r="G185" s="305">
        <v>0.3584</v>
      </c>
      <c r="H185" s="302">
        <v>-78.17</v>
      </c>
      <c r="I185" s="305">
        <v>1.2403</v>
      </c>
      <c r="J185" s="302">
        <v>118.73</v>
      </c>
      <c r="K185" s="305">
        <v>1.4494</v>
      </c>
      <c r="L185" s="302">
        <v>-52.23</v>
      </c>
      <c r="M185" s="305">
        <v>0.54249999999999998</v>
      </c>
      <c r="N185" s="302">
        <v>-174.26</v>
      </c>
      <c r="O185" s="319"/>
    </row>
    <row r="186" spans="1:15" ht="12.75" customHeight="1" x14ac:dyDescent="0.2">
      <c r="A186" s="6">
        <v>7.5</v>
      </c>
      <c r="B186" s="8"/>
      <c r="C186" s="305">
        <v>7.5200000000000003E-2</v>
      </c>
      <c r="D186" s="302">
        <v>125.1</v>
      </c>
      <c r="E186" s="305">
        <v>0.1986</v>
      </c>
      <c r="F186" s="302">
        <v>126.41</v>
      </c>
      <c r="G186" s="305">
        <v>0.3548</v>
      </c>
      <c r="H186" s="302">
        <v>-58.45</v>
      </c>
      <c r="I186" s="305">
        <v>1.2305999999999999</v>
      </c>
      <c r="J186" s="302">
        <v>131.33000000000001</v>
      </c>
      <c r="K186" s="305">
        <v>0.77059999999999995</v>
      </c>
      <c r="L186" s="302">
        <v>-44.87</v>
      </c>
      <c r="M186" s="305">
        <v>0.46179999999999999</v>
      </c>
      <c r="N186" s="302">
        <v>-167.04</v>
      </c>
      <c r="O186" s="319"/>
    </row>
    <row r="187" spans="1:15" ht="12.75" customHeight="1" x14ac:dyDescent="0.2">
      <c r="A187" s="6">
        <v>7</v>
      </c>
      <c r="B187" s="8"/>
      <c r="C187" s="305">
        <v>3.5400000000000001E-2</v>
      </c>
      <c r="D187" s="302">
        <v>112.26</v>
      </c>
      <c r="E187" s="305">
        <v>0.1067</v>
      </c>
      <c r="F187" s="302">
        <v>157.59</v>
      </c>
      <c r="G187" s="305">
        <v>0.2838</v>
      </c>
      <c r="H187" s="302">
        <v>-61.49</v>
      </c>
      <c r="I187" s="305">
        <v>1.02</v>
      </c>
      <c r="J187" s="302">
        <v>142.41</v>
      </c>
      <c r="K187" s="305">
        <v>0.57310000000000005</v>
      </c>
      <c r="L187" s="302">
        <v>-81.55</v>
      </c>
      <c r="M187" s="305">
        <v>0.27679999999999999</v>
      </c>
      <c r="N187" s="302">
        <v>-163.43</v>
      </c>
      <c r="O187" s="319"/>
    </row>
    <row r="188" spans="1:15" ht="12.75" customHeight="1" x14ac:dyDescent="0.2">
      <c r="A188" s="6">
        <v>6.5</v>
      </c>
      <c r="B188" s="9"/>
      <c r="C188" s="305">
        <v>6.1999999999999998E-3</v>
      </c>
      <c r="D188" s="302">
        <v>118.04</v>
      </c>
      <c r="E188" s="305">
        <v>7.8899999999999998E-2</v>
      </c>
      <c r="F188" s="302">
        <v>-154.69999999999999</v>
      </c>
      <c r="G188" s="305">
        <v>0.21410000000000001</v>
      </c>
      <c r="H188" s="302">
        <v>-76.73</v>
      </c>
      <c r="I188" s="305">
        <v>0.69899999999999995</v>
      </c>
      <c r="J188" s="302">
        <v>146.18</v>
      </c>
      <c r="K188" s="305">
        <v>0.52859999999999996</v>
      </c>
      <c r="L188" s="302">
        <v>-93.75</v>
      </c>
      <c r="M188" s="305">
        <v>0.1404</v>
      </c>
      <c r="N188" s="302">
        <v>-175.25</v>
      </c>
      <c r="O188" s="319"/>
    </row>
    <row r="189" spans="1:15" ht="12.75" customHeight="1" x14ac:dyDescent="0.2">
      <c r="A189" s="6">
        <v>6</v>
      </c>
      <c r="B189" s="9"/>
      <c r="C189" s="305">
        <v>3.5999999999999999E-3</v>
      </c>
      <c r="D189" s="302">
        <v>-160.76</v>
      </c>
      <c r="E189" s="305">
        <v>9.4899999999999998E-2</v>
      </c>
      <c r="F189" s="302">
        <v>-136.19999999999999</v>
      </c>
      <c r="G189" s="305">
        <v>0.20760000000000001</v>
      </c>
      <c r="H189" s="302">
        <v>-94.57</v>
      </c>
      <c r="I189" s="305">
        <v>0.498</v>
      </c>
      <c r="J189" s="302">
        <v>139.94</v>
      </c>
      <c r="K189" s="305">
        <v>0.33579999999999999</v>
      </c>
      <c r="L189" s="302">
        <v>-116.08</v>
      </c>
      <c r="M189" s="305">
        <v>1.6E-2</v>
      </c>
      <c r="N189" s="302">
        <v>154.24</v>
      </c>
      <c r="O189" s="319"/>
    </row>
    <row r="190" spans="1:15" ht="12.75" customHeight="1" x14ac:dyDescent="0.2">
      <c r="A190" s="6">
        <v>5.5</v>
      </c>
      <c r="B190" s="9"/>
      <c r="C190" s="305">
        <v>2.8299999999999999E-2</v>
      </c>
      <c r="D190" s="302">
        <v>166.05</v>
      </c>
      <c r="E190" s="305">
        <v>7.5600000000000001E-2</v>
      </c>
      <c r="F190" s="302">
        <v>-134.80000000000001</v>
      </c>
      <c r="G190" s="305">
        <v>0.121</v>
      </c>
      <c r="H190" s="302">
        <v>-100.44</v>
      </c>
      <c r="I190" s="305">
        <v>0.27310000000000001</v>
      </c>
      <c r="J190" s="302">
        <v>131.88999999999999</v>
      </c>
      <c r="K190" s="305">
        <v>0.27579999999999999</v>
      </c>
      <c r="L190" s="302">
        <v>-164.27</v>
      </c>
      <c r="M190" s="305">
        <v>6.7900000000000002E-2</v>
      </c>
      <c r="N190" s="302">
        <v>19.100000000000001</v>
      </c>
      <c r="O190" s="319"/>
    </row>
    <row r="191" spans="1:15" ht="12.75" customHeight="1" x14ac:dyDescent="0.2">
      <c r="A191" s="6">
        <v>5</v>
      </c>
      <c r="B191" s="9"/>
      <c r="C191" s="305">
        <v>2.3199999999999998E-2</v>
      </c>
      <c r="D191" s="302">
        <v>-171.36</v>
      </c>
      <c r="E191" s="305">
        <v>5.6500000000000002E-2</v>
      </c>
      <c r="F191" s="302">
        <v>-179.3</v>
      </c>
      <c r="G191" s="305">
        <v>3.5799999999999998E-2</v>
      </c>
      <c r="H191" s="302">
        <v>-137.9</v>
      </c>
      <c r="I191" s="305">
        <v>0.15110000000000001</v>
      </c>
      <c r="J191" s="302">
        <v>125.62</v>
      </c>
      <c r="K191" s="305">
        <v>0.2014</v>
      </c>
      <c r="L191" s="302">
        <v>171.66</v>
      </c>
      <c r="M191" s="305">
        <v>9.0800000000000006E-2</v>
      </c>
      <c r="N191" s="302">
        <v>-15.39</v>
      </c>
      <c r="O191" s="319"/>
    </row>
    <row r="192" spans="1:15" ht="12.75" customHeight="1" x14ac:dyDescent="0.2">
      <c r="A192" s="6">
        <v>4.5</v>
      </c>
      <c r="B192" s="9"/>
      <c r="C192" s="305">
        <v>1.47E-2</v>
      </c>
      <c r="D192" s="302">
        <v>135.43</v>
      </c>
      <c r="E192" s="305">
        <v>3.8300000000000001E-2</v>
      </c>
      <c r="F192" s="302">
        <v>115.8</v>
      </c>
      <c r="G192" s="305">
        <v>2.5399999999999999E-2</v>
      </c>
      <c r="H192" s="302">
        <v>94.26</v>
      </c>
      <c r="I192" s="305">
        <v>1.7999999999999999E-2</v>
      </c>
      <c r="J192" s="302">
        <v>96.53</v>
      </c>
      <c r="K192" s="305">
        <v>6.3600000000000004E-2</v>
      </c>
      <c r="L192" s="302">
        <v>116.89</v>
      </c>
      <c r="M192" s="305">
        <v>2.3800000000000002E-2</v>
      </c>
      <c r="N192" s="302">
        <v>-110.14</v>
      </c>
      <c r="O192" s="319"/>
    </row>
    <row r="193" spans="1:15" ht="12.75" customHeight="1" x14ac:dyDescent="0.2">
      <c r="A193" s="6">
        <v>4</v>
      </c>
      <c r="B193" s="9"/>
      <c r="C193" s="305">
        <v>9.7000000000000003E-3</v>
      </c>
      <c r="D193" s="302">
        <v>63.79</v>
      </c>
      <c r="E193" s="305">
        <v>6.0000000000000001E-3</v>
      </c>
      <c r="F193" s="302">
        <v>43.26</v>
      </c>
      <c r="G193" s="305">
        <v>1.23E-2</v>
      </c>
      <c r="H193" s="302">
        <v>16.23</v>
      </c>
      <c r="I193" s="305">
        <v>2.41E-2</v>
      </c>
      <c r="J193" s="302">
        <v>-130.62</v>
      </c>
      <c r="K193" s="305">
        <v>2.76E-2</v>
      </c>
      <c r="L193" s="302">
        <v>-30.29</v>
      </c>
      <c r="M193" s="305">
        <v>3.5700000000000003E-2</v>
      </c>
      <c r="N193" s="302">
        <v>-159.24</v>
      </c>
      <c r="O193" s="319"/>
    </row>
    <row r="194" spans="1:15" ht="12.75" customHeight="1" x14ac:dyDescent="0.2">
      <c r="A194" s="6">
        <v>3.5</v>
      </c>
      <c r="B194" s="9"/>
      <c r="C194" s="305">
        <v>1.32E-2</v>
      </c>
      <c r="D194" s="302">
        <v>-99.7</v>
      </c>
      <c r="E194" s="305">
        <v>1.44E-2</v>
      </c>
      <c r="F194" s="302">
        <v>-78.349999999999994</v>
      </c>
      <c r="G194" s="305">
        <v>1.4E-3</v>
      </c>
      <c r="H194" s="302">
        <v>-154.37</v>
      </c>
      <c r="I194" s="305">
        <v>2.23E-2</v>
      </c>
      <c r="J194" s="302">
        <v>-89.64</v>
      </c>
      <c r="K194" s="305">
        <v>1.23E-2</v>
      </c>
      <c r="L194" s="302">
        <v>-167.67</v>
      </c>
      <c r="M194" s="305">
        <v>2E-3</v>
      </c>
      <c r="N194" s="302">
        <v>-18.36</v>
      </c>
      <c r="O194" s="319"/>
    </row>
    <row r="195" spans="1:15" ht="12.75" customHeight="1" x14ac:dyDescent="0.2">
      <c r="A195" s="6">
        <v>3.24</v>
      </c>
      <c r="B195" s="9"/>
      <c r="C195" s="305">
        <v>4.1999999999999997E-3</v>
      </c>
      <c r="D195" s="302">
        <v>-165.54</v>
      </c>
      <c r="E195" s="305">
        <v>7.6E-3</v>
      </c>
      <c r="F195" s="302">
        <v>-130.87</v>
      </c>
      <c r="G195" s="305">
        <v>2.5999999999999999E-3</v>
      </c>
      <c r="H195" s="302">
        <v>105.02</v>
      </c>
      <c r="I195" s="305">
        <v>1.52E-2</v>
      </c>
      <c r="J195" s="302">
        <v>-95.64</v>
      </c>
      <c r="K195" s="305">
        <v>2.5000000000000001E-3</v>
      </c>
      <c r="L195" s="302">
        <v>48.99</v>
      </c>
      <c r="M195" s="305">
        <v>7.1000000000000004E-3</v>
      </c>
      <c r="N195" s="302">
        <v>-54.31</v>
      </c>
      <c r="O195" s="319"/>
    </row>
    <row r="196" spans="1:15" ht="12.75" customHeight="1" x14ac:dyDescent="0.2">
      <c r="A196" s="6">
        <v>0</v>
      </c>
      <c r="B196" s="9"/>
      <c r="C196" s="305">
        <v>0</v>
      </c>
      <c r="D196" s="302">
        <v>0</v>
      </c>
      <c r="E196" s="305">
        <v>0</v>
      </c>
      <c r="F196" s="302">
        <v>0</v>
      </c>
      <c r="G196" s="305">
        <v>0</v>
      </c>
      <c r="H196" s="302">
        <v>0</v>
      </c>
      <c r="I196" s="305">
        <v>0</v>
      </c>
      <c r="J196" s="302">
        <v>0</v>
      </c>
      <c r="K196" s="305">
        <v>0</v>
      </c>
      <c r="L196" s="302">
        <v>0</v>
      </c>
      <c r="M196" s="305">
        <v>0</v>
      </c>
      <c r="N196" s="302">
        <v>0</v>
      </c>
      <c r="O196" s="319"/>
    </row>
    <row r="197" spans="1:15" ht="12.75" customHeight="1" x14ac:dyDescent="0.2">
      <c r="A197" s="6">
        <v>0</v>
      </c>
      <c r="B197" s="9"/>
      <c r="C197" s="305">
        <v>0</v>
      </c>
      <c r="D197" s="302">
        <v>0</v>
      </c>
      <c r="E197" s="305">
        <v>0</v>
      </c>
      <c r="F197" s="302">
        <v>0</v>
      </c>
      <c r="G197" s="305">
        <v>0</v>
      </c>
      <c r="H197" s="302">
        <v>0</v>
      </c>
      <c r="I197" s="305">
        <v>0</v>
      </c>
      <c r="J197" s="302">
        <v>0</v>
      </c>
      <c r="K197" s="305">
        <v>0</v>
      </c>
      <c r="L197" s="302">
        <v>0</v>
      </c>
      <c r="M197" s="305">
        <v>0</v>
      </c>
      <c r="N197" s="302">
        <v>0</v>
      </c>
      <c r="O197" s="319"/>
    </row>
    <row r="198" spans="1:15" ht="12.75" customHeight="1" x14ac:dyDescent="0.2">
      <c r="A198" s="6">
        <v>0</v>
      </c>
      <c r="B198" s="9"/>
      <c r="C198" s="305">
        <v>0</v>
      </c>
      <c r="D198" s="302">
        <v>0</v>
      </c>
      <c r="E198" s="305">
        <v>0</v>
      </c>
      <c r="F198" s="302">
        <v>0</v>
      </c>
      <c r="G198" s="305">
        <v>0</v>
      </c>
      <c r="H198" s="302">
        <v>0</v>
      </c>
      <c r="I198" s="305">
        <v>0</v>
      </c>
      <c r="J198" s="302">
        <v>0</v>
      </c>
      <c r="K198" s="305">
        <v>0</v>
      </c>
      <c r="L198" s="302">
        <v>0</v>
      </c>
      <c r="M198" s="305">
        <v>0</v>
      </c>
      <c r="N198" s="302">
        <v>0</v>
      </c>
      <c r="O198" s="319"/>
    </row>
    <row r="199" spans="1:15" ht="12.75" customHeight="1" x14ac:dyDescent="0.2">
      <c r="A199" s="6">
        <v>0</v>
      </c>
      <c r="B199" s="9"/>
      <c r="C199" s="305">
        <v>0</v>
      </c>
      <c r="D199" s="302">
        <v>0</v>
      </c>
      <c r="E199" s="305">
        <v>0</v>
      </c>
      <c r="F199" s="302">
        <v>0</v>
      </c>
      <c r="G199" s="305">
        <v>0</v>
      </c>
      <c r="H199" s="302">
        <v>0</v>
      </c>
      <c r="I199" s="305">
        <v>0</v>
      </c>
      <c r="J199" s="302">
        <v>0</v>
      </c>
      <c r="K199" s="305">
        <v>0</v>
      </c>
      <c r="L199" s="302">
        <v>0</v>
      </c>
      <c r="M199" s="305">
        <v>0</v>
      </c>
      <c r="N199" s="302">
        <v>0</v>
      </c>
      <c r="O199" s="319"/>
    </row>
    <row r="200" spans="1:15" ht="12.75" customHeight="1" thickBot="1" x14ac:dyDescent="0.25">
      <c r="A200" s="10">
        <v>0</v>
      </c>
      <c r="B200" s="11"/>
      <c r="C200" s="12">
        <v>0</v>
      </c>
      <c r="D200" s="13">
        <v>0</v>
      </c>
      <c r="E200" s="12">
        <v>0</v>
      </c>
      <c r="F200" s="13">
        <v>0</v>
      </c>
      <c r="G200" s="12">
        <v>0</v>
      </c>
      <c r="H200" s="13">
        <v>0</v>
      </c>
      <c r="I200" s="12">
        <v>0</v>
      </c>
      <c r="J200" s="13">
        <v>0</v>
      </c>
      <c r="K200" s="12">
        <v>0</v>
      </c>
      <c r="L200" s="13">
        <v>0</v>
      </c>
      <c r="M200" s="12">
        <v>0</v>
      </c>
      <c r="N200" s="13">
        <v>0</v>
      </c>
      <c r="O200" s="319"/>
    </row>
    <row r="201" spans="1:15" ht="20.100000000000001" customHeight="1" x14ac:dyDescent="0.25">
      <c r="A201" s="333" t="str">
        <f>A161</f>
        <v>Paragon DPDS2</v>
      </c>
      <c r="B201" s="333"/>
      <c r="C201" s="333"/>
      <c r="D201" s="333"/>
      <c r="E201" s="333"/>
      <c r="F201" s="333"/>
      <c r="G201" s="333"/>
      <c r="H201" s="333"/>
      <c r="I201" s="333"/>
      <c r="J201" s="333"/>
      <c r="K201" s="333"/>
      <c r="L201" s="333"/>
      <c r="M201" s="333"/>
      <c r="N201" s="333"/>
      <c r="O201" s="311"/>
    </row>
    <row r="202" spans="1:15" ht="20.100000000000001" customHeight="1" thickBot="1" x14ac:dyDescent="0.3">
      <c r="A202" s="334" t="s">
        <v>5</v>
      </c>
      <c r="B202" s="334"/>
      <c r="C202" s="334"/>
      <c r="D202" s="334"/>
      <c r="E202" s="334"/>
      <c r="F202" s="334"/>
      <c r="G202" s="334"/>
      <c r="H202" s="334"/>
      <c r="I202" s="334"/>
      <c r="J202" s="334"/>
      <c r="K202" s="334"/>
      <c r="L202" s="334"/>
      <c r="M202" s="334"/>
      <c r="N202" s="334"/>
      <c r="O202" s="317"/>
    </row>
    <row r="203" spans="1:15" ht="12.75" customHeight="1" x14ac:dyDescent="0.2">
      <c r="A203" s="335" t="s">
        <v>12</v>
      </c>
      <c r="B203" s="337" t="s">
        <v>13</v>
      </c>
      <c r="C203" s="339" t="s">
        <v>6</v>
      </c>
      <c r="D203" s="340"/>
      <c r="E203" s="339" t="s">
        <v>7</v>
      </c>
      <c r="F203" s="340"/>
      <c r="G203" s="339" t="s">
        <v>8</v>
      </c>
      <c r="H203" s="340"/>
      <c r="I203" s="339" t="s">
        <v>9</v>
      </c>
      <c r="J203" s="340"/>
      <c r="K203" s="339" t="s">
        <v>10</v>
      </c>
      <c r="L203" s="340"/>
      <c r="M203" s="339" t="s">
        <v>11</v>
      </c>
      <c r="N203" s="340"/>
      <c r="O203" s="318"/>
    </row>
    <row r="204" spans="1:15" ht="12.75" customHeight="1" x14ac:dyDescent="0.2">
      <c r="A204" s="336"/>
      <c r="B204" s="338"/>
      <c r="C204" s="304" t="s">
        <v>0</v>
      </c>
      <c r="D204" s="312" t="s">
        <v>1</v>
      </c>
      <c r="E204" s="304" t="s">
        <v>0</v>
      </c>
      <c r="F204" s="312" t="s">
        <v>1</v>
      </c>
      <c r="G204" s="304" t="s">
        <v>0</v>
      </c>
      <c r="H204" s="312" t="s">
        <v>1</v>
      </c>
      <c r="I204" s="304" t="s">
        <v>0</v>
      </c>
      <c r="J204" s="312" t="s">
        <v>1</v>
      </c>
      <c r="K204" s="304" t="s">
        <v>0</v>
      </c>
      <c r="L204" s="312" t="s">
        <v>1</v>
      </c>
      <c r="M204" s="304" t="s">
        <v>0</v>
      </c>
      <c r="N204" s="312" t="s">
        <v>1</v>
      </c>
      <c r="O204" s="318"/>
    </row>
    <row r="205" spans="1:15" ht="12.75" customHeight="1" thickBot="1" x14ac:dyDescent="0.25">
      <c r="A205" s="2" t="s">
        <v>14</v>
      </c>
      <c r="B205" s="3" t="s">
        <v>15</v>
      </c>
      <c r="C205" s="2" t="s">
        <v>19</v>
      </c>
      <c r="D205" s="3" t="s">
        <v>15</v>
      </c>
      <c r="E205" s="2" t="s">
        <v>19</v>
      </c>
      <c r="F205" s="3" t="s">
        <v>15</v>
      </c>
      <c r="G205" s="2" t="s">
        <v>19</v>
      </c>
      <c r="H205" s="3" t="s">
        <v>15</v>
      </c>
      <c r="I205" s="2" t="s">
        <v>20</v>
      </c>
      <c r="J205" s="3" t="s">
        <v>15</v>
      </c>
      <c r="K205" s="2" t="s">
        <v>20</v>
      </c>
      <c r="L205" s="3" t="s">
        <v>15</v>
      </c>
      <c r="M205" s="2" t="s">
        <v>20</v>
      </c>
      <c r="N205" s="3" t="s">
        <v>15</v>
      </c>
      <c r="O205" s="318"/>
    </row>
    <row r="206" spans="1:15" ht="12.75" customHeight="1" x14ac:dyDescent="0.2">
      <c r="A206" s="4">
        <v>30</v>
      </c>
      <c r="B206" s="5">
        <v>75</v>
      </c>
      <c r="C206" s="305">
        <v>0.254</v>
      </c>
      <c r="D206" s="302">
        <v>90.18</v>
      </c>
      <c r="E206" s="305">
        <v>0.93100000000000005</v>
      </c>
      <c r="F206" s="302">
        <v>89.83</v>
      </c>
      <c r="G206" s="305">
        <v>1.0004</v>
      </c>
      <c r="H206" s="302">
        <v>0.01</v>
      </c>
      <c r="I206" s="305">
        <v>0.48699999999999999</v>
      </c>
      <c r="J206" s="302">
        <v>101.21</v>
      </c>
      <c r="K206" s="305">
        <v>6.7000000000000004E-2</v>
      </c>
      <c r="L206" s="302">
        <v>-90.92</v>
      </c>
      <c r="M206" s="305">
        <v>5.0599999999999999E-2</v>
      </c>
      <c r="N206" s="302">
        <v>-173.83</v>
      </c>
      <c r="O206" s="319"/>
    </row>
    <row r="207" spans="1:15" ht="12.75" customHeight="1" x14ac:dyDescent="0.2">
      <c r="A207" s="6">
        <v>28</v>
      </c>
      <c r="B207" s="7"/>
      <c r="C207" s="305">
        <v>0.25319999999999998</v>
      </c>
      <c r="D207" s="302">
        <v>90.18</v>
      </c>
      <c r="E207" s="305">
        <v>0.92090000000000005</v>
      </c>
      <c r="F207" s="302">
        <v>89.59</v>
      </c>
      <c r="G207" s="305">
        <v>1.0005999999999999</v>
      </c>
      <c r="H207" s="302">
        <v>0.01</v>
      </c>
      <c r="I207" s="305">
        <v>0.7036</v>
      </c>
      <c r="J207" s="302">
        <v>106.74</v>
      </c>
      <c r="K207" s="305">
        <v>7.6999999999999999E-2</v>
      </c>
      <c r="L207" s="302">
        <v>-91.05</v>
      </c>
      <c r="M207" s="305">
        <v>5.67E-2</v>
      </c>
      <c r="N207" s="302">
        <v>-171.64</v>
      </c>
      <c r="O207" s="319"/>
    </row>
    <row r="208" spans="1:15" ht="12.75" customHeight="1" x14ac:dyDescent="0.2">
      <c r="A208" s="6">
        <v>26</v>
      </c>
      <c r="B208" s="7"/>
      <c r="C208" s="305">
        <v>0.25219999999999998</v>
      </c>
      <c r="D208" s="302">
        <v>90.18</v>
      </c>
      <c r="E208" s="305">
        <v>0.90439999999999998</v>
      </c>
      <c r="F208" s="302">
        <v>88.59</v>
      </c>
      <c r="G208" s="305">
        <v>1.0008999999999999</v>
      </c>
      <c r="H208" s="302">
        <v>0.01</v>
      </c>
      <c r="I208" s="305">
        <v>1.2213000000000001</v>
      </c>
      <c r="J208" s="302">
        <v>122.25</v>
      </c>
      <c r="K208" s="305">
        <v>8.9499999999999996E-2</v>
      </c>
      <c r="L208" s="302">
        <v>-91.23</v>
      </c>
      <c r="M208" s="305">
        <v>5.9799999999999999E-2</v>
      </c>
      <c r="N208" s="302">
        <v>-166.88</v>
      </c>
      <c r="O208" s="319"/>
    </row>
    <row r="209" spans="1:15" ht="12.75" customHeight="1" x14ac:dyDescent="0.2">
      <c r="A209" s="6">
        <v>24</v>
      </c>
      <c r="B209" s="7"/>
      <c r="C209" s="305">
        <v>0.251</v>
      </c>
      <c r="D209" s="302">
        <v>90.18</v>
      </c>
      <c r="E209" s="305">
        <v>0.94169999999999998</v>
      </c>
      <c r="F209" s="302">
        <v>85.71</v>
      </c>
      <c r="G209" s="305">
        <v>1.0013000000000001</v>
      </c>
      <c r="H209" s="302">
        <v>0.02</v>
      </c>
      <c r="I209" s="305">
        <v>2.0065</v>
      </c>
      <c r="J209" s="302">
        <v>-176.96</v>
      </c>
      <c r="K209" s="305">
        <v>0.10539999999999999</v>
      </c>
      <c r="L209" s="302">
        <v>-91.46</v>
      </c>
      <c r="M209" s="305">
        <v>4.8500000000000001E-2</v>
      </c>
      <c r="N209" s="302">
        <v>174.42</v>
      </c>
      <c r="O209" s="319"/>
    </row>
    <row r="210" spans="1:15" ht="12.75" customHeight="1" x14ac:dyDescent="0.2">
      <c r="A210" s="6">
        <v>22</v>
      </c>
      <c r="B210" s="7"/>
      <c r="C210" s="305">
        <v>0.24940000000000001</v>
      </c>
      <c r="D210" s="302">
        <v>90.19</v>
      </c>
      <c r="E210" s="305">
        <v>0.95599999999999996</v>
      </c>
      <c r="F210" s="302">
        <v>88.86</v>
      </c>
      <c r="G210" s="305">
        <v>1.0021</v>
      </c>
      <c r="H210" s="302">
        <v>0.03</v>
      </c>
      <c r="I210" s="305">
        <v>0.92759999999999998</v>
      </c>
      <c r="J210" s="302">
        <v>-126.05</v>
      </c>
      <c r="K210" s="305">
        <v>0.12590000000000001</v>
      </c>
      <c r="L210" s="302">
        <v>-91.77</v>
      </c>
      <c r="M210" s="305">
        <v>8.72E-2</v>
      </c>
      <c r="N210" s="302">
        <v>169.71</v>
      </c>
      <c r="O210" s="319"/>
    </row>
    <row r="211" spans="1:15" ht="12.75" customHeight="1" x14ac:dyDescent="0.2">
      <c r="A211" s="6">
        <v>20</v>
      </c>
      <c r="B211" s="7"/>
      <c r="C211" s="305">
        <v>0.24729999999999999</v>
      </c>
      <c r="D211" s="302">
        <v>90.19</v>
      </c>
      <c r="E211" s="305">
        <v>0.9345</v>
      </c>
      <c r="F211" s="302">
        <v>89.61</v>
      </c>
      <c r="G211" s="305">
        <v>1.0035000000000001</v>
      </c>
      <c r="H211" s="302">
        <v>0.06</v>
      </c>
      <c r="I211" s="305">
        <v>0.44190000000000002</v>
      </c>
      <c r="J211" s="302">
        <v>-116.02</v>
      </c>
      <c r="K211" s="305">
        <v>0.15310000000000001</v>
      </c>
      <c r="L211" s="302">
        <v>-92.2</v>
      </c>
      <c r="M211" s="305">
        <v>0.11070000000000001</v>
      </c>
      <c r="N211" s="302">
        <v>174.38</v>
      </c>
      <c r="O211" s="319"/>
    </row>
    <row r="212" spans="1:15" ht="12.75" customHeight="1" x14ac:dyDescent="0.2">
      <c r="A212" s="6">
        <v>19</v>
      </c>
      <c r="B212" s="7"/>
      <c r="C212" s="305">
        <v>0.246</v>
      </c>
      <c r="D212" s="302">
        <v>90.18</v>
      </c>
      <c r="E212" s="305">
        <v>0.9244</v>
      </c>
      <c r="F212" s="302">
        <v>89.73</v>
      </c>
      <c r="G212" s="305">
        <v>1.0046999999999999</v>
      </c>
      <c r="H212" s="302">
        <v>0.08</v>
      </c>
      <c r="I212" s="305">
        <v>0.31140000000000001</v>
      </c>
      <c r="J212" s="302">
        <v>-116.22</v>
      </c>
      <c r="K212" s="305">
        <v>0.17030000000000001</v>
      </c>
      <c r="L212" s="302">
        <v>-92.48</v>
      </c>
      <c r="M212" s="305">
        <v>0.1229</v>
      </c>
      <c r="N212" s="302">
        <v>175.57</v>
      </c>
      <c r="O212" s="319"/>
    </row>
    <row r="213" spans="1:15" ht="12.75" customHeight="1" x14ac:dyDescent="0.2">
      <c r="A213" s="6">
        <v>18</v>
      </c>
      <c r="B213" s="7"/>
      <c r="C213" s="305">
        <v>0.2445</v>
      </c>
      <c r="D213" s="302">
        <v>90.18</v>
      </c>
      <c r="E213" s="305">
        <v>0.91400000000000003</v>
      </c>
      <c r="F213" s="302">
        <v>89.79</v>
      </c>
      <c r="G213" s="305">
        <v>1.0063</v>
      </c>
      <c r="H213" s="302">
        <v>0.11</v>
      </c>
      <c r="I213" s="305">
        <v>0.21249999999999999</v>
      </c>
      <c r="J213" s="302">
        <v>-119.95</v>
      </c>
      <c r="K213" s="305">
        <v>0.19070000000000001</v>
      </c>
      <c r="L213" s="302">
        <v>-92.82</v>
      </c>
      <c r="M213" s="305">
        <v>0.1366</v>
      </c>
      <c r="N213" s="302">
        <v>176.4</v>
      </c>
      <c r="O213" s="319"/>
    </row>
    <row r="214" spans="1:15" ht="12.75" customHeight="1" x14ac:dyDescent="0.2">
      <c r="A214" s="6">
        <v>17</v>
      </c>
      <c r="B214" s="7"/>
      <c r="C214" s="305">
        <v>0.2427</v>
      </c>
      <c r="D214" s="302">
        <v>90.17</v>
      </c>
      <c r="E214" s="305">
        <v>0.90239999999999998</v>
      </c>
      <c r="F214" s="302">
        <v>89.82</v>
      </c>
      <c r="G214" s="305">
        <v>1.0087999999999999</v>
      </c>
      <c r="H214" s="302">
        <v>0.16</v>
      </c>
      <c r="I214" s="305">
        <v>0.13439999999999999</v>
      </c>
      <c r="J214" s="302">
        <v>-130.75</v>
      </c>
      <c r="K214" s="305">
        <v>0.21510000000000001</v>
      </c>
      <c r="L214" s="302">
        <v>-93.25</v>
      </c>
      <c r="M214" s="305">
        <v>0.1522</v>
      </c>
      <c r="N214" s="302">
        <v>176.99</v>
      </c>
      <c r="O214" s="319"/>
    </row>
    <row r="215" spans="1:15" ht="12.75" customHeight="1" x14ac:dyDescent="0.2">
      <c r="A215" s="6">
        <v>16</v>
      </c>
      <c r="B215" s="7"/>
      <c r="C215" s="305">
        <v>0.24060000000000001</v>
      </c>
      <c r="D215" s="302">
        <v>90.16</v>
      </c>
      <c r="E215" s="305">
        <v>0.88900000000000001</v>
      </c>
      <c r="F215" s="302">
        <v>89.82</v>
      </c>
      <c r="G215" s="305">
        <v>1.0125999999999999</v>
      </c>
      <c r="H215" s="302">
        <v>0.25</v>
      </c>
      <c r="I215" s="305">
        <v>8.1299999999999997E-2</v>
      </c>
      <c r="J215" s="302">
        <v>-161.36000000000001</v>
      </c>
      <c r="K215" s="305">
        <v>0.245</v>
      </c>
      <c r="L215" s="302">
        <v>-93.78</v>
      </c>
      <c r="M215" s="305">
        <v>0.1704</v>
      </c>
      <c r="N215" s="302">
        <v>177.44</v>
      </c>
      <c r="O215" s="319"/>
    </row>
    <row r="216" spans="1:15" ht="12.75" customHeight="1" x14ac:dyDescent="0.2">
      <c r="A216" s="6">
        <v>15</v>
      </c>
      <c r="B216" s="7"/>
      <c r="C216" s="305">
        <v>0.23830000000000001</v>
      </c>
      <c r="D216" s="302">
        <v>90.15</v>
      </c>
      <c r="E216" s="305">
        <v>0.87290000000000001</v>
      </c>
      <c r="F216" s="302">
        <v>89.8</v>
      </c>
      <c r="G216" s="305">
        <v>1.0185</v>
      </c>
      <c r="H216" s="302">
        <v>0.39</v>
      </c>
      <c r="I216" s="305">
        <v>8.5999999999999993E-2</v>
      </c>
      <c r="J216" s="302">
        <v>146.04</v>
      </c>
      <c r="K216" s="305">
        <v>0.28220000000000001</v>
      </c>
      <c r="L216" s="302">
        <v>-94.44</v>
      </c>
      <c r="M216" s="305">
        <v>0.1915</v>
      </c>
      <c r="N216" s="302">
        <v>177.77</v>
      </c>
      <c r="O216" s="319"/>
    </row>
    <row r="217" spans="1:15" ht="12.75" customHeight="1" x14ac:dyDescent="0.2">
      <c r="A217" s="6">
        <v>14</v>
      </c>
      <c r="B217" s="7"/>
      <c r="C217" s="305">
        <v>0.2356</v>
      </c>
      <c r="D217" s="302">
        <v>90.17</v>
      </c>
      <c r="E217" s="305">
        <v>0.85329999999999995</v>
      </c>
      <c r="F217" s="302">
        <v>89.72</v>
      </c>
      <c r="G217" s="305">
        <v>1.0285</v>
      </c>
      <c r="H217" s="302">
        <v>0.64</v>
      </c>
      <c r="I217" s="305">
        <v>0.1419</v>
      </c>
      <c r="J217" s="302">
        <v>119.07</v>
      </c>
      <c r="K217" s="305">
        <v>0.32979999999999998</v>
      </c>
      <c r="L217" s="302">
        <v>-95.28</v>
      </c>
      <c r="M217" s="305">
        <v>0.21629999999999999</v>
      </c>
      <c r="N217" s="302">
        <v>178.04</v>
      </c>
      <c r="O217" s="319"/>
    </row>
    <row r="218" spans="1:15" ht="12.75" customHeight="1" x14ac:dyDescent="0.2">
      <c r="A218" s="6">
        <v>13</v>
      </c>
      <c r="B218" s="7"/>
      <c r="C218" s="305">
        <v>0.23280000000000001</v>
      </c>
      <c r="D218" s="302">
        <v>90.27</v>
      </c>
      <c r="E218" s="305">
        <v>0.82869999999999999</v>
      </c>
      <c r="F218" s="302">
        <v>89.59</v>
      </c>
      <c r="G218" s="305">
        <v>1.0464</v>
      </c>
      <c r="H218" s="302">
        <v>1.1200000000000001</v>
      </c>
      <c r="I218" s="305">
        <v>0.21690000000000001</v>
      </c>
      <c r="J218" s="302">
        <v>108.54</v>
      </c>
      <c r="K218" s="305">
        <v>0.39340000000000003</v>
      </c>
      <c r="L218" s="302">
        <v>-96.31</v>
      </c>
      <c r="M218" s="305">
        <v>0.24560000000000001</v>
      </c>
      <c r="N218" s="302">
        <v>178.24</v>
      </c>
      <c r="O218" s="319"/>
    </row>
    <row r="219" spans="1:15" ht="12.75" customHeight="1" x14ac:dyDescent="0.2">
      <c r="A219" s="6">
        <v>12</v>
      </c>
      <c r="B219" s="8"/>
      <c r="C219" s="305">
        <v>0.23</v>
      </c>
      <c r="D219" s="302">
        <v>90.63</v>
      </c>
      <c r="E219" s="305">
        <v>0.79759999999999998</v>
      </c>
      <c r="F219" s="302">
        <v>89.36</v>
      </c>
      <c r="G219" s="305">
        <v>1.0823</v>
      </c>
      <c r="H219" s="302">
        <v>2.13</v>
      </c>
      <c r="I219" s="305">
        <v>0.30520000000000003</v>
      </c>
      <c r="J219" s="302">
        <v>103.31</v>
      </c>
      <c r="K219" s="305">
        <v>0.48309999999999997</v>
      </c>
      <c r="L219" s="302">
        <v>-97.56</v>
      </c>
      <c r="M219" s="305">
        <v>0.27979999999999999</v>
      </c>
      <c r="N219" s="302">
        <v>178.42</v>
      </c>
      <c r="O219" s="319"/>
    </row>
    <row r="220" spans="1:15" ht="12.75" customHeight="1" x14ac:dyDescent="0.2">
      <c r="A220" s="6">
        <v>11</v>
      </c>
      <c r="B220" s="8"/>
      <c r="C220" s="305">
        <v>0.22789999999999999</v>
      </c>
      <c r="D220" s="302">
        <v>91.59</v>
      </c>
      <c r="E220" s="305">
        <v>0.75800000000000001</v>
      </c>
      <c r="F220" s="302">
        <v>89</v>
      </c>
      <c r="G220" s="305">
        <v>1.1679999999999999</v>
      </c>
      <c r="H220" s="302">
        <v>4.7699999999999996</v>
      </c>
      <c r="I220" s="305">
        <v>0.41070000000000001</v>
      </c>
      <c r="J220" s="302">
        <v>100.02</v>
      </c>
      <c r="K220" s="305">
        <v>0.62270000000000003</v>
      </c>
      <c r="L220" s="302">
        <v>-99.13</v>
      </c>
      <c r="M220" s="305">
        <v>0.31940000000000002</v>
      </c>
      <c r="N220" s="302">
        <v>178.57</v>
      </c>
      <c r="O220" s="319"/>
    </row>
    <row r="221" spans="1:15" ht="12.75" customHeight="1" x14ac:dyDescent="0.2">
      <c r="A221" s="6">
        <v>10</v>
      </c>
      <c r="B221" s="8"/>
      <c r="C221" s="305">
        <v>0.23269999999999999</v>
      </c>
      <c r="D221" s="302">
        <v>94.14</v>
      </c>
      <c r="E221" s="305">
        <v>0.70760000000000001</v>
      </c>
      <c r="F221" s="302">
        <v>88.6</v>
      </c>
      <c r="G221" s="305">
        <v>1.4393</v>
      </c>
      <c r="H221" s="302">
        <v>15.24</v>
      </c>
      <c r="I221" s="305">
        <v>0.54569999999999996</v>
      </c>
      <c r="J221" s="302">
        <v>97.64</v>
      </c>
      <c r="K221" s="305">
        <v>0.91820000000000002</v>
      </c>
      <c r="L221" s="302">
        <v>-101.35</v>
      </c>
      <c r="M221" s="305">
        <v>0.36330000000000001</v>
      </c>
      <c r="N221" s="302">
        <v>178.71</v>
      </c>
      <c r="O221" s="319"/>
    </row>
    <row r="222" spans="1:15" ht="12.75" customHeight="1" x14ac:dyDescent="0.2">
      <c r="A222" s="6">
        <v>9.5</v>
      </c>
      <c r="B222" s="8"/>
      <c r="C222" s="305">
        <v>0.25</v>
      </c>
      <c r="D222" s="302">
        <v>99.66</v>
      </c>
      <c r="E222" s="305">
        <v>0.67730000000000001</v>
      </c>
      <c r="F222" s="302">
        <v>88.51</v>
      </c>
      <c r="G222" s="305">
        <v>1.7642</v>
      </c>
      <c r="H222" s="302">
        <v>36.11</v>
      </c>
      <c r="I222" s="305">
        <v>0.63339999999999996</v>
      </c>
      <c r="J222" s="302">
        <v>97</v>
      </c>
      <c r="K222" s="305">
        <v>1.3366</v>
      </c>
      <c r="L222" s="302">
        <v>-97.7</v>
      </c>
      <c r="M222" s="305">
        <v>0.38590000000000002</v>
      </c>
      <c r="N222" s="302">
        <v>178.75</v>
      </c>
      <c r="O222" s="319"/>
    </row>
    <row r="223" spans="1:15" ht="12.75" customHeight="1" x14ac:dyDescent="0.2">
      <c r="A223" s="6">
        <v>9</v>
      </c>
      <c r="B223" s="8"/>
      <c r="C223" s="305">
        <v>0.23449999999999999</v>
      </c>
      <c r="D223" s="302">
        <v>118.9</v>
      </c>
      <c r="E223" s="305">
        <v>0.64190000000000003</v>
      </c>
      <c r="F223" s="302">
        <v>88.75</v>
      </c>
      <c r="G223" s="305">
        <v>1.415</v>
      </c>
      <c r="H223" s="302">
        <v>90.06</v>
      </c>
      <c r="I223" s="305">
        <v>0.74250000000000005</v>
      </c>
      <c r="J223" s="302">
        <v>97.37</v>
      </c>
      <c r="K223" s="305">
        <v>1.8032999999999999</v>
      </c>
      <c r="L223" s="302">
        <v>-70.25</v>
      </c>
      <c r="M223" s="305">
        <v>0.40789999999999998</v>
      </c>
      <c r="N223" s="302">
        <v>178.78</v>
      </c>
      <c r="O223" s="319"/>
    </row>
    <row r="224" spans="1:15" ht="12.75" customHeight="1" x14ac:dyDescent="0.2">
      <c r="A224" s="6">
        <v>8.5</v>
      </c>
      <c r="B224" s="8"/>
      <c r="C224" s="305">
        <v>0.1736</v>
      </c>
      <c r="D224" s="302">
        <v>127.86</v>
      </c>
      <c r="E224" s="305">
        <v>0.59709999999999996</v>
      </c>
      <c r="F224" s="302">
        <v>89.69</v>
      </c>
      <c r="G224" s="305">
        <v>0.38350000000000001</v>
      </c>
      <c r="H224" s="302">
        <v>127.19</v>
      </c>
      <c r="I224" s="305">
        <v>0.87490000000000001</v>
      </c>
      <c r="J224" s="302">
        <v>99.9</v>
      </c>
      <c r="K224" s="305">
        <v>1.6042000000000001</v>
      </c>
      <c r="L224" s="302">
        <v>-51.43</v>
      </c>
      <c r="M224" s="305">
        <v>0.42770000000000002</v>
      </c>
      <c r="N224" s="302">
        <v>178.83</v>
      </c>
      <c r="O224" s="319"/>
    </row>
    <row r="225" spans="1:15" ht="12.75" customHeight="1" x14ac:dyDescent="0.2">
      <c r="A225" s="6">
        <v>8</v>
      </c>
      <c r="B225" s="8"/>
      <c r="C225" s="305">
        <v>0.13250000000000001</v>
      </c>
      <c r="D225" s="302">
        <v>142.19</v>
      </c>
      <c r="E225" s="305">
        <v>0.53380000000000005</v>
      </c>
      <c r="F225" s="302">
        <v>91.61</v>
      </c>
      <c r="G225" s="305">
        <v>7.4700000000000003E-2</v>
      </c>
      <c r="H225" s="302">
        <v>-30.81</v>
      </c>
      <c r="I225" s="305">
        <v>1.0055000000000001</v>
      </c>
      <c r="J225" s="302">
        <v>105.9</v>
      </c>
      <c r="K225" s="305">
        <v>1.5477000000000001</v>
      </c>
      <c r="L225" s="302">
        <v>-35</v>
      </c>
      <c r="M225" s="305">
        <v>0.44309999999999999</v>
      </c>
      <c r="N225" s="302">
        <v>179.09</v>
      </c>
      <c r="O225" s="319"/>
    </row>
    <row r="226" spans="1:15" ht="12.75" customHeight="1" x14ac:dyDescent="0.2">
      <c r="A226" s="6">
        <v>7.5</v>
      </c>
      <c r="B226" s="8"/>
      <c r="C226" s="305">
        <v>5.8799999999999998E-2</v>
      </c>
      <c r="D226" s="302">
        <v>164.1</v>
      </c>
      <c r="E226" s="305">
        <v>0.44290000000000002</v>
      </c>
      <c r="F226" s="302">
        <v>93.82</v>
      </c>
      <c r="G226" s="305">
        <v>0.23499999999999999</v>
      </c>
      <c r="H226" s="302">
        <v>-10.83</v>
      </c>
      <c r="I226" s="305">
        <v>1.0602</v>
      </c>
      <c r="J226" s="302">
        <v>114.96</v>
      </c>
      <c r="K226" s="305">
        <v>1.0511999999999999</v>
      </c>
      <c r="L226" s="302">
        <v>-14.94</v>
      </c>
      <c r="M226" s="305">
        <v>0.44390000000000002</v>
      </c>
      <c r="N226" s="302">
        <v>-179.65</v>
      </c>
      <c r="O226" s="319"/>
    </row>
    <row r="227" spans="1:15" ht="12.75" customHeight="1" x14ac:dyDescent="0.2">
      <c r="A227" s="6">
        <v>7</v>
      </c>
      <c r="B227" s="8"/>
      <c r="C227" s="305">
        <v>9.1999999999999998E-3</v>
      </c>
      <c r="D227" s="302">
        <v>155.69</v>
      </c>
      <c r="E227" s="305">
        <v>0.33339999999999997</v>
      </c>
      <c r="F227" s="302">
        <v>93.98</v>
      </c>
      <c r="G227" s="305">
        <v>0.2001</v>
      </c>
      <c r="H227" s="302">
        <v>-10.65</v>
      </c>
      <c r="I227" s="305">
        <v>0.97460000000000002</v>
      </c>
      <c r="J227" s="302">
        <v>123.29</v>
      </c>
      <c r="K227" s="305">
        <v>0.69259999999999999</v>
      </c>
      <c r="L227" s="302">
        <v>-27.79</v>
      </c>
      <c r="M227" s="305">
        <v>0.40410000000000001</v>
      </c>
      <c r="N227" s="302">
        <v>179.54</v>
      </c>
      <c r="O227" s="319"/>
    </row>
    <row r="228" spans="1:15" ht="12.75" customHeight="1" x14ac:dyDescent="0.2">
      <c r="A228" s="6">
        <v>6.5</v>
      </c>
      <c r="B228" s="9"/>
      <c r="C228" s="305">
        <v>2.1100000000000001E-2</v>
      </c>
      <c r="D228" s="302">
        <v>-7.15</v>
      </c>
      <c r="E228" s="305">
        <v>0.23280000000000001</v>
      </c>
      <c r="F228" s="302">
        <v>89.84</v>
      </c>
      <c r="G228" s="305">
        <v>0.15060000000000001</v>
      </c>
      <c r="H228" s="302">
        <v>-36.299999999999997</v>
      </c>
      <c r="I228" s="305">
        <v>0.7661</v>
      </c>
      <c r="J228" s="302">
        <v>122.9</v>
      </c>
      <c r="K228" s="305">
        <v>0.65969999999999995</v>
      </c>
      <c r="L228" s="302">
        <v>-33.630000000000003</v>
      </c>
      <c r="M228" s="305">
        <v>0.36770000000000003</v>
      </c>
      <c r="N228" s="302">
        <v>174.13</v>
      </c>
      <c r="O228" s="319"/>
    </row>
    <row r="229" spans="1:15" ht="12.75" customHeight="1" x14ac:dyDescent="0.2">
      <c r="A229" s="6">
        <v>6</v>
      </c>
      <c r="B229" s="9"/>
      <c r="C229" s="305">
        <v>3.61E-2</v>
      </c>
      <c r="D229" s="302">
        <v>-2.88</v>
      </c>
      <c r="E229" s="305">
        <v>0.15229999999999999</v>
      </c>
      <c r="F229" s="302">
        <v>98.16</v>
      </c>
      <c r="G229" s="305">
        <v>0.20730000000000001</v>
      </c>
      <c r="H229" s="302">
        <v>-57.5</v>
      </c>
      <c r="I229" s="305">
        <v>0.81589999999999996</v>
      </c>
      <c r="J229" s="302">
        <v>116.95</v>
      </c>
      <c r="K229" s="305">
        <v>0.48120000000000002</v>
      </c>
      <c r="L229" s="302">
        <v>-29.81</v>
      </c>
      <c r="M229" s="305">
        <v>0.30819999999999997</v>
      </c>
      <c r="N229" s="302">
        <v>169.89</v>
      </c>
      <c r="O229" s="319"/>
    </row>
    <row r="230" spans="1:15" ht="12.75" customHeight="1" x14ac:dyDescent="0.2">
      <c r="A230" s="6">
        <v>5.5</v>
      </c>
      <c r="B230" s="9"/>
      <c r="C230" s="305">
        <v>3.1800000000000002E-2</v>
      </c>
      <c r="D230" s="302">
        <v>12.88</v>
      </c>
      <c r="E230" s="305">
        <v>3.3399999999999999E-2</v>
      </c>
      <c r="F230" s="302">
        <v>130.33000000000001</v>
      </c>
      <c r="G230" s="305">
        <v>0.17249999999999999</v>
      </c>
      <c r="H230" s="302">
        <v>-62.63</v>
      </c>
      <c r="I230" s="305">
        <v>0.57250000000000001</v>
      </c>
      <c r="J230" s="302">
        <v>124.78</v>
      </c>
      <c r="K230" s="305">
        <v>0.26440000000000002</v>
      </c>
      <c r="L230" s="302">
        <v>-39.93</v>
      </c>
      <c r="M230" s="305">
        <v>0.23180000000000001</v>
      </c>
      <c r="N230" s="302">
        <v>156.49</v>
      </c>
      <c r="O230" s="319"/>
    </row>
    <row r="231" spans="1:15" ht="12.75" customHeight="1" x14ac:dyDescent="0.2">
      <c r="A231" s="6">
        <v>5</v>
      </c>
      <c r="B231" s="9"/>
      <c r="C231" s="305">
        <v>1.9199999999999998E-2</v>
      </c>
      <c r="D231" s="302">
        <v>-41.66</v>
      </c>
      <c r="E231" s="305">
        <v>4.3200000000000002E-2</v>
      </c>
      <c r="F231" s="302">
        <v>-123.12</v>
      </c>
      <c r="G231" s="305">
        <v>0.12520000000000001</v>
      </c>
      <c r="H231" s="302">
        <v>-82.49</v>
      </c>
      <c r="I231" s="305">
        <v>0.3281</v>
      </c>
      <c r="J231" s="302">
        <v>115.59</v>
      </c>
      <c r="K231" s="305">
        <v>0.13900000000000001</v>
      </c>
      <c r="L231" s="302">
        <v>-81.34</v>
      </c>
      <c r="M231" s="305">
        <v>9.5699999999999993E-2</v>
      </c>
      <c r="N231" s="302">
        <v>154.66999999999999</v>
      </c>
      <c r="O231" s="319"/>
    </row>
    <row r="232" spans="1:15" ht="12.75" customHeight="1" x14ac:dyDescent="0.2">
      <c r="A232" s="6">
        <v>4.5</v>
      </c>
      <c r="B232" s="9"/>
      <c r="C232" s="305">
        <v>8.8000000000000005E-3</v>
      </c>
      <c r="D232" s="302">
        <v>-41.78</v>
      </c>
      <c r="E232" s="305">
        <v>4.58E-2</v>
      </c>
      <c r="F232" s="302">
        <v>-128.94999999999999</v>
      </c>
      <c r="G232" s="305">
        <v>8.1699999999999995E-2</v>
      </c>
      <c r="H232" s="302">
        <v>-111.42</v>
      </c>
      <c r="I232" s="305">
        <v>0.17280000000000001</v>
      </c>
      <c r="J232" s="302">
        <v>83.32</v>
      </c>
      <c r="K232" s="305">
        <v>9.01E-2</v>
      </c>
      <c r="L232" s="302">
        <v>-142.72999999999999</v>
      </c>
      <c r="M232" s="305">
        <v>0.06</v>
      </c>
      <c r="N232" s="302">
        <v>30.65</v>
      </c>
      <c r="O232" s="319"/>
    </row>
    <row r="233" spans="1:15" ht="12.75" customHeight="1" x14ac:dyDescent="0.2">
      <c r="A233" s="6">
        <v>4</v>
      </c>
      <c r="B233" s="9"/>
      <c r="C233" s="305">
        <v>7.4000000000000003E-3</v>
      </c>
      <c r="D233" s="302">
        <v>-170.62</v>
      </c>
      <c r="E233" s="305">
        <v>2.7699999999999999E-2</v>
      </c>
      <c r="F233" s="302">
        <v>155.31</v>
      </c>
      <c r="G233" s="305">
        <v>3.5299999999999998E-2</v>
      </c>
      <c r="H233" s="302">
        <v>-153.96</v>
      </c>
      <c r="I233" s="305">
        <v>0.09</v>
      </c>
      <c r="J233" s="302">
        <v>47.78</v>
      </c>
      <c r="K233" s="305">
        <v>7.6200000000000004E-2</v>
      </c>
      <c r="L233" s="302">
        <v>151.68</v>
      </c>
      <c r="M233" s="305">
        <v>6.3899999999999998E-2</v>
      </c>
      <c r="N233" s="302">
        <v>-19.39</v>
      </c>
      <c r="O233" s="319"/>
    </row>
    <row r="234" spans="1:15" ht="12.75" customHeight="1" x14ac:dyDescent="0.2">
      <c r="A234" s="6">
        <v>3.5</v>
      </c>
      <c r="B234" s="9"/>
      <c r="C234" s="305">
        <v>6.1000000000000004E-3</v>
      </c>
      <c r="D234" s="302">
        <v>26.65</v>
      </c>
      <c r="E234" s="305">
        <v>2.5499999999999998E-2</v>
      </c>
      <c r="F234" s="302">
        <v>55.54</v>
      </c>
      <c r="G234" s="305">
        <v>7.6E-3</v>
      </c>
      <c r="H234" s="302">
        <v>88.63</v>
      </c>
      <c r="I234" s="305">
        <v>2.4400000000000002E-2</v>
      </c>
      <c r="J234" s="302">
        <v>8.18</v>
      </c>
      <c r="K234" s="305">
        <v>3.44E-2</v>
      </c>
      <c r="L234" s="302">
        <v>71.989999999999995</v>
      </c>
      <c r="M234" s="305">
        <v>9.2999999999999992E-3</v>
      </c>
      <c r="N234" s="302">
        <v>-113.12</v>
      </c>
      <c r="O234" s="319"/>
    </row>
    <row r="235" spans="1:15" ht="12.75" customHeight="1" x14ac:dyDescent="0.2">
      <c r="A235" s="6">
        <v>3.24</v>
      </c>
      <c r="B235" s="9"/>
      <c r="C235" s="305">
        <v>4.1999999999999997E-3</v>
      </c>
      <c r="D235" s="302">
        <v>-15.4</v>
      </c>
      <c r="E235" s="305">
        <v>1.7100000000000001E-2</v>
      </c>
      <c r="F235" s="302">
        <v>-3.05</v>
      </c>
      <c r="G235" s="305">
        <v>5.3E-3</v>
      </c>
      <c r="H235" s="302">
        <v>-14.48</v>
      </c>
      <c r="I235" s="305">
        <v>1.09E-2</v>
      </c>
      <c r="J235" s="302">
        <v>21.49</v>
      </c>
      <c r="K235" s="305">
        <v>1.8800000000000001E-2</v>
      </c>
      <c r="L235" s="302">
        <v>5.0599999999999996</v>
      </c>
      <c r="M235" s="305">
        <v>1.9099999999999999E-2</v>
      </c>
      <c r="N235" s="302">
        <v>139.84</v>
      </c>
      <c r="O235" s="319"/>
    </row>
    <row r="236" spans="1:15" ht="12.75" customHeight="1" x14ac:dyDescent="0.2">
      <c r="A236" s="6">
        <v>0</v>
      </c>
      <c r="B236" s="9"/>
      <c r="C236" s="305">
        <v>0</v>
      </c>
      <c r="D236" s="302">
        <v>0</v>
      </c>
      <c r="E236" s="305">
        <v>0</v>
      </c>
      <c r="F236" s="302">
        <v>0</v>
      </c>
      <c r="G236" s="305">
        <v>0</v>
      </c>
      <c r="H236" s="302">
        <v>0</v>
      </c>
      <c r="I236" s="305">
        <v>0</v>
      </c>
      <c r="J236" s="302">
        <v>0</v>
      </c>
      <c r="K236" s="305">
        <v>0</v>
      </c>
      <c r="L236" s="302">
        <v>0</v>
      </c>
      <c r="M236" s="305">
        <v>0</v>
      </c>
      <c r="N236" s="302">
        <v>0</v>
      </c>
      <c r="O236" s="319"/>
    </row>
    <row r="237" spans="1:15" ht="12.75" customHeight="1" x14ac:dyDescent="0.2">
      <c r="A237" s="6">
        <v>0</v>
      </c>
      <c r="B237" s="9"/>
      <c r="C237" s="305">
        <v>0</v>
      </c>
      <c r="D237" s="302">
        <v>0</v>
      </c>
      <c r="E237" s="305">
        <v>0</v>
      </c>
      <c r="F237" s="302">
        <v>0</v>
      </c>
      <c r="G237" s="305">
        <v>0</v>
      </c>
      <c r="H237" s="302">
        <v>0</v>
      </c>
      <c r="I237" s="305">
        <v>0</v>
      </c>
      <c r="J237" s="302">
        <v>0</v>
      </c>
      <c r="K237" s="305">
        <v>0</v>
      </c>
      <c r="L237" s="302">
        <v>0</v>
      </c>
      <c r="M237" s="305">
        <v>0</v>
      </c>
      <c r="N237" s="302">
        <v>0</v>
      </c>
      <c r="O237" s="319"/>
    </row>
    <row r="238" spans="1:15" ht="12.75" customHeight="1" x14ac:dyDescent="0.2">
      <c r="A238" s="6">
        <v>0</v>
      </c>
      <c r="B238" s="9"/>
      <c r="C238" s="305">
        <v>0</v>
      </c>
      <c r="D238" s="302">
        <v>0</v>
      </c>
      <c r="E238" s="305">
        <v>0</v>
      </c>
      <c r="F238" s="302">
        <v>0</v>
      </c>
      <c r="G238" s="305">
        <v>0</v>
      </c>
      <c r="H238" s="302">
        <v>0</v>
      </c>
      <c r="I238" s="305">
        <v>0</v>
      </c>
      <c r="J238" s="302">
        <v>0</v>
      </c>
      <c r="K238" s="305">
        <v>0</v>
      </c>
      <c r="L238" s="302">
        <v>0</v>
      </c>
      <c r="M238" s="305">
        <v>0</v>
      </c>
      <c r="N238" s="302">
        <v>0</v>
      </c>
      <c r="O238" s="319"/>
    </row>
    <row r="239" spans="1:15" ht="12.75" customHeight="1" x14ac:dyDescent="0.2">
      <c r="A239" s="6">
        <v>0</v>
      </c>
      <c r="B239" s="9"/>
      <c r="C239" s="305">
        <v>0</v>
      </c>
      <c r="D239" s="302">
        <v>0</v>
      </c>
      <c r="E239" s="305">
        <v>0</v>
      </c>
      <c r="F239" s="302">
        <v>0</v>
      </c>
      <c r="G239" s="305">
        <v>0</v>
      </c>
      <c r="H239" s="302">
        <v>0</v>
      </c>
      <c r="I239" s="305">
        <v>0</v>
      </c>
      <c r="J239" s="302">
        <v>0</v>
      </c>
      <c r="K239" s="305">
        <v>0</v>
      </c>
      <c r="L239" s="302">
        <v>0</v>
      </c>
      <c r="M239" s="305">
        <v>0</v>
      </c>
      <c r="N239" s="302">
        <v>0</v>
      </c>
      <c r="O239" s="319"/>
    </row>
    <row r="240" spans="1:15" ht="12.75" customHeight="1" thickBot="1" x14ac:dyDescent="0.25">
      <c r="A240" s="10">
        <v>0</v>
      </c>
      <c r="B240" s="11"/>
      <c r="C240" s="12">
        <v>0</v>
      </c>
      <c r="D240" s="13">
        <v>0</v>
      </c>
      <c r="E240" s="12">
        <v>0</v>
      </c>
      <c r="F240" s="13">
        <v>0</v>
      </c>
      <c r="G240" s="12">
        <v>0</v>
      </c>
      <c r="H240" s="13">
        <v>0</v>
      </c>
      <c r="I240" s="12">
        <v>0</v>
      </c>
      <c r="J240" s="13">
        <v>0</v>
      </c>
      <c r="K240" s="12">
        <v>0</v>
      </c>
      <c r="L240" s="13">
        <v>0</v>
      </c>
      <c r="M240" s="12">
        <v>0</v>
      </c>
      <c r="N240" s="13">
        <v>0</v>
      </c>
      <c r="O240" s="319"/>
    </row>
    <row r="241" spans="1:15" ht="20.100000000000001" customHeight="1" x14ac:dyDescent="0.25">
      <c r="A241" s="333" t="str">
        <f>A201</f>
        <v>Paragon DPDS2</v>
      </c>
      <c r="B241" s="333"/>
      <c r="C241" s="333"/>
      <c r="D241" s="333"/>
      <c r="E241" s="333"/>
      <c r="F241" s="333"/>
      <c r="G241" s="333"/>
      <c r="H241" s="333"/>
      <c r="I241" s="333"/>
      <c r="J241" s="333"/>
      <c r="K241" s="333"/>
      <c r="L241" s="333"/>
      <c r="M241" s="333"/>
      <c r="N241" s="333"/>
      <c r="O241" s="311"/>
    </row>
    <row r="242" spans="1:15" ht="20.100000000000001" customHeight="1" thickBot="1" x14ac:dyDescent="0.3">
      <c r="A242" s="334" t="s">
        <v>5</v>
      </c>
      <c r="B242" s="334"/>
      <c r="C242" s="334"/>
      <c r="D242" s="334"/>
      <c r="E242" s="334"/>
      <c r="F242" s="334"/>
      <c r="G242" s="334"/>
      <c r="H242" s="334"/>
      <c r="I242" s="334"/>
      <c r="J242" s="334"/>
      <c r="K242" s="334"/>
      <c r="L242" s="334"/>
      <c r="M242" s="334"/>
      <c r="N242" s="334"/>
      <c r="O242" s="317"/>
    </row>
    <row r="243" spans="1:15" ht="12.75" customHeight="1" x14ac:dyDescent="0.2">
      <c r="A243" s="335" t="s">
        <v>12</v>
      </c>
      <c r="B243" s="337" t="s">
        <v>13</v>
      </c>
      <c r="C243" s="339" t="s">
        <v>6</v>
      </c>
      <c r="D243" s="340"/>
      <c r="E243" s="339" t="s">
        <v>7</v>
      </c>
      <c r="F243" s="340"/>
      <c r="G243" s="339" t="s">
        <v>8</v>
      </c>
      <c r="H243" s="340"/>
      <c r="I243" s="339" t="s">
        <v>9</v>
      </c>
      <c r="J243" s="340"/>
      <c r="K243" s="339" t="s">
        <v>10</v>
      </c>
      <c r="L243" s="340"/>
      <c r="M243" s="339" t="s">
        <v>11</v>
      </c>
      <c r="N243" s="340"/>
      <c r="O243" s="318"/>
    </row>
    <row r="244" spans="1:15" ht="12.75" customHeight="1" x14ac:dyDescent="0.2">
      <c r="A244" s="336"/>
      <c r="B244" s="338"/>
      <c r="C244" s="304" t="s">
        <v>0</v>
      </c>
      <c r="D244" s="312" t="s">
        <v>1</v>
      </c>
      <c r="E244" s="304" t="s">
        <v>0</v>
      </c>
      <c r="F244" s="312" t="s">
        <v>1</v>
      </c>
      <c r="G244" s="304" t="s">
        <v>0</v>
      </c>
      <c r="H244" s="312" t="s">
        <v>1</v>
      </c>
      <c r="I244" s="304" t="s">
        <v>0</v>
      </c>
      <c r="J244" s="312" t="s">
        <v>1</v>
      </c>
      <c r="K244" s="304" t="s">
        <v>0</v>
      </c>
      <c r="L244" s="312" t="s">
        <v>1</v>
      </c>
      <c r="M244" s="304" t="s">
        <v>0</v>
      </c>
      <c r="N244" s="312" t="s">
        <v>1</v>
      </c>
      <c r="O244" s="318"/>
    </row>
    <row r="245" spans="1:15" ht="12.75" customHeight="1" thickBot="1" x14ac:dyDescent="0.25">
      <c r="A245" s="2" t="s">
        <v>14</v>
      </c>
      <c r="B245" s="3" t="s">
        <v>15</v>
      </c>
      <c r="C245" s="2" t="s">
        <v>19</v>
      </c>
      <c r="D245" s="3" t="s">
        <v>15</v>
      </c>
      <c r="E245" s="2" t="s">
        <v>19</v>
      </c>
      <c r="F245" s="3" t="s">
        <v>15</v>
      </c>
      <c r="G245" s="2" t="s">
        <v>19</v>
      </c>
      <c r="H245" s="3" t="s">
        <v>15</v>
      </c>
      <c r="I245" s="2" t="s">
        <v>20</v>
      </c>
      <c r="J245" s="3" t="s">
        <v>15</v>
      </c>
      <c r="K245" s="2" t="s">
        <v>20</v>
      </c>
      <c r="L245" s="3" t="s">
        <v>15</v>
      </c>
      <c r="M245" s="2" t="s">
        <v>20</v>
      </c>
      <c r="N245" s="3" t="s">
        <v>15</v>
      </c>
      <c r="O245" s="318"/>
    </row>
    <row r="246" spans="1:15" ht="12.75" customHeight="1" x14ac:dyDescent="0.2">
      <c r="A246" s="4">
        <v>30</v>
      </c>
      <c r="B246" s="5">
        <v>90</v>
      </c>
      <c r="C246" s="305">
        <v>8.0000000000000004E-4</v>
      </c>
      <c r="D246" s="302">
        <v>179.92</v>
      </c>
      <c r="E246" s="305">
        <v>0.9647</v>
      </c>
      <c r="F246" s="302">
        <v>89.75</v>
      </c>
      <c r="G246" s="305">
        <v>1.0014000000000001</v>
      </c>
      <c r="H246" s="302">
        <v>0</v>
      </c>
      <c r="I246" s="305">
        <v>0.50509999999999999</v>
      </c>
      <c r="J246" s="302">
        <v>103.71</v>
      </c>
      <c r="K246" s="305">
        <v>6.9999999999999999E-4</v>
      </c>
      <c r="L246" s="302">
        <v>-179.97</v>
      </c>
      <c r="M246" s="305">
        <v>5.8999999999999999E-3</v>
      </c>
      <c r="N246" s="302">
        <v>-71.64</v>
      </c>
      <c r="O246" s="319"/>
    </row>
    <row r="247" spans="1:15" ht="12.75" customHeight="1" x14ac:dyDescent="0.2">
      <c r="A247" s="6">
        <v>28</v>
      </c>
      <c r="B247" s="7"/>
      <c r="C247" s="305">
        <v>8.9999999999999998E-4</v>
      </c>
      <c r="D247" s="302">
        <v>179.88</v>
      </c>
      <c r="E247" s="305">
        <v>0.95479999999999998</v>
      </c>
      <c r="F247" s="302">
        <v>89.48</v>
      </c>
      <c r="G247" s="305">
        <v>1.002</v>
      </c>
      <c r="H247" s="302">
        <v>0</v>
      </c>
      <c r="I247" s="305">
        <v>0.73029999999999995</v>
      </c>
      <c r="J247" s="302">
        <v>109.8</v>
      </c>
      <c r="K247" s="305">
        <v>8.9999999999999998E-4</v>
      </c>
      <c r="L247" s="302">
        <v>-179.96</v>
      </c>
      <c r="M247" s="305">
        <v>9.1999999999999998E-3</v>
      </c>
      <c r="N247" s="302">
        <v>-65.36</v>
      </c>
      <c r="O247" s="319"/>
    </row>
    <row r="248" spans="1:15" ht="12.75" customHeight="1" x14ac:dyDescent="0.2">
      <c r="A248" s="6">
        <v>26</v>
      </c>
      <c r="B248" s="7"/>
      <c r="C248" s="305">
        <v>8.9999999999999998E-4</v>
      </c>
      <c r="D248" s="302">
        <v>179.81</v>
      </c>
      <c r="E248" s="305">
        <v>0.93930000000000002</v>
      </c>
      <c r="F248" s="302">
        <v>88.4</v>
      </c>
      <c r="G248" s="305">
        <v>1.0027999999999999</v>
      </c>
      <c r="H248" s="302">
        <v>0</v>
      </c>
      <c r="I248" s="305">
        <v>1.2689999999999999</v>
      </c>
      <c r="J248" s="302">
        <v>126.07</v>
      </c>
      <c r="K248" s="305">
        <v>1.1999999999999999E-3</v>
      </c>
      <c r="L248" s="302">
        <v>-179.94</v>
      </c>
      <c r="M248" s="305">
        <v>1.78E-2</v>
      </c>
      <c r="N248" s="302">
        <v>-48.87</v>
      </c>
      <c r="O248" s="319"/>
    </row>
    <row r="249" spans="1:15" ht="12.75" customHeight="1" x14ac:dyDescent="0.2">
      <c r="A249" s="6">
        <v>24</v>
      </c>
      <c r="B249" s="7"/>
      <c r="C249" s="305">
        <v>8.9999999999999998E-4</v>
      </c>
      <c r="D249" s="302">
        <v>179.66</v>
      </c>
      <c r="E249" s="305">
        <v>0.98319999999999996</v>
      </c>
      <c r="F249" s="302">
        <v>85.71</v>
      </c>
      <c r="G249" s="305">
        <v>1.004</v>
      </c>
      <c r="H249" s="302">
        <v>0</v>
      </c>
      <c r="I249" s="305">
        <v>2.0880000000000001</v>
      </c>
      <c r="J249" s="302">
        <v>-171.97</v>
      </c>
      <c r="K249" s="305">
        <v>1.6999999999999999E-3</v>
      </c>
      <c r="L249" s="302">
        <v>-179.9</v>
      </c>
      <c r="M249" s="305">
        <v>3.3500000000000002E-2</v>
      </c>
      <c r="N249" s="302">
        <v>13.33</v>
      </c>
      <c r="O249" s="319"/>
    </row>
    <row r="250" spans="1:15" ht="12.75" customHeight="1" x14ac:dyDescent="0.2">
      <c r="A250" s="6">
        <v>22</v>
      </c>
      <c r="B250" s="7"/>
      <c r="C250" s="305">
        <v>1E-3</v>
      </c>
      <c r="D250" s="302">
        <v>179.36</v>
      </c>
      <c r="E250" s="305">
        <v>0.99470000000000003</v>
      </c>
      <c r="F250" s="302">
        <v>89</v>
      </c>
      <c r="G250" s="305">
        <v>1.0059</v>
      </c>
      <c r="H250" s="302">
        <v>0.01</v>
      </c>
      <c r="I250" s="305">
        <v>0.96730000000000005</v>
      </c>
      <c r="J250" s="302">
        <v>-119.15</v>
      </c>
      <c r="K250" s="305">
        <v>2.5000000000000001E-3</v>
      </c>
      <c r="L250" s="302">
        <v>-179.83</v>
      </c>
      <c r="M250" s="305">
        <v>1.8700000000000001E-2</v>
      </c>
      <c r="N250" s="302">
        <v>66.430000000000007</v>
      </c>
      <c r="O250" s="319"/>
    </row>
    <row r="251" spans="1:15" ht="12.75" customHeight="1" x14ac:dyDescent="0.2">
      <c r="A251" s="6">
        <v>20</v>
      </c>
      <c r="B251" s="7"/>
      <c r="C251" s="305">
        <v>1E-3</v>
      </c>
      <c r="D251" s="302">
        <v>178.66</v>
      </c>
      <c r="E251" s="305">
        <v>0.97240000000000004</v>
      </c>
      <c r="F251" s="302">
        <v>89.7</v>
      </c>
      <c r="G251" s="305">
        <v>1.0092000000000001</v>
      </c>
      <c r="H251" s="302">
        <v>0.02</v>
      </c>
      <c r="I251" s="305">
        <v>0.46179999999999999</v>
      </c>
      <c r="J251" s="302">
        <v>-105.42</v>
      </c>
      <c r="K251" s="305">
        <v>3.8999999999999998E-3</v>
      </c>
      <c r="L251" s="302">
        <v>-179.67</v>
      </c>
      <c r="M251" s="305">
        <v>1.1900000000000001E-2</v>
      </c>
      <c r="N251" s="302">
        <v>80.44</v>
      </c>
      <c r="O251" s="319"/>
    </row>
    <row r="252" spans="1:15" ht="12.75" customHeight="1" x14ac:dyDescent="0.2">
      <c r="A252" s="6">
        <v>19</v>
      </c>
      <c r="B252" s="7"/>
      <c r="C252" s="305">
        <v>1.1000000000000001E-3</v>
      </c>
      <c r="D252" s="302">
        <v>178.03</v>
      </c>
      <c r="E252" s="305">
        <v>0.96260000000000001</v>
      </c>
      <c r="F252" s="302">
        <v>89.81</v>
      </c>
      <c r="G252" s="305">
        <v>1.0117</v>
      </c>
      <c r="H252" s="302">
        <v>0.03</v>
      </c>
      <c r="I252" s="305">
        <v>0.32519999999999999</v>
      </c>
      <c r="J252" s="302">
        <v>-102.2</v>
      </c>
      <c r="K252" s="305">
        <v>4.8999999999999998E-3</v>
      </c>
      <c r="L252" s="302">
        <v>-179.56</v>
      </c>
      <c r="M252" s="305">
        <v>1.03E-2</v>
      </c>
      <c r="N252" s="302">
        <v>83.82</v>
      </c>
      <c r="O252" s="319"/>
    </row>
    <row r="253" spans="1:15" ht="12.75" customHeight="1" x14ac:dyDescent="0.2">
      <c r="A253" s="6">
        <v>18</v>
      </c>
      <c r="B253" s="7"/>
      <c r="C253" s="305">
        <v>1.1000000000000001E-3</v>
      </c>
      <c r="D253" s="302">
        <v>176.83</v>
      </c>
      <c r="E253" s="305">
        <v>0.95269999999999999</v>
      </c>
      <c r="F253" s="302">
        <v>89.86</v>
      </c>
      <c r="G253" s="305">
        <v>1.0152000000000001</v>
      </c>
      <c r="H253" s="302">
        <v>0.05</v>
      </c>
      <c r="I253" s="305">
        <v>0.21990000000000001</v>
      </c>
      <c r="J253" s="302">
        <v>-99.96</v>
      </c>
      <c r="K253" s="305">
        <v>6.3E-3</v>
      </c>
      <c r="L253" s="302">
        <v>-179.41</v>
      </c>
      <c r="M253" s="305">
        <v>9.2999999999999992E-3</v>
      </c>
      <c r="N253" s="302">
        <v>86.21</v>
      </c>
      <c r="O253" s="319"/>
    </row>
    <row r="254" spans="1:15" ht="12.75" customHeight="1" x14ac:dyDescent="0.2">
      <c r="A254" s="6">
        <v>17</v>
      </c>
      <c r="B254" s="7"/>
      <c r="C254" s="305">
        <v>1.1000000000000001E-3</v>
      </c>
      <c r="D254" s="302">
        <v>174.64</v>
      </c>
      <c r="E254" s="305">
        <v>0.94199999999999995</v>
      </c>
      <c r="F254" s="302">
        <v>89.87</v>
      </c>
      <c r="G254" s="305">
        <v>1.0202</v>
      </c>
      <c r="H254" s="302">
        <v>7.0000000000000007E-2</v>
      </c>
      <c r="I254" s="305">
        <v>0.13200000000000001</v>
      </c>
      <c r="J254" s="302">
        <v>-98.32</v>
      </c>
      <c r="K254" s="305">
        <v>8.3999999999999995E-3</v>
      </c>
      <c r="L254" s="302">
        <v>-179.1</v>
      </c>
      <c r="M254" s="305">
        <v>8.6999999999999994E-3</v>
      </c>
      <c r="N254" s="302">
        <v>88.01</v>
      </c>
      <c r="O254" s="319"/>
    </row>
    <row r="255" spans="1:15" ht="12.75" customHeight="1" x14ac:dyDescent="0.2">
      <c r="A255" s="6">
        <v>16</v>
      </c>
      <c r="B255" s="7"/>
      <c r="C255" s="305">
        <v>1.1000000000000001E-3</v>
      </c>
      <c r="D255" s="302">
        <v>170.25</v>
      </c>
      <c r="E255" s="305">
        <v>0.92989999999999995</v>
      </c>
      <c r="F255" s="302">
        <v>89.86</v>
      </c>
      <c r="G255" s="305">
        <v>1.0275000000000001</v>
      </c>
      <c r="H255" s="302">
        <v>0.12</v>
      </c>
      <c r="I255" s="305">
        <v>5.3100000000000001E-2</v>
      </c>
      <c r="J255" s="302">
        <v>-96.97</v>
      </c>
      <c r="K255" s="305">
        <v>1.15E-2</v>
      </c>
      <c r="L255" s="302">
        <v>-178.66</v>
      </c>
      <c r="M255" s="305">
        <v>8.3999999999999995E-3</v>
      </c>
      <c r="N255" s="302">
        <v>89.44</v>
      </c>
      <c r="O255" s="319"/>
    </row>
    <row r="256" spans="1:15" ht="12.75" customHeight="1" x14ac:dyDescent="0.2">
      <c r="A256" s="6">
        <v>15</v>
      </c>
      <c r="B256" s="7"/>
      <c r="C256" s="305">
        <v>1E-3</v>
      </c>
      <c r="D256" s="302">
        <v>159.9</v>
      </c>
      <c r="E256" s="305">
        <v>0.91559999999999997</v>
      </c>
      <c r="F256" s="302">
        <v>89.81</v>
      </c>
      <c r="G256" s="305">
        <v>1.0385</v>
      </c>
      <c r="H256" s="302">
        <v>0.22</v>
      </c>
      <c r="I256" s="305">
        <v>2.2200000000000001E-2</v>
      </c>
      <c r="J256" s="302">
        <v>83.26</v>
      </c>
      <c r="K256" s="305">
        <v>1.6299999999999999E-2</v>
      </c>
      <c r="L256" s="302">
        <v>-177.95</v>
      </c>
      <c r="M256" s="305">
        <v>8.3000000000000001E-3</v>
      </c>
      <c r="N256" s="302">
        <v>90.68</v>
      </c>
      <c r="O256" s="319"/>
    </row>
    <row r="257" spans="1:15" ht="12.75" customHeight="1" x14ac:dyDescent="0.2">
      <c r="A257" s="6">
        <v>14</v>
      </c>
      <c r="B257" s="7"/>
      <c r="C257" s="305">
        <v>8.9999999999999998E-4</v>
      </c>
      <c r="D257" s="302">
        <v>132.87</v>
      </c>
      <c r="E257" s="305">
        <v>0.89849999999999997</v>
      </c>
      <c r="F257" s="302">
        <v>89.71</v>
      </c>
      <c r="G257" s="305">
        <v>1.0561</v>
      </c>
      <c r="H257" s="302">
        <v>0.39</v>
      </c>
      <c r="I257" s="305">
        <v>9.7799999999999998E-2</v>
      </c>
      <c r="J257" s="302">
        <v>84.3</v>
      </c>
      <c r="K257" s="305">
        <v>2.4E-2</v>
      </c>
      <c r="L257" s="302">
        <v>-176.79</v>
      </c>
      <c r="M257" s="305">
        <v>8.6E-3</v>
      </c>
      <c r="N257" s="302">
        <v>91.9</v>
      </c>
      <c r="O257" s="319"/>
    </row>
    <row r="258" spans="1:15" ht="12.75" customHeight="1" x14ac:dyDescent="0.2">
      <c r="A258" s="6">
        <v>13</v>
      </c>
      <c r="B258" s="7"/>
      <c r="C258" s="305">
        <v>1.4E-3</v>
      </c>
      <c r="D258" s="302">
        <v>90.11</v>
      </c>
      <c r="E258" s="305">
        <v>0.87729999999999997</v>
      </c>
      <c r="F258" s="302">
        <v>89.54</v>
      </c>
      <c r="G258" s="305">
        <v>1.0861000000000001</v>
      </c>
      <c r="H258" s="302">
        <v>0.74</v>
      </c>
      <c r="I258" s="305">
        <v>0.1772</v>
      </c>
      <c r="J258" s="302">
        <v>84.79</v>
      </c>
      <c r="K258" s="305">
        <v>3.7699999999999997E-2</v>
      </c>
      <c r="L258" s="302">
        <v>-174.83</v>
      </c>
      <c r="M258" s="305">
        <v>9.2999999999999992E-3</v>
      </c>
      <c r="N258" s="302">
        <v>93.36</v>
      </c>
      <c r="O258" s="319"/>
    </row>
    <row r="259" spans="1:15" ht="12.75" customHeight="1" x14ac:dyDescent="0.2">
      <c r="A259" s="6">
        <v>12</v>
      </c>
      <c r="B259" s="8"/>
      <c r="C259" s="305">
        <v>3.5000000000000001E-3</v>
      </c>
      <c r="D259" s="302">
        <v>70.05</v>
      </c>
      <c r="E259" s="305">
        <v>0.85099999999999998</v>
      </c>
      <c r="F259" s="302">
        <v>89.24</v>
      </c>
      <c r="G259" s="305">
        <v>1.1426000000000001</v>
      </c>
      <c r="H259" s="302">
        <v>1.52</v>
      </c>
      <c r="I259" s="305">
        <v>0.26350000000000001</v>
      </c>
      <c r="J259" s="302">
        <v>84.97</v>
      </c>
      <c r="K259" s="305">
        <v>6.4199999999999993E-2</v>
      </c>
      <c r="L259" s="302">
        <v>-171.5</v>
      </c>
      <c r="M259" s="305">
        <v>1.0500000000000001E-2</v>
      </c>
      <c r="N259" s="302">
        <v>95.54</v>
      </c>
      <c r="O259" s="319"/>
    </row>
    <row r="260" spans="1:15" ht="12.75" customHeight="1" x14ac:dyDescent="0.2">
      <c r="A260" s="6">
        <v>11</v>
      </c>
      <c r="B260" s="8"/>
      <c r="C260" s="305">
        <v>8.9999999999999993E-3</v>
      </c>
      <c r="D260" s="302">
        <v>68.37</v>
      </c>
      <c r="E260" s="305">
        <v>0.81799999999999995</v>
      </c>
      <c r="F260" s="302">
        <v>88.73</v>
      </c>
      <c r="G260" s="305">
        <v>1.2681</v>
      </c>
      <c r="H260" s="302">
        <v>3.67</v>
      </c>
      <c r="I260" s="305">
        <v>0.36109999999999998</v>
      </c>
      <c r="J260" s="302">
        <v>84.79</v>
      </c>
      <c r="K260" s="305">
        <v>0.12520000000000001</v>
      </c>
      <c r="L260" s="302">
        <v>-165.51</v>
      </c>
      <c r="M260" s="305">
        <v>1.2500000000000001E-2</v>
      </c>
      <c r="N260" s="302">
        <v>99.29</v>
      </c>
      <c r="O260" s="319"/>
    </row>
    <row r="261" spans="1:15" ht="12.75" customHeight="1" x14ac:dyDescent="0.2">
      <c r="A261" s="6">
        <v>10</v>
      </c>
      <c r="B261" s="8"/>
      <c r="C261" s="305">
        <v>2.76E-2</v>
      </c>
      <c r="D261" s="302">
        <v>79.66</v>
      </c>
      <c r="E261" s="305">
        <v>0.77710000000000001</v>
      </c>
      <c r="F261" s="302">
        <v>87.95</v>
      </c>
      <c r="G261" s="305">
        <v>1.6453</v>
      </c>
      <c r="H261" s="302">
        <v>12.67</v>
      </c>
      <c r="I261" s="305">
        <v>0.47749999999999998</v>
      </c>
      <c r="J261" s="302">
        <v>84.27</v>
      </c>
      <c r="K261" s="305">
        <v>0.32650000000000001</v>
      </c>
      <c r="L261" s="302">
        <v>-150.94</v>
      </c>
      <c r="M261" s="305">
        <v>1.5800000000000002E-2</v>
      </c>
      <c r="N261" s="302">
        <v>105.87</v>
      </c>
      <c r="O261" s="319"/>
    </row>
    <row r="262" spans="1:15" ht="12.75" customHeight="1" x14ac:dyDescent="0.2">
      <c r="A262" s="6">
        <v>9.5</v>
      </c>
      <c r="B262" s="8"/>
      <c r="C262" s="305">
        <v>5.8700000000000002E-2</v>
      </c>
      <c r="D262" s="302">
        <v>101.12</v>
      </c>
      <c r="E262" s="305">
        <v>0.75319999999999998</v>
      </c>
      <c r="F262" s="302">
        <v>87.47</v>
      </c>
      <c r="G262" s="305">
        <v>2.1162000000000001</v>
      </c>
      <c r="H262" s="302">
        <v>31.44</v>
      </c>
      <c r="I262" s="305">
        <v>0.54800000000000004</v>
      </c>
      <c r="J262" s="302">
        <v>84.08</v>
      </c>
      <c r="K262" s="305">
        <v>0.65510000000000002</v>
      </c>
      <c r="L262" s="302">
        <v>-127.79</v>
      </c>
      <c r="M262" s="305">
        <v>1.7899999999999999E-2</v>
      </c>
      <c r="N262" s="302">
        <v>110.7</v>
      </c>
      <c r="O262" s="319"/>
    </row>
    <row r="263" spans="1:15" ht="12.75" customHeight="1" x14ac:dyDescent="0.2">
      <c r="A263" s="6">
        <v>9</v>
      </c>
      <c r="B263" s="8"/>
      <c r="C263" s="305">
        <v>9.6000000000000002E-2</v>
      </c>
      <c r="D263" s="302">
        <v>156.34</v>
      </c>
      <c r="E263" s="305">
        <v>0.72619999999999996</v>
      </c>
      <c r="F263" s="302">
        <v>87.01</v>
      </c>
      <c r="G263" s="305">
        <v>1.8763000000000001</v>
      </c>
      <c r="H263" s="302">
        <v>80.180000000000007</v>
      </c>
      <c r="I263" s="305">
        <v>0.63119999999999998</v>
      </c>
      <c r="J263" s="302">
        <v>84.4</v>
      </c>
      <c r="K263" s="305">
        <v>1.0153000000000001</v>
      </c>
      <c r="L263" s="302">
        <v>-70.87</v>
      </c>
      <c r="M263" s="305">
        <v>2.0299999999999999E-2</v>
      </c>
      <c r="N263" s="302">
        <v>116.75</v>
      </c>
      <c r="O263" s="319"/>
    </row>
    <row r="264" spans="1:15" ht="12.75" customHeight="1" x14ac:dyDescent="0.2">
      <c r="A264" s="6">
        <v>8.5</v>
      </c>
      <c r="B264" s="8"/>
      <c r="C264" s="305">
        <v>7.9699999999999993E-2</v>
      </c>
      <c r="D264" s="302">
        <v>-163.30000000000001</v>
      </c>
      <c r="E264" s="305">
        <v>0.69420000000000004</v>
      </c>
      <c r="F264" s="302">
        <v>86.71</v>
      </c>
      <c r="G264" s="305">
        <v>0.72840000000000005</v>
      </c>
      <c r="H264" s="302">
        <v>102.36</v>
      </c>
      <c r="I264" s="305">
        <v>0.72789999999999999</v>
      </c>
      <c r="J264" s="302">
        <v>86.06</v>
      </c>
      <c r="K264" s="305">
        <v>0.80010000000000003</v>
      </c>
      <c r="L264" s="302">
        <v>-28.92</v>
      </c>
      <c r="M264" s="305">
        <v>2.2599999999999999E-2</v>
      </c>
      <c r="N264" s="302">
        <v>123.95</v>
      </c>
      <c r="O264" s="319"/>
    </row>
    <row r="265" spans="1:15" ht="12.75" customHeight="1" x14ac:dyDescent="0.2">
      <c r="A265" s="6">
        <v>8</v>
      </c>
      <c r="B265" s="8"/>
      <c r="C265" s="305">
        <v>7.3400000000000007E-2</v>
      </c>
      <c r="D265" s="302">
        <v>-139.44</v>
      </c>
      <c r="E265" s="305">
        <v>0.65149999999999997</v>
      </c>
      <c r="F265" s="302">
        <v>86.65</v>
      </c>
      <c r="G265" s="305">
        <v>0.3392</v>
      </c>
      <c r="H265" s="302">
        <v>79.2</v>
      </c>
      <c r="I265" s="305">
        <v>0.82199999999999995</v>
      </c>
      <c r="J265" s="302">
        <v>90.08</v>
      </c>
      <c r="K265" s="305">
        <v>0.69140000000000001</v>
      </c>
      <c r="L265" s="302">
        <v>-2.63</v>
      </c>
      <c r="M265" s="305">
        <v>2.3800000000000002E-2</v>
      </c>
      <c r="N265" s="302">
        <v>131.6</v>
      </c>
      <c r="O265" s="319"/>
    </row>
    <row r="266" spans="1:15" ht="12.75" customHeight="1" x14ac:dyDescent="0.2">
      <c r="A266" s="6">
        <v>7.5</v>
      </c>
      <c r="B266" s="8"/>
      <c r="C266" s="305">
        <v>6.4500000000000002E-2</v>
      </c>
      <c r="D266" s="302">
        <v>-111.7</v>
      </c>
      <c r="E266" s="305">
        <v>0.59130000000000005</v>
      </c>
      <c r="F266" s="302">
        <v>86.33</v>
      </c>
      <c r="G266" s="305">
        <v>0.3054</v>
      </c>
      <c r="H266" s="302">
        <v>57.25</v>
      </c>
      <c r="I266" s="305">
        <v>0.86660000000000004</v>
      </c>
      <c r="J266" s="302">
        <v>96.13</v>
      </c>
      <c r="K266" s="305">
        <v>0.52890000000000004</v>
      </c>
      <c r="L266" s="302">
        <v>25.25</v>
      </c>
      <c r="M266" s="305">
        <v>2.2599999999999999E-2</v>
      </c>
      <c r="N266" s="302">
        <v>134.44</v>
      </c>
      <c r="O266" s="319"/>
    </row>
    <row r="267" spans="1:15" ht="12.75" customHeight="1" x14ac:dyDescent="0.2">
      <c r="A267" s="6">
        <v>7</v>
      </c>
      <c r="B267" s="8"/>
      <c r="C267" s="305">
        <v>4.9799999999999997E-2</v>
      </c>
      <c r="D267" s="302">
        <v>-90.19</v>
      </c>
      <c r="E267" s="305">
        <v>0.51670000000000005</v>
      </c>
      <c r="F267" s="302">
        <v>84.48</v>
      </c>
      <c r="G267" s="305">
        <v>0.25590000000000002</v>
      </c>
      <c r="H267" s="302">
        <v>55.83</v>
      </c>
      <c r="I267" s="305">
        <v>0.8175</v>
      </c>
      <c r="J267" s="302">
        <v>101.29</v>
      </c>
      <c r="K267" s="305">
        <v>0.376</v>
      </c>
      <c r="L267" s="302">
        <v>38.409999999999997</v>
      </c>
      <c r="M267" s="305">
        <v>2.5999999999999999E-2</v>
      </c>
      <c r="N267" s="302">
        <v>121.27</v>
      </c>
      <c r="O267" s="319"/>
    </row>
    <row r="268" spans="1:15" ht="12.75" customHeight="1" x14ac:dyDescent="0.2">
      <c r="A268" s="6">
        <v>6.5</v>
      </c>
      <c r="B268" s="9"/>
      <c r="C268" s="305">
        <v>3.44E-2</v>
      </c>
      <c r="D268" s="302">
        <v>-72.66</v>
      </c>
      <c r="E268" s="305">
        <v>0.44219999999999998</v>
      </c>
      <c r="F268" s="302">
        <v>79.349999999999994</v>
      </c>
      <c r="G268" s="305">
        <v>0.153</v>
      </c>
      <c r="H268" s="302">
        <v>56.25</v>
      </c>
      <c r="I268" s="305">
        <v>0.66239999999999999</v>
      </c>
      <c r="J268" s="302">
        <v>97.46</v>
      </c>
      <c r="K268" s="305">
        <v>0.28749999999999998</v>
      </c>
      <c r="L268" s="302">
        <v>47.06</v>
      </c>
      <c r="M268" s="305">
        <v>3.7699999999999997E-2</v>
      </c>
      <c r="N268" s="302">
        <v>124.01</v>
      </c>
      <c r="O268" s="319"/>
    </row>
    <row r="269" spans="1:15" ht="12.75" customHeight="1" x14ac:dyDescent="0.2">
      <c r="A269" s="6">
        <v>6</v>
      </c>
      <c r="B269" s="9"/>
      <c r="C269" s="305">
        <v>2.3199999999999998E-2</v>
      </c>
      <c r="D269" s="302">
        <v>-73.83</v>
      </c>
      <c r="E269" s="305">
        <v>0.3997</v>
      </c>
      <c r="F269" s="302">
        <v>77.45</v>
      </c>
      <c r="G269" s="305">
        <v>9.5899999999999999E-2</v>
      </c>
      <c r="H269" s="302">
        <v>12.88</v>
      </c>
      <c r="I269" s="305">
        <v>0.81299999999999994</v>
      </c>
      <c r="J269" s="302">
        <v>85.86</v>
      </c>
      <c r="K269" s="305">
        <v>0.22889999999999999</v>
      </c>
      <c r="L269" s="302">
        <v>55.47</v>
      </c>
      <c r="M269" s="305">
        <v>4.07E-2</v>
      </c>
      <c r="N269" s="302">
        <v>136.97</v>
      </c>
      <c r="O269" s="319"/>
    </row>
    <row r="270" spans="1:15" ht="12.75" customHeight="1" x14ac:dyDescent="0.2">
      <c r="A270" s="6">
        <v>5.5</v>
      </c>
      <c r="B270" s="9"/>
      <c r="C270" s="305">
        <v>1.54E-2</v>
      </c>
      <c r="D270" s="302">
        <v>-83.42</v>
      </c>
      <c r="E270" s="305">
        <v>0.2767</v>
      </c>
      <c r="F270" s="302">
        <v>76.290000000000006</v>
      </c>
      <c r="G270" s="305">
        <v>8.5099999999999995E-2</v>
      </c>
      <c r="H270" s="302">
        <v>4.12</v>
      </c>
      <c r="I270" s="305">
        <v>0.67600000000000005</v>
      </c>
      <c r="J270" s="302">
        <v>97.94</v>
      </c>
      <c r="K270" s="305">
        <v>0.1482</v>
      </c>
      <c r="L270" s="302">
        <v>63.71</v>
      </c>
      <c r="M270" s="305">
        <v>4.9599999999999998E-2</v>
      </c>
      <c r="N270" s="302">
        <v>128.16999999999999</v>
      </c>
      <c r="O270" s="319"/>
    </row>
    <row r="271" spans="1:15" ht="12.75" customHeight="1" x14ac:dyDescent="0.2">
      <c r="A271" s="6">
        <v>5</v>
      </c>
      <c r="B271" s="9"/>
      <c r="C271" s="305">
        <v>1.2200000000000001E-2</v>
      </c>
      <c r="D271" s="302">
        <v>-76.45</v>
      </c>
      <c r="E271" s="305">
        <v>0.1646</v>
      </c>
      <c r="F271" s="302">
        <v>57.82</v>
      </c>
      <c r="G271" s="305">
        <v>4.82E-2</v>
      </c>
      <c r="H271" s="302">
        <v>-9.11</v>
      </c>
      <c r="I271" s="305">
        <v>0.37919999999999998</v>
      </c>
      <c r="J271" s="302">
        <v>90.81</v>
      </c>
      <c r="K271" s="305">
        <v>8.9499999999999996E-2</v>
      </c>
      <c r="L271" s="302">
        <v>45.29</v>
      </c>
      <c r="M271" s="305">
        <v>5.7500000000000002E-2</v>
      </c>
      <c r="N271" s="302">
        <v>141.02000000000001</v>
      </c>
      <c r="O271" s="319"/>
    </row>
    <row r="272" spans="1:15" ht="12.75" customHeight="1" x14ac:dyDescent="0.2">
      <c r="A272" s="6">
        <v>4.5</v>
      </c>
      <c r="B272" s="9"/>
      <c r="C272" s="305">
        <v>8.2000000000000007E-3</v>
      </c>
      <c r="D272" s="302">
        <v>-89.49</v>
      </c>
      <c r="E272" s="305">
        <v>0.1012</v>
      </c>
      <c r="F272" s="302">
        <v>45.63</v>
      </c>
      <c r="G272" s="305">
        <v>2.7199999999999998E-2</v>
      </c>
      <c r="H272" s="302">
        <v>-67.150000000000006</v>
      </c>
      <c r="I272" s="305">
        <v>0.29599999999999999</v>
      </c>
      <c r="J272" s="302">
        <v>69.3</v>
      </c>
      <c r="K272" s="305">
        <v>5.96E-2</v>
      </c>
      <c r="L272" s="302">
        <v>31.35</v>
      </c>
      <c r="M272" s="305">
        <v>6.2399999999999997E-2</v>
      </c>
      <c r="N272" s="302">
        <v>134.4</v>
      </c>
      <c r="O272" s="319"/>
    </row>
    <row r="273" spans="1:15" ht="12.75" customHeight="1" x14ac:dyDescent="0.2">
      <c r="A273" s="6">
        <v>4</v>
      </c>
      <c r="B273" s="9"/>
      <c r="C273" s="305">
        <v>7.0000000000000001E-3</v>
      </c>
      <c r="D273" s="302">
        <v>-108.04</v>
      </c>
      <c r="E273" s="305">
        <v>4.9599999999999998E-2</v>
      </c>
      <c r="F273" s="302">
        <v>-5.57</v>
      </c>
      <c r="G273" s="305">
        <v>1.15E-2</v>
      </c>
      <c r="H273" s="302">
        <v>-103.54</v>
      </c>
      <c r="I273" s="305">
        <v>0.1205</v>
      </c>
      <c r="J273" s="302">
        <v>23.8</v>
      </c>
      <c r="K273" s="305">
        <v>4.1000000000000002E-2</v>
      </c>
      <c r="L273" s="302">
        <v>-2.78</v>
      </c>
      <c r="M273" s="305">
        <v>5.0700000000000002E-2</v>
      </c>
      <c r="N273" s="302">
        <v>130.36000000000001</v>
      </c>
      <c r="O273" s="319"/>
    </row>
    <row r="274" spans="1:15" ht="12.75" customHeight="1" x14ac:dyDescent="0.2">
      <c r="A274" s="6">
        <v>3.5</v>
      </c>
      <c r="B274" s="9"/>
      <c r="C274" s="305">
        <v>3.3999999999999998E-3</v>
      </c>
      <c r="D274" s="302">
        <v>-126.35</v>
      </c>
      <c r="E274" s="305">
        <v>1.9400000000000001E-2</v>
      </c>
      <c r="F274" s="302">
        <v>-60.59</v>
      </c>
      <c r="G274" s="305">
        <v>3.3E-3</v>
      </c>
      <c r="H274" s="302">
        <v>145.66999999999999</v>
      </c>
      <c r="I274" s="305">
        <v>6.1400000000000003E-2</v>
      </c>
      <c r="J274" s="302">
        <v>-40.25</v>
      </c>
      <c r="K274" s="305">
        <v>2.6800000000000001E-2</v>
      </c>
      <c r="L274" s="302">
        <v>-49.53</v>
      </c>
      <c r="M274" s="305">
        <v>3.9899999999999998E-2</v>
      </c>
      <c r="N274" s="302">
        <v>108.18</v>
      </c>
      <c r="O274" s="319"/>
    </row>
    <row r="275" spans="1:15" ht="12.75" customHeight="1" x14ac:dyDescent="0.2">
      <c r="A275" s="6">
        <v>3.24</v>
      </c>
      <c r="B275" s="9"/>
      <c r="C275" s="305">
        <v>1.9E-3</v>
      </c>
      <c r="D275" s="302">
        <v>-154.66</v>
      </c>
      <c r="E275" s="305">
        <v>1.34E-2</v>
      </c>
      <c r="F275" s="302">
        <v>-98.79</v>
      </c>
      <c r="G275" s="305">
        <v>4.4000000000000003E-3</v>
      </c>
      <c r="H275" s="302">
        <v>37.46</v>
      </c>
      <c r="I275" s="305">
        <v>3.7100000000000001E-2</v>
      </c>
      <c r="J275" s="302">
        <v>-97.01</v>
      </c>
      <c r="K275" s="305">
        <v>1.9300000000000001E-2</v>
      </c>
      <c r="L275" s="302">
        <v>-77.790000000000006</v>
      </c>
      <c r="M275" s="305">
        <v>2.86E-2</v>
      </c>
      <c r="N275" s="302">
        <v>89.59</v>
      </c>
      <c r="O275" s="319"/>
    </row>
    <row r="276" spans="1:15" ht="12.75" customHeight="1" x14ac:dyDescent="0.2">
      <c r="A276" s="6">
        <v>0</v>
      </c>
      <c r="B276" s="9"/>
      <c r="C276" s="305">
        <v>0</v>
      </c>
      <c r="D276" s="302">
        <v>0</v>
      </c>
      <c r="E276" s="305">
        <v>0</v>
      </c>
      <c r="F276" s="302">
        <v>0</v>
      </c>
      <c r="G276" s="305">
        <v>0</v>
      </c>
      <c r="H276" s="302">
        <v>0</v>
      </c>
      <c r="I276" s="305">
        <v>0</v>
      </c>
      <c r="J276" s="302">
        <v>0</v>
      </c>
      <c r="K276" s="305">
        <v>0</v>
      </c>
      <c r="L276" s="302">
        <v>0</v>
      </c>
      <c r="M276" s="305">
        <v>0</v>
      </c>
      <c r="N276" s="302">
        <v>0</v>
      </c>
      <c r="O276" s="319"/>
    </row>
    <row r="277" spans="1:15" ht="12.75" customHeight="1" x14ac:dyDescent="0.2">
      <c r="A277" s="6">
        <v>0</v>
      </c>
      <c r="B277" s="9"/>
      <c r="C277" s="305">
        <v>0</v>
      </c>
      <c r="D277" s="302">
        <v>0</v>
      </c>
      <c r="E277" s="305">
        <v>0</v>
      </c>
      <c r="F277" s="302">
        <v>0</v>
      </c>
      <c r="G277" s="305">
        <v>0</v>
      </c>
      <c r="H277" s="302">
        <v>0</v>
      </c>
      <c r="I277" s="305">
        <v>0</v>
      </c>
      <c r="J277" s="302">
        <v>0</v>
      </c>
      <c r="K277" s="305">
        <v>0</v>
      </c>
      <c r="L277" s="302">
        <v>0</v>
      </c>
      <c r="M277" s="305">
        <v>0</v>
      </c>
      <c r="N277" s="302">
        <v>0</v>
      </c>
      <c r="O277" s="319"/>
    </row>
    <row r="278" spans="1:15" ht="12.75" customHeight="1" x14ac:dyDescent="0.2">
      <c r="A278" s="6">
        <v>0</v>
      </c>
      <c r="B278" s="9"/>
      <c r="C278" s="305">
        <v>0</v>
      </c>
      <c r="D278" s="302">
        <v>0</v>
      </c>
      <c r="E278" s="305">
        <v>0</v>
      </c>
      <c r="F278" s="302">
        <v>0</v>
      </c>
      <c r="G278" s="305">
        <v>0</v>
      </c>
      <c r="H278" s="302">
        <v>0</v>
      </c>
      <c r="I278" s="305">
        <v>0</v>
      </c>
      <c r="J278" s="302">
        <v>0</v>
      </c>
      <c r="K278" s="305">
        <v>0</v>
      </c>
      <c r="L278" s="302">
        <v>0</v>
      </c>
      <c r="M278" s="305">
        <v>0</v>
      </c>
      <c r="N278" s="302">
        <v>0</v>
      </c>
      <c r="O278" s="319"/>
    </row>
    <row r="279" spans="1:15" ht="12.75" customHeight="1" x14ac:dyDescent="0.2">
      <c r="A279" s="6">
        <v>0</v>
      </c>
      <c r="B279" s="9"/>
      <c r="C279" s="305">
        <v>0</v>
      </c>
      <c r="D279" s="302">
        <v>0</v>
      </c>
      <c r="E279" s="305">
        <v>0</v>
      </c>
      <c r="F279" s="302">
        <v>0</v>
      </c>
      <c r="G279" s="305">
        <v>0</v>
      </c>
      <c r="H279" s="302">
        <v>0</v>
      </c>
      <c r="I279" s="305">
        <v>0</v>
      </c>
      <c r="J279" s="302">
        <v>0</v>
      </c>
      <c r="K279" s="305">
        <v>0</v>
      </c>
      <c r="L279" s="302">
        <v>0</v>
      </c>
      <c r="M279" s="305">
        <v>0</v>
      </c>
      <c r="N279" s="302">
        <v>0</v>
      </c>
      <c r="O279" s="319"/>
    </row>
    <row r="280" spans="1:15" ht="12.75" customHeight="1" thickBot="1" x14ac:dyDescent="0.25">
      <c r="A280" s="10">
        <v>0</v>
      </c>
      <c r="B280" s="11"/>
      <c r="C280" s="12">
        <v>0</v>
      </c>
      <c r="D280" s="13">
        <v>0</v>
      </c>
      <c r="E280" s="12">
        <v>0</v>
      </c>
      <c r="F280" s="13">
        <v>0</v>
      </c>
      <c r="G280" s="12">
        <v>0</v>
      </c>
      <c r="H280" s="13">
        <v>0</v>
      </c>
      <c r="I280" s="12">
        <v>0</v>
      </c>
      <c r="J280" s="13">
        <v>0</v>
      </c>
      <c r="K280" s="12">
        <v>0</v>
      </c>
      <c r="L280" s="13">
        <v>0</v>
      </c>
      <c r="M280" s="12">
        <v>0</v>
      </c>
      <c r="N280" s="13">
        <v>0</v>
      </c>
      <c r="O280" s="319"/>
    </row>
    <row r="281" spans="1:15" ht="20.100000000000001" customHeight="1" x14ac:dyDescent="0.25">
      <c r="A281" s="333" t="str">
        <f>A241</f>
        <v>Paragon DPDS2</v>
      </c>
      <c r="B281" s="333"/>
      <c r="C281" s="333"/>
      <c r="D281" s="333"/>
      <c r="E281" s="333"/>
      <c r="F281" s="333"/>
      <c r="G281" s="333"/>
      <c r="H281" s="333"/>
      <c r="I281" s="333"/>
      <c r="J281" s="333"/>
      <c r="K281" s="333"/>
      <c r="L281" s="333"/>
      <c r="M281" s="333"/>
      <c r="N281" s="333"/>
      <c r="O281" s="311"/>
    </row>
    <row r="282" spans="1:15" ht="20.100000000000001" customHeight="1" thickBot="1" x14ac:dyDescent="0.3">
      <c r="A282" s="334" t="s">
        <v>5</v>
      </c>
      <c r="B282" s="334"/>
      <c r="C282" s="334"/>
      <c r="D282" s="334"/>
      <c r="E282" s="334"/>
      <c r="F282" s="334"/>
      <c r="G282" s="334"/>
      <c r="H282" s="334"/>
      <c r="I282" s="334"/>
      <c r="J282" s="334"/>
      <c r="K282" s="334"/>
      <c r="L282" s="334"/>
      <c r="M282" s="334"/>
      <c r="N282" s="334"/>
      <c r="O282" s="317"/>
    </row>
    <row r="283" spans="1:15" ht="12.75" customHeight="1" x14ac:dyDescent="0.2">
      <c r="A283" s="335" t="s">
        <v>12</v>
      </c>
      <c r="B283" s="337" t="s">
        <v>13</v>
      </c>
      <c r="C283" s="339" t="s">
        <v>6</v>
      </c>
      <c r="D283" s="340"/>
      <c r="E283" s="339" t="s">
        <v>7</v>
      </c>
      <c r="F283" s="340"/>
      <c r="G283" s="339" t="s">
        <v>8</v>
      </c>
      <c r="H283" s="340"/>
      <c r="I283" s="339" t="s">
        <v>9</v>
      </c>
      <c r="J283" s="340"/>
      <c r="K283" s="339" t="s">
        <v>10</v>
      </c>
      <c r="L283" s="340"/>
      <c r="M283" s="339" t="s">
        <v>11</v>
      </c>
      <c r="N283" s="340"/>
      <c r="O283" s="318"/>
    </row>
    <row r="284" spans="1:15" ht="12.75" customHeight="1" x14ac:dyDescent="0.2">
      <c r="A284" s="336"/>
      <c r="B284" s="338"/>
      <c r="C284" s="304" t="s">
        <v>0</v>
      </c>
      <c r="D284" s="312" t="s">
        <v>1</v>
      </c>
      <c r="E284" s="304" t="s">
        <v>0</v>
      </c>
      <c r="F284" s="312" t="s">
        <v>1</v>
      </c>
      <c r="G284" s="304" t="s">
        <v>0</v>
      </c>
      <c r="H284" s="312" t="s">
        <v>1</v>
      </c>
      <c r="I284" s="304" t="s">
        <v>0</v>
      </c>
      <c r="J284" s="312" t="s">
        <v>1</v>
      </c>
      <c r="K284" s="304" t="s">
        <v>0</v>
      </c>
      <c r="L284" s="312" t="s">
        <v>1</v>
      </c>
      <c r="M284" s="304" t="s">
        <v>0</v>
      </c>
      <c r="N284" s="312" t="s">
        <v>1</v>
      </c>
      <c r="O284" s="318"/>
    </row>
    <row r="285" spans="1:15" ht="12.75" customHeight="1" thickBot="1" x14ac:dyDescent="0.25">
      <c r="A285" s="2" t="s">
        <v>14</v>
      </c>
      <c r="B285" s="3" t="s">
        <v>15</v>
      </c>
      <c r="C285" s="2" t="s">
        <v>19</v>
      </c>
      <c r="D285" s="3" t="s">
        <v>15</v>
      </c>
      <c r="E285" s="2" t="s">
        <v>19</v>
      </c>
      <c r="F285" s="3" t="s">
        <v>15</v>
      </c>
      <c r="G285" s="2" t="s">
        <v>19</v>
      </c>
      <c r="H285" s="3" t="s">
        <v>15</v>
      </c>
      <c r="I285" s="2" t="s">
        <v>20</v>
      </c>
      <c r="J285" s="3" t="s">
        <v>15</v>
      </c>
      <c r="K285" s="2" t="s">
        <v>20</v>
      </c>
      <c r="L285" s="3" t="s">
        <v>15</v>
      </c>
      <c r="M285" s="2" t="s">
        <v>20</v>
      </c>
      <c r="N285" s="3" t="s">
        <v>15</v>
      </c>
      <c r="O285" s="318"/>
    </row>
    <row r="286" spans="1:15" ht="12.75" customHeight="1" x14ac:dyDescent="0.2">
      <c r="A286" s="4">
        <v>30</v>
      </c>
      <c r="B286" s="5">
        <v>105</v>
      </c>
      <c r="C286" s="305">
        <v>0.254</v>
      </c>
      <c r="D286" s="302">
        <v>-90.18</v>
      </c>
      <c r="E286" s="305">
        <v>0.93140000000000001</v>
      </c>
      <c r="F286" s="302">
        <v>89.68</v>
      </c>
      <c r="G286" s="305">
        <v>1.0004</v>
      </c>
      <c r="H286" s="302">
        <v>0</v>
      </c>
      <c r="I286" s="305">
        <v>0.48699999999999999</v>
      </c>
      <c r="J286" s="302">
        <v>106.21</v>
      </c>
      <c r="K286" s="305">
        <v>6.7000000000000004E-2</v>
      </c>
      <c r="L286" s="302">
        <v>90.92</v>
      </c>
      <c r="M286" s="305">
        <v>5.4100000000000002E-2</v>
      </c>
      <c r="N286" s="302">
        <v>-5.6</v>
      </c>
      <c r="O286" s="319"/>
    </row>
    <row r="287" spans="1:15" ht="12.75" customHeight="1" x14ac:dyDescent="0.2">
      <c r="A287" s="6">
        <v>28</v>
      </c>
      <c r="B287" s="7"/>
      <c r="C287" s="305">
        <v>0.25319999999999998</v>
      </c>
      <c r="D287" s="302">
        <v>-90.18</v>
      </c>
      <c r="E287" s="305">
        <v>0.92179999999999995</v>
      </c>
      <c r="F287" s="302">
        <v>89.38</v>
      </c>
      <c r="G287" s="305">
        <v>1.0005999999999999</v>
      </c>
      <c r="H287" s="302">
        <v>-0.01</v>
      </c>
      <c r="I287" s="305">
        <v>0.7036</v>
      </c>
      <c r="J287" s="302">
        <v>112.84</v>
      </c>
      <c r="K287" s="305">
        <v>7.6999999999999999E-2</v>
      </c>
      <c r="L287" s="302">
        <v>91.05</v>
      </c>
      <c r="M287" s="305">
        <v>6.4000000000000001E-2</v>
      </c>
      <c r="N287" s="302">
        <v>-7.05</v>
      </c>
      <c r="O287" s="319"/>
    </row>
    <row r="288" spans="1:15" ht="12.75" customHeight="1" x14ac:dyDescent="0.2">
      <c r="A288" s="6">
        <v>26</v>
      </c>
      <c r="B288" s="7"/>
      <c r="C288" s="305">
        <v>0.25219999999999998</v>
      </c>
      <c r="D288" s="302">
        <v>-90.19</v>
      </c>
      <c r="E288" s="305">
        <v>0.90800000000000003</v>
      </c>
      <c r="F288" s="302">
        <v>88.23</v>
      </c>
      <c r="G288" s="305">
        <v>1.0008999999999999</v>
      </c>
      <c r="H288" s="302">
        <v>-0.01</v>
      </c>
      <c r="I288" s="305">
        <v>1.2213000000000001</v>
      </c>
      <c r="J288" s="302">
        <v>129.88999999999999</v>
      </c>
      <c r="K288" s="305">
        <v>8.9499999999999996E-2</v>
      </c>
      <c r="L288" s="302">
        <v>91.23</v>
      </c>
      <c r="M288" s="305">
        <v>8.1600000000000006E-2</v>
      </c>
      <c r="N288" s="302">
        <v>-8.51</v>
      </c>
      <c r="O288" s="319"/>
    </row>
    <row r="289" spans="1:15" ht="12.75" customHeight="1" x14ac:dyDescent="0.2">
      <c r="A289" s="6">
        <v>24</v>
      </c>
      <c r="B289" s="7"/>
      <c r="C289" s="305">
        <v>0.251</v>
      </c>
      <c r="D289" s="302">
        <v>-90.19</v>
      </c>
      <c r="E289" s="305">
        <v>0.95389999999999997</v>
      </c>
      <c r="F289" s="302">
        <v>85.77</v>
      </c>
      <c r="G289" s="305">
        <v>1.0013000000000001</v>
      </c>
      <c r="H289" s="302">
        <v>-0.01</v>
      </c>
      <c r="I289" s="305">
        <v>2.0065</v>
      </c>
      <c r="J289" s="302">
        <v>-166.99</v>
      </c>
      <c r="K289" s="305">
        <v>0.10539999999999999</v>
      </c>
      <c r="L289" s="302">
        <v>91.45</v>
      </c>
      <c r="M289" s="305">
        <v>0.11119999999999999</v>
      </c>
      <c r="N289" s="302">
        <v>5.25</v>
      </c>
      <c r="O289" s="319"/>
    </row>
    <row r="290" spans="1:15" ht="12.75" customHeight="1" x14ac:dyDescent="0.2">
      <c r="A290" s="6">
        <v>22</v>
      </c>
      <c r="B290" s="7"/>
      <c r="C290" s="305">
        <v>0.24940000000000001</v>
      </c>
      <c r="D290" s="302">
        <v>-90.19</v>
      </c>
      <c r="E290" s="305">
        <v>0.95989999999999998</v>
      </c>
      <c r="F290" s="302">
        <v>89.17</v>
      </c>
      <c r="G290" s="305">
        <v>1.0021</v>
      </c>
      <c r="H290" s="302">
        <v>-0.01</v>
      </c>
      <c r="I290" s="305">
        <v>0.92749999999999999</v>
      </c>
      <c r="J290" s="302">
        <v>-112.24</v>
      </c>
      <c r="K290" s="305">
        <v>0.12590000000000001</v>
      </c>
      <c r="L290" s="302">
        <v>91.76</v>
      </c>
      <c r="M290" s="305">
        <v>0.10150000000000001</v>
      </c>
      <c r="N290" s="302">
        <v>9.81</v>
      </c>
      <c r="O290" s="319"/>
    </row>
    <row r="291" spans="1:15" ht="12.75" customHeight="1" x14ac:dyDescent="0.2">
      <c r="A291" s="6">
        <v>20</v>
      </c>
      <c r="B291" s="7"/>
      <c r="C291" s="305">
        <v>0.24729999999999999</v>
      </c>
      <c r="D291" s="302">
        <v>-90.19</v>
      </c>
      <c r="E291" s="305">
        <v>0.93610000000000004</v>
      </c>
      <c r="F291" s="302">
        <v>89.81</v>
      </c>
      <c r="G291" s="305">
        <v>1.0036</v>
      </c>
      <c r="H291" s="302">
        <v>-0.02</v>
      </c>
      <c r="I291" s="305">
        <v>0.44180000000000003</v>
      </c>
      <c r="J291" s="302">
        <v>-94.82</v>
      </c>
      <c r="K291" s="305">
        <v>0.15310000000000001</v>
      </c>
      <c r="L291" s="302">
        <v>92.19</v>
      </c>
      <c r="M291" s="305">
        <v>0.1144</v>
      </c>
      <c r="N291" s="302">
        <v>5.79</v>
      </c>
      <c r="O291" s="319"/>
    </row>
    <row r="292" spans="1:15" ht="12.75" customHeight="1" x14ac:dyDescent="0.2">
      <c r="A292" s="6">
        <v>19</v>
      </c>
      <c r="B292" s="7"/>
      <c r="C292" s="305">
        <v>0.24590000000000001</v>
      </c>
      <c r="D292" s="302">
        <v>-90.18</v>
      </c>
      <c r="E292" s="305">
        <v>0.92559999999999998</v>
      </c>
      <c r="F292" s="302">
        <v>89.89</v>
      </c>
      <c r="G292" s="305">
        <v>1.0046999999999999</v>
      </c>
      <c r="H292" s="302">
        <v>-0.02</v>
      </c>
      <c r="I292" s="305">
        <v>0.31130000000000002</v>
      </c>
      <c r="J292" s="302">
        <v>-88.18</v>
      </c>
      <c r="K292" s="305">
        <v>0.17019999999999999</v>
      </c>
      <c r="L292" s="302">
        <v>92.48</v>
      </c>
      <c r="M292" s="305">
        <v>0.125</v>
      </c>
      <c r="N292" s="302">
        <v>4.5999999999999996</v>
      </c>
      <c r="O292" s="319"/>
    </row>
    <row r="293" spans="1:15" ht="12.75" customHeight="1" x14ac:dyDescent="0.2">
      <c r="A293" s="6">
        <v>18</v>
      </c>
      <c r="B293" s="7"/>
      <c r="C293" s="305">
        <v>0.24429999999999999</v>
      </c>
      <c r="D293" s="302">
        <v>-90.17</v>
      </c>
      <c r="E293" s="305">
        <v>0.91500000000000004</v>
      </c>
      <c r="F293" s="302">
        <v>89.93</v>
      </c>
      <c r="G293" s="305">
        <v>1.0065</v>
      </c>
      <c r="H293" s="302">
        <v>-0.02</v>
      </c>
      <c r="I293" s="305">
        <v>0.21240000000000001</v>
      </c>
      <c r="J293" s="302">
        <v>-79.97</v>
      </c>
      <c r="K293" s="305">
        <v>0.1905</v>
      </c>
      <c r="L293" s="302">
        <v>92.84</v>
      </c>
      <c r="M293" s="305">
        <v>0.13769999999999999</v>
      </c>
      <c r="N293" s="302">
        <v>3.76</v>
      </c>
      <c r="O293" s="319"/>
    </row>
    <row r="294" spans="1:15" ht="12.75" customHeight="1" x14ac:dyDescent="0.2">
      <c r="A294" s="6">
        <v>17</v>
      </c>
      <c r="B294" s="7"/>
      <c r="C294" s="305">
        <v>0.24249999999999999</v>
      </c>
      <c r="D294" s="302">
        <v>-90.13</v>
      </c>
      <c r="E294" s="305">
        <v>0.90329999999999999</v>
      </c>
      <c r="F294" s="302">
        <v>89.93</v>
      </c>
      <c r="G294" s="305">
        <v>1.0089999999999999</v>
      </c>
      <c r="H294" s="302">
        <v>-0.02</v>
      </c>
      <c r="I294" s="305">
        <v>0.1343</v>
      </c>
      <c r="J294" s="302">
        <v>-65.849999999999994</v>
      </c>
      <c r="K294" s="305">
        <v>0.21490000000000001</v>
      </c>
      <c r="L294" s="302">
        <v>93.3</v>
      </c>
      <c r="M294" s="305">
        <v>0.15279999999999999</v>
      </c>
      <c r="N294" s="302">
        <v>3.15</v>
      </c>
      <c r="O294" s="319"/>
    </row>
    <row r="295" spans="1:15" ht="12.75" customHeight="1" x14ac:dyDescent="0.2">
      <c r="A295" s="6">
        <v>16</v>
      </c>
      <c r="B295" s="7"/>
      <c r="C295" s="305">
        <v>0.2402</v>
      </c>
      <c r="D295" s="302">
        <v>-90.05</v>
      </c>
      <c r="E295" s="305">
        <v>0.88980000000000004</v>
      </c>
      <c r="F295" s="302">
        <v>89.9</v>
      </c>
      <c r="G295" s="305">
        <v>1.0129999999999999</v>
      </c>
      <c r="H295" s="302">
        <v>-0.02</v>
      </c>
      <c r="I295" s="305">
        <v>8.1299999999999997E-2</v>
      </c>
      <c r="J295" s="302">
        <v>-32.57</v>
      </c>
      <c r="K295" s="305">
        <v>0.24440000000000001</v>
      </c>
      <c r="L295" s="302">
        <v>93.9</v>
      </c>
      <c r="M295" s="305">
        <v>0.17050000000000001</v>
      </c>
      <c r="N295" s="302">
        <v>2.71</v>
      </c>
      <c r="O295" s="319"/>
    </row>
    <row r="296" spans="1:15" ht="12.75" customHeight="1" x14ac:dyDescent="0.2">
      <c r="A296" s="6">
        <v>15</v>
      </c>
      <c r="B296" s="7"/>
      <c r="C296" s="305">
        <v>0.23749999999999999</v>
      </c>
      <c r="D296" s="302">
        <v>-89.89</v>
      </c>
      <c r="E296" s="305">
        <v>0.87380000000000002</v>
      </c>
      <c r="F296" s="302">
        <v>89.84</v>
      </c>
      <c r="G296" s="305">
        <v>1.0193000000000001</v>
      </c>
      <c r="H296" s="302">
        <v>0</v>
      </c>
      <c r="I296" s="305">
        <v>8.6499999999999994E-2</v>
      </c>
      <c r="J296" s="302">
        <v>21.93</v>
      </c>
      <c r="K296" s="305">
        <v>0.28100000000000003</v>
      </c>
      <c r="L296" s="302">
        <v>94.73</v>
      </c>
      <c r="M296" s="305">
        <v>0.1913</v>
      </c>
      <c r="N296" s="302">
        <v>2.39</v>
      </c>
      <c r="O296" s="319"/>
    </row>
    <row r="297" spans="1:15" ht="12.75" customHeight="1" x14ac:dyDescent="0.2">
      <c r="A297" s="6">
        <v>14</v>
      </c>
      <c r="B297" s="7"/>
      <c r="C297" s="305">
        <v>0.23400000000000001</v>
      </c>
      <c r="D297" s="302">
        <v>-89.57</v>
      </c>
      <c r="E297" s="305">
        <v>0.85419999999999996</v>
      </c>
      <c r="F297" s="302">
        <v>89.72</v>
      </c>
      <c r="G297" s="305">
        <v>1.03</v>
      </c>
      <c r="H297" s="302">
        <v>0.05</v>
      </c>
      <c r="I297" s="305">
        <v>0.1431</v>
      </c>
      <c r="J297" s="302">
        <v>50.14</v>
      </c>
      <c r="K297" s="305">
        <v>0.32729999999999998</v>
      </c>
      <c r="L297" s="302">
        <v>95.95</v>
      </c>
      <c r="M297" s="305">
        <v>0.21579999999999999</v>
      </c>
      <c r="N297" s="302">
        <v>2.1800000000000002</v>
      </c>
      <c r="O297" s="319"/>
    </row>
    <row r="298" spans="1:15" ht="12.75" customHeight="1" x14ac:dyDescent="0.2">
      <c r="A298" s="6">
        <v>13</v>
      </c>
      <c r="B298" s="7"/>
      <c r="C298" s="305">
        <v>0.22939999999999999</v>
      </c>
      <c r="D298" s="302">
        <v>-88.93</v>
      </c>
      <c r="E298" s="305">
        <v>0.82979999999999998</v>
      </c>
      <c r="F298" s="302">
        <v>89.54</v>
      </c>
      <c r="G298" s="305">
        <v>1.0497000000000001</v>
      </c>
      <c r="H298" s="302">
        <v>0.17</v>
      </c>
      <c r="I298" s="305">
        <v>0.21909999999999999</v>
      </c>
      <c r="J298" s="302">
        <v>61.61</v>
      </c>
      <c r="K298" s="305">
        <v>0.38740000000000002</v>
      </c>
      <c r="L298" s="302">
        <v>97.86</v>
      </c>
      <c r="M298" s="305">
        <v>0.2445</v>
      </c>
      <c r="N298" s="302">
        <v>2.06</v>
      </c>
      <c r="O298" s="319"/>
    </row>
    <row r="299" spans="1:15" ht="12.75" customHeight="1" x14ac:dyDescent="0.2">
      <c r="A299" s="6">
        <v>12</v>
      </c>
      <c r="B299" s="8"/>
      <c r="C299" s="305">
        <v>0.22259999999999999</v>
      </c>
      <c r="D299" s="302">
        <v>-87.6</v>
      </c>
      <c r="E299" s="305">
        <v>0.79890000000000005</v>
      </c>
      <c r="F299" s="302">
        <v>89.23</v>
      </c>
      <c r="G299" s="305">
        <v>1.0901000000000001</v>
      </c>
      <c r="H299" s="302">
        <v>0.51</v>
      </c>
      <c r="I299" s="305">
        <v>0.309</v>
      </c>
      <c r="J299" s="302">
        <v>67.41</v>
      </c>
      <c r="K299" s="305">
        <v>0.46810000000000002</v>
      </c>
      <c r="L299" s="302">
        <v>101.13</v>
      </c>
      <c r="M299" s="305">
        <v>0.27810000000000001</v>
      </c>
      <c r="N299" s="302">
        <v>2.0299999999999998</v>
      </c>
      <c r="O299" s="319"/>
    </row>
    <row r="300" spans="1:15" ht="12.75" customHeight="1" x14ac:dyDescent="0.2">
      <c r="A300" s="6">
        <v>11</v>
      </c>
      <c r="B300" s="8"/>
      <c r="C300" s="305">
        <v>0.2102</v>
      </c>
      <c r="D300" s="302">
        <v>-84.89</v>
      </c>
      <c r="E300" s="305">
        <v>0.75980000000000003</v>
      </c>
      <c r="F300" s="302">
        <v>88.77</v>
      </c>
      <c r="G300" s="305">
        <v>1.1878</v>
      </c>
      <c r="H300" s="302">
        <v>1.8</v>
      </c>
      <c r="I300" s="305">
        <v>0.41660000000000003</v>
      </c>
      <c r="J300" s="302">
        <v>70.930000000000007</v>
      </c>
      <c r="K300" s="305">
        <v>0.57940000000000003</v>
      </c>
      <c r="L300" s="302">
        <v>107.42</v>
      </c>
      <c r="M300" s="305">
        <v>0.31619999999999998</v>
      </c>
      <c r="N300" s="302">
        <v>2.0499999999999998</v>
      </c>
      <c r="O300" s="319"/>
    </row>
    <row r="301" spans="1:15" ht="12.75" customHeight="1" x14ac:dyDescent="0.2">
      <c r="A301" s="6">
        <v>10</v>
      </c>
      <c r="B301" s="8"/>
      <c r="C301" s="305">
        <v>0.18110000000000001</v>
      </c>
      <c r="D301" s="302">
        <v>-79.3</v>
      </c>
      <c r="E301" s="305">
        <v>0.70960000000000001</v>
      </c>
      <c r="F301" s="302">
        <v>88.2</v>
      </c>
      <c r="G301" s="305">
        <v>1.5033000000000001</v>
      </c>
      <c r="H301" s="302">
        <v>8.91</v>
      </c>
      <c r="I301" s="305">
        <v>0.5514</v>
      </c>
      <c r="J301" s="302">
        <v>73.819999999999993</v>
      </c>
      <c r="K301" s="305">
        <v>0.72660000000000002</v>
      </c>
      <c r="L301" s="302">
        <v>123.18</v>
      </c>
      <c r="M301" s="305">
        <v>0.35730000000000001</v>
      </c>
      <c r="N301" s="302">
        <v>2</v>
      </c>
      <c r="O301" s="319"/>
    </row>
    <row r="302" spans="1:15" ht="12.75" customHeight="1" x14ac:dyDescent="0.2">
      <c r="A302" s="6">
        <v>9.5</v>
      </c>
      <c r="B302" s="8"/>
      <c r="C302" s="305">
        <v>0.14249999999999999</v>
      </c>
      <c r="D302" s="302">
        <v>-77.39</v>
      </c>
      <c r="E302" s="305">
        <v>0.67900000000000005</v>
      </c>
      <c r="F302" s="302">
        <v>87.98</v>
      </c>
      <c r="G302" s="305">
        <v>1.9117</v>
      </c>
      <c r="H302" s="302">
        <v>25.7</v>
      </c>
      <c r="I302" s="305">
        <v>0.63329999999999997</v>
      </c>
      <c r="J302" s="302">
        <v>75.69</v>
      </c>
      <c r="K302" s="305">
        <v>0.73029999999999995</v>
      </c>
      <c r="L302" s="302">
        <v>145.5</v>
      </c>
      <c r="M302" s="305">
        <v>0.37790000000000001</v>
      </c>
      <c r="N302" s="302">
        <v>1.84</v>
      </c>
      <c r="O302" s="319"/>
    </row>
    <row r="303" spans="1:15" ht="12.75" customHeight="1" x14ac:dyDescent="0.2">
      <c r="A303" s="6">
        <v>9</v>
      </c>
      <c r="B303" s="8"/>
      <c r="C303" s="305">
        <v>0.13320000000000001</v>
      </c>
      <c r="D303" s="302">
        <v>-100.48</v>
      </c>
      <c r="E303" s="305">
        <v>0.64239999999999997</v>
      </c>
      <c r="F303" s="302">
        <v>87.98</v>
      </c>
      <c r="G303" s="305">
        <v>1.712</v>
      </c>
      <c r="H303" s="302">
        <v>70.77</v>
      </c>
      <c r="I303" s="305">
        <v>0.72560000000000002</v>
      </c>
      <c r="J303" s="302">
        <v>78.53</v>
      </c>
      <c r="K303" s="305">
        <v>0.17649999999999999</v>
      </c>
      <c r="L303" s="302">
        <v>155.21</v>
      </c>
      <c r="M303" s="305">
        <v>0.39789999999999998</v>
      </c>
      <c r="N303" s="302">
        <v>1.48</v>
      </c>
      <c r="O303" s="319"/>
    </row>
    <row r="304" spans="1:15" ht="12.75" customHeight="1" x14ac:dyDescent="0.2">
      <c r="A304" s="6">
        <v>8.5</v>
      </c>
      <c r="B304" s="8"/>
      <c r="C304" s="305">
        <v>0.16070000000000001</v>
      </c>
      <c r="D304" s="302">
        <v>-91.79</v>
      </c>
      <c r="E304" s="305">
        <v>0.59570000000000001</v>
      </c>
      <c r="F304" s="302">
        <v>88.4</v>
      </c>
      <c r="G304" s="305">
        <v>0.753</v>
      </c>
      <c r="H304" s="302">
        <v>88.54</v>
      </c>
      <c r="I304" s="305">
        <v>0.81920000000000004</v>
      </c>
      <c r="J304" s="302">
        <v>83.17</v>
      </c>
      <c r="K304" s="305">
        <v>0.6069</v>
      </c>
      <c r="L304" s="302">
        <v>92.15</v>
      </c>
      <c r="M304" s="305">
        <v>0.41689999999999999</v>
      </c>
      <c r="N304" s="302">
        <v>0.92</v>
      </c>
      <c r="O304" s="319"/>
    </row>
    <row r="305" spans="1:15" ht="12.75" customHeight="1" x14ac:dyDescent="0.2">
      <c r="A305" s="6">
        <v>8</v>
      </c>
      <c r="B305" s="8"/>
      <c r="C305" s="305">
        <v>0.1386</v>
      </c>
      <c r="D305" s="302">
        <v>-76.739999999999995</v>
      </c>
      <c r="E305" s="305">
        <v>0.53159999999999996</v>
      </c>
      <c r="F305" s="302">
        <v>89.16</v>
      </c>
      <c r="G305" s="305">
        <v>0.4456</v>
      </c>
      <c r="H305" s="302">
        <v>80.34</v>
      </c>
      <c r="I305" s="305">
        <v>0.88139999999999996</v>
      </c>
      <c r="J305" s="302">
        <v>90.07</v>
      </c>
      <c r="K305" s="305">
        <v>0.88109999999999999</v>
      </c>
      <c r="L305" s="302">
        <v>118.81</v>
      </c>
      <c r="M305" s="305">
        <v>0.43430000000000002</v>
      </c>
      <c r="N305" s="302">
        <v>0.4</v>
      </c>
      <c r="O305" s="319"/>
    </row>
    <row r="306" spans="1:15" ht="12.75" customHeight="1" x14ac:dyDescent="0.2">
      <c r="A306" s="6">
        <v>7.5</v>
      </c>
      <c r="B306" s="8"/>
      <c r="C306" s="305">
        <v>8.0399999999999999E-2</v>
      </c>
      <c r="D306" s="302">
        <v>-68.739999999999995</v>
      </c>
      <c r="E306" s="305">
        <v>0.44690000000000002</v>
      </c>
      <c r="F306" s="302">
        <v>89.24</v>
      </c>
      <c r="G306" s="305">
        <v>0.27250000000000002</v>
      </c>
      <c r="H306" s="302">
        <v>79.08</v>
      </c>
      <c r="I306" s="305">
        <v>0.86070000000000002</v>
      </c>
      <c r="J306" s="302">
        <v>97.71</v>
      </c>
      <c r="K306" s="305">
        <v>0.69399999999999995</v>
      </c>
      <c r="L306" s="302">
        <v>142.86000000000001</v>
      </c>
      <c r="M306" s="305">
        <v>0.44109999999999999</v>
      </c>
      <c r="N306" s="302">
        <v>0.8</v>
      </c>
      <c r="O306" s="319"/>
    </row>
    <row r="307" spans="1:15" ht="12.75" customHeight="1" x14ac:dyDescent="0.2">
      <c r="A307" s="6">
        <v>7</v>
      </c>
      <c r="B307" s="8"/>
      <c r="C307" s="305">
        <v>4.4600000000000001E-2</v>
      </c>
      <c r="D307" s="302">
        <v>-79.52</v>
      </c>
      <c r="E307" s="305">
        <v>0.35120000000000001</v>
      </c>
      <c r="F307" s="302">
        <v>87.19</v>
      </c>
      <c r="G307" s="305">
        <v>0.159</v>
      </c>
      <c r="H307" s="302">
        <v>70.75</v>
      </c>
      <c r="I307" s="305">
        <v>0.74390000000000001</v>
      </c>
      <c r="J307" s="302">
        <v>102.09</v>
      </c>
      <c r="K307" s="305">
        <v>0.56630000000000003</v>
      </c>
      <c r="L307" s="302">
        <v>134.19</v>
      </c>
      <c r="M307" s="305">
        <v>0.41370000000000001</v>
      </c>
      <c r="N307" s="302">
        <v>-0.53</v>
      </c>
      <c r="O307" s="319"/>
    </row>
    <row r="308" spans="1:15" ht="12.75" customHeight="1" x14ac:dyDescent="0.2">
      <c r="A308" s="6">
        <v>6.5</v>
      </c>
      <c r="B308" s="9"/>
      <c r="C308" s="305">
        <v>1.44E-2</v>
      </c>
      <c r="D308" s="302">
        <v>-115.42</v>
      </c>
      <c r="E308" s="305">
        <v>0.25990000000000002</v>
      </c>
      <c r="F308" s="302">
        <v>81.45</v>
      </c>
      <c r="G308" s="305">
        <v>7.0599999999999996E-2</v>
      </c>
      <c r="H308" s="302">
        <v>90.21</v>
      </c>
      <c r="I308" s="305">
        <v>0.59130000000000005</v>
      </c>
      <c r="J308" s="302">
        <v>95.71</v>
      </c>
      <c r="K308" s="305">
        <v>0.58930000000000005</v>
      </c>
      <c r="L308" s="302">
        <v>139.37</v>
      </c>
      <c r="M308" s="305">
        <v>0.3846</v>
      </c>
      <c r="N308" s="302">
        <v>-5.8</v>
      </c>
      <c r="O308" s="319"/>
    </row>
    <row r="309" spans="1:15" ht="12.75" customHeight="1" x14ac:dyDescent="0.2">
      <c r="A309" s="6">
        <v>6</v>
      </c>
      <c r="B309" s="9"/>
      <c r="C309" s="305">
        <v>2.7900000000000001E-2</v>
      </c>
      <c r="D309" s="302">
        <v>164.63</v>
      </c>
      <c r="E309" s="305">
        <v>0.1807</v>
      </c>
      <c r="F309" s="302">
        <v>79.62</v>
      </c>
      <c r="G309" s="305">
        <v>6.8699999999999997E-2</v>
      </c>
      <c r="H309" s="302">
        <v>-105.04</v>
      </c>
      <c r="I309" s="305">
        <v>0.61619999999999997</v>
      </c>
      <c r="J309" s="302">
        <v>88.95</v>
      </c>
      <c r="K309" s="305">
        <v>0.4733</v>
      </c>
      <c r="L309" s="302">
        <v>149.18</v>
      </c>
      <c r="M309" s="305">
        <v>0.34410000000000002</v>
      </c>
      <c r="N309" s="302">
        <v>-12.35</v>
      </c>
      <c r="O309" s="319"/>
    </row>
    <row r="310" spans="1:15" ht="12.75" customHeight="1" x14ac:dyDescent="0.2">
      <c r="A310" s="6">
        <v>5.5</v>
      </c>
      <c r="B310" s="9"/>
      <c r="C310" s="305">
        <v>2.53E-2</v>
      </c>
      <c r="D310" s="302">
        <v>164.54</v>
      </c>
      <c r="E310" s="305">
        <v>7.7499999999999999E-2</v>
      </c>
      <c r="F310" s="302">
        <v>76.569999999999993</v>
      </c>
      <c r="G310" s="305">
        <v>8.2600000000000007E-2</v>
      </c>
      <c r="H310" s="302">
        <v>-93.09</v>
      </c>
      <c r="I310" s="305">
        <v>0.4511</v>
      </c>
      <c r="J310" s="302">
        <v>91.4</v>
      </c>
      <c r="K310" s="305">
        <v>0.29420000000000002</v>
      </c>
      <c r="L310" s="302">
        <v>160.87</v>
      </c>
      <c r="M310" s="305">
        <v>0.27129999999999999</v>
      </c>
      <c r="N310" s="302">
        <v>-25.65</v>
      </c>
      <c r="O310" s="319"/>
    </row>
    <row r="311" spans="1:15" ht="12.75" customHeight="1" x14ac:dyDescent="0.2">
      <c r="A311" s="6">
        <v>5</v>
      </c>
      <c r="B311" s="9"/>
      <c r="C311" s="305">
        <v>3.6900000000000002E-2</v>
      </c>
      <c r="D311" s="302">
        <v>105.87</v>
      </c>
      <c r="E311" s="305">
        <v>1.0500000000000001E-2</v>
      </c>
      <c r="F311" s="302">
        <v>-42.9</v>
      </c>
      <c r="G311" s="305">
        <v>8.5800000000000001E-2</v>
      </c>
      <c r="H311" s="302">
        <v>-109.47</v>
      </c>
      <c r="I311" s="305">
        <v>0.2636</v>
      </c>
      <c r="J311" s="302">
        <v>76.209999999999994</v>
      </c>
      <c r="K311" s="305">
        <v>0.12479999999999999</v>
      </c>
      <c r="L311" s="302">
        <v>151.82</v>
      </c>
      <c r="M311" s="305">
        <v>0.1825</v>
      </c>
      <c r="N311" s="302">
        <v>-28.17</v>
      </c>
      <c r="O311" s="319"/>
    </row>
    <row r="312" spans="1:15" ht="12.75" customHeight="1" x14ac:dyDescent="0.2">
      <c r="A312" s="6">
        <v>4.5</v>
      </c>
      <c r="B312" s="9"/>
      <c r="C312" s="305">
        <v>2.7400000000000001E-2</v>
      </c>
      <c r="D312" s="302">
        <v>95.35</v>
      </c>
      <c r="E312" s="305">
        <v>3.4200000000000001E-2</v>
      </c>
      <c r="F312" s="302">
        <v>-128.18</v>
      </c>
      <c r="G312" s="305">
        <v>6.8000000000000005E-2</v>
      </c>
      <c r="H312" s="302">
        <v>-129.18</v>
      </c>
      <c r="I312" s="305">
        <v>0.15079999999999999</v>
      </c>
      <c r="J312" s="302">
        <v>53.38</v>
      </c>
      <c r="K312" s="305">
        <v>2.24E-2</v>
      </c>
      <c r="L312" s="302">
        <v>133.88999999999999</v>
      </c>
      <c r="M312" s="305">
        <v>7.7600000000000002E-2</v>
      </c>
      <c r="N312" s="302">
        <v>-80.52</v>
      </c>
      <c r="O312" s="319"/>
    </row>
    <row r="313" spans="1:15" ht="12.75" customHeight="1" x14ac:dyDescent="0.2">
      <c r="A313" s="6">
        <v>4</v>
      </c>
      <c r="B313" s="9"/>
      <c r="C313" s="305">
        <v>1.52E-2</v>
      </c>
      <c r="D313" s="302">
        <v>32.49</v>
      </c>
      <c r="E313" s="305">
        <v>3.15E-2</v>
      </c>
      <c r="F313" s="302">
        <v>-169.84</v>
      </c>
      <c r="G313" s="305">
        <v>4.0300000000000002E-2</v>
      </c>
      <c r="H313" s="302">
        <v>-156.63999999999999</v>
      </c>
      <c r="I313" s="305">
        <v>7.0900000000000005E-2</v>
      </c>
      <c r="J313" s="302">
        <v>24.21</v>
      </c>
      <c r="K313" s="305">
        <v>3.61E-2</v>
      </c>
      <c r="L313" s="302">
        <v>-64.849999999999994</v>
      </c>
      <c r="M313" s="305">
        <v>4.41E-2</v>
      </c>
      <c r="N313" s="302">
        <v>171.07</v>
      </c>
      <c r="O313" s="319"/>
    </row>
    <row r="314" spans="1:15" ht="12.75" customHeight="1" x14ac:dyDescent="0.2">
      <c r="A314" s="6">
        <v>3.5</v>
      </c>
      <c r="B314" s="9"/>
      <c r="C314" s="305">
        <v>3.2000000000000002E-3</v>
      </c>
      <c r="D314" s="302">
        <v>-125.35</v>
      </c>
      <c r="E314" s="305">
        <v>1.24E-2</v>
      </c>
      <c r="F314" s="302">
        <v>61.59</v>
      </c>
      <c r="G314" s="305">
        <v>7.3000000000000001E-3</v>
      </c>
      <c r="H314" s="302">
        <v>148.25</v>
      </c>
      <c r="I314" s="305">
        <v>2.2499999999999999E-2</v>
      </c>
      <c r="J314" s="302">
        <v>-7.47</v>
      </c>
      <c r="K314" s="305">
        <v>3.61E-2</v>
      </c>
      <c r="L314" s="302">
        <v>-92.27</v>
      </c>
      <c r="M314" s="305">
        <v>6.2100000000000002E-2</v>
      </c>
      <c r="N314" s="302">
        <v>108</v>
      </c>
      <c r="O314" s="319"/>
    </row>
    <row r="315" spans="1:15" ht="12.75" customHeight="1" x14ac:dyDescent="0.2">
      <c r="A315" s="6">
        <v>3.24</v>
      </c>
      <c r="B315" s="9"/>
      <c r="C315" s="305">
        <v>6.3E-3</v>
      </c>
      <c r="D315" s="302">
        <v>-177.17</v>
      </c>
      <c r="E315" s="305">
        <v>2.2100000000000002E-2</v>
      </c>
      <c r="F315" s="302">
        <v>-10.88</v>
      </c>
      <c r="G315" s="305">
        <v>3.3999999999999998E-3</v>
      </c>
      <c r="H315" s="302">
        <v>14</v>
      </c>
      <c r="I315" s="305">
        <v>2.0199999999999999E-2</v>
      </c>
      <c r="J315" s="302">
        <v>-32.56</v>
      </c>
      <c r="K315" s="305">
        <v>2.0400000000000001E-2</v>
      </c>
      <c r="L315" s="302">
        <v>-114.95</v>
      </c>
      <c r="M315" s="305">
        <v>3.1099999999999999E-2</v>
      </c>
      <c r="N315" s="302">
        <v>73.63</v>
      </c>
      <c r="O315" s="319"/>
    </row>
    <row r="316" spans="1:15" ht="12.75" customHeight="1" x14ac:dyDescent="0.2">
      <c r="A316" s="6">
        <v>0</v>
      </c>
      <c r="B316" s="9"/>
      <c r="C316" s="305">
        <v>0</v>
      </c>
      <c r="D316" s="302">
        <v>0</v>
      </c>
      <c r="E316" s="305">
        <v>0</v>
      </c>
      <c r="F316" s="302">
        <v>0</v>
      </c>
      <c r="G316" s="305">
        <v>0</v>
      </c>
      <c r="H316" s="302">
        <v>0</v>
      </c>
      <c r="I316" s="305">
        <v>0</v>
      </c>
      <c r="J316" s="302">
        <v>0</v>
      </c>
      <c r="K316" s="305">
        <v>0</v>
      </c>
      <c r="L316" s="302">
        <v>0</v>
      </c>
      <c r="M316" s="305">
        <v>0</v>
      </c>
      <c r="N316" s="302">
        <v>0</v>
      </c>
      <c r="O316" s="319"/>
    </row>
    <row r="317" spans="1:15" ht="12.75" customHeight="1" x14ac:dyDescent="0.2">
      <c r="A317" s="6">
        <v>0</v>
      </c>
      <c r="B317" s="9"/>
      <c r="C317" s="305">
        <v>0</v>
      </c>
      <c r="D317" s="302">
        <v>0</v>
      </c>
      <c r="E317" s="305">
        <v>0</v>
      </c>
      <c r="F317" s="302">
        <v>0</v>
      </c>
      <c r="G317" s="305">
        <v>0</v>
      </c>
      <c r="H317" s="302">
        <v>0</v>
      </c>
      <c r="I317" s="305">
        <v>0</v>
      </c>
      <c r="J317" s="302">
        <v>0</v>
      </c>
      <c r="K317" s="305">
        <v>0</v>
      </c>
      <c r="L317" s="302">
        <v>0</v>
      </c>
      <c r="M317" s="305">
        <v>0</v>
      </c>
      <c r="N317" s="302">
        <v>0</v>
      </c>
      <c r="O317" s="319"/>
    </row>
    <row r="318" spans="1:15" ht="12.75" customHeight="1" x14ac:dyDescent="0.2">
      <c r="A318" s="6">
        <v>0</v>
      </c>
      <c r="B318" s="9"/>
      <c r="C318" s="305">
        <v>0</v>
      </c>
      <c r="D318" s="302">
        <v>0</v>
      </c>
      <c r="E318" s="305">
        <v>0</v>
      </c>
      <c r="F318" s="302">
        <v>0</v>
      </c>
      <c r="G318" s="305">
        <v>0</v>
      </c>
      <c r="H318" s="302">
        <v>0</v>
      </c>
      <c r="I318" s="305">
        <v>0</v>
      </c>
      <c r="J318" s="302">
        <v>0</v>
      </c>
      <c r="K318" s="305">
        <v>0</v>
      </c>
      <c r="L318" s="302">
        <v>0</v>
      </c>
      <c r="M318" s="305">
        <v>0</v>
      </c>
      <c r="N318" s="302">
        <v>0</v>
      </c>
      <c r="O318" s="319"/>
    </row>
    <row r="319" spans="1:15" ht="12.75" customHeight="1" x14ac:dyDescent="0.2">
      <c r="A319" s="6">
        <v>0</v>
      </c>
      <c r="B319" s="9"/>
      <c r="C319" s="305">
        <v>0</v>
      </c>
      <c r="D319" s="302">
        <v>0</v>
      </c>
      <c r="E319" s="305">
        <v>0</v>
      </c>
      <c r="F319" s="302">
        <v>0</v>
      </c>
      <c r="G319" s="305">
        <v>0</v>
      </c>
      <c r="H319" s="302">
        <v>0</v>
      </c>
      <c r="I319" s="305">
        <v>0</v>
      </c>
      <c r="J319" s="302">
        <v>0</v>
      </c>
      <c r="K319" s="305">
        <v>0</v>
      </c>
      <c r="L319" s="302">
        <v>0</v>
      </c>
      <c r="M319" s="305">
        <v>0</v>
      </c>
      <c r="N319" s="302">
        <v>0</v>
      </c>
      <c r="O319" s="319"/>
    </row>
    <row r="320" spans="1:15" ht="12.75" customHeight="1" thickBot="1" x14ac:dyDescent="0.25">
      <c r="A320" s="10">
        <v>0</v>
      </c>
      <c r="B320" s="11"/>
      <c r="C320" s="12">
        <v>0</v>
      </c>
      <c r="D320" s="13">
        <v>0</v>
      </c>
      <c r="E320" s="12">
        <v>0</v>
      </c>
      <c r="F320" s="13">
        <v>0</v>
      </c>
      <c r="G320" s="12">
        <v>0</v>
      </c>
      <c r="H320" s="13">
        <v>0</v>
      </c>
      <c r="I320" s="12">
        <v>0</v>
      </c>
      <c r="J320" s="13">
        <v>0</v>
      </c>
      <c r="K320" s="12">
        <v>0</v>
      </c>
      <c r="L320" s="13">
        <v>0</v>
      </c>
      <c r="M320" s="12">
        <v>0</v>
      </c>
      <c r="N320" s="13">
        <v>0</v>
      </c>
      <c r="O320" s="319"/>
    </row>
    <row r="321" spans="1:15" ht="20.100000000000001" customHeight="1" x14ac:dyDescent="0.25">
      <c r="A321" s="333" t="str">
        <f>A281</f>
        <v>Paragon DPDS2</v>
      </c>
      <c r="B321" s="333"/>
      <c r="C321" s="333"/>
      <c r="D321" s="333"/>
      <c r="E321" s="333"/>
      <c r="F321" s="333"/>
      <c r="G321" s="333"/>
      <c r="H321" s="333"/>
      <c r="I321" s="333"/>
      <c r="J321" s="333"/>
      <c r="K321" s="333"/>
      <c r="L321" s="333"/>
      <c r="M321" s="333"/>
      <c r="N321" s="333"/>
      <c r="O321" s="311"/>
    </row>
    <row r="322" spans="1:15" ht="20.100000000000001" customHeight="1" thickBot="1" x14ac:dyDescent="0.3">
      <c r="A322" s="334" t="s">
        <v>5</v>
      </c>
      <c r="B322" s="334"/>
      <c r="C322" s="334"/>
      <c r="D322" s="334"/>
      <c r="E322" s="334"/>
      <c r="F322" s="334"/>
      <c r="G322" s="334"/>
      <c r="H322" s="334"/>
      <c r="I322" s="334"/>
      <c r="J322" s="334"/>
      <c r="K322" s="334"/>
      <c r="L322" s="334"/>
      <c r="M322" s="334"/>
      <c r="N322" s="334"/>
      <c r="O322" s="317"/>
    </row>
    <row r="323" spans="1:15" ht="12.75" customHeight="1" x14ac:dyDescent="0.2">
      <c r="A323" s="335" t="s">
        <v>12</v>
      </c>
      <c r="B323" s="337" t="s">
        <v>13</v>
      </c>
      <c r="C323" s="339" t="s">
        <v>6</v>
      </c>
      <c r="D323" s="340"/>
      <c r="E323" s="339" t="s">
        <v>7</v>
      </c>
      <c r="F323" s="340"/>
      <c r="G323" s="339" t="s">
        <v>8</v>
      </c>
      <c r="H323" s="340"/>
      <c r="I323" s="339" t="s">
        <v>9</v>
      </c>
      <c r="J323" s="340"/>
      <c r="K323" s="339" t="s">
        <v>10</v>
      </c>
      <c r="L323" s="340"/>
      <c r="M323" s="339" t="s">
        <v>11</v>
      </c>
      <c r="N323" s="340"/>
      <c r="O323" s="318"/>
    </row>
    <row r="324" spans="1:15" ht="12.75" customHeight="1" x14ac:dyDescent="0.2">
      <c r="A324" s="336"/>
      <c r="B324" s="338"/>
      <c r="C324" s="304" t="s">
        <v>0</v>
      </c>
      <c r="D324" s="312" t="s">
        <v>1</v>
      </c>
      <c r="E324" s="304" t="s">
        <v>0</v>
      </c>
      <c r="F324" s="312" t="s">
        <v>1</v>
      </c>
      <c r="G324" s="304" t="s">
        <v>0</v>
      </c>
      <c r="H324" s="312" t="s">
        <v>1</v>
      </c>
      <c r="I324" s="304" t="s">
        <v>0</v>
      </c>
      <c r="J324" s="312" t="s">
        <v>1</v>
      </c>
      <c r="K324" s="304" t="s">
        <v>0</v>
      </c>
      <c r="L324" s="312" t="s">
        <v>1</v>
      </c>
      <c r="M324" s="304" t="s">
        <v>0</v>
      </c>
      <c r="N324" s="312" t="s">
        <v>1</v>
      </c>
      <c r="O324" s="318"/>
    </row>
    <row r="325" spans="1:15" ht="12.75" customHeight="1" thickBot="1" x14ac:dyDescent="0.25">
      <c r="A325" s="2" t="s">
        <v>14</v>
      </c>
      <c r="B325" s="3" t="s">
        <v>15</v>
      </c>
      <c r="C325" s="2" t="s">
        <v>19</v>
      </c>
      <c r="D325" s="3" t="s">
        <v>15</v>
      </c>
      <c r="E325" s="2" t="s">
        <v>19</v>
      </c>
      <c r="F325" s="3" t="s">
        <v>15</v>
      </c>
      <c r="G325" s="2" t="s">
        <v>19</v>
      </c>
      <c r="H325" s="3" t="s">
        <v>15</v>
      </c>
      <c r="I325" s="2" t="s">
        <v>20</v>
      </c>
      <c r="J325" s="3" t="s">
        <v>15</v>
      </c>
      <c r="K325" s="2" t="s">
        <v>20</v>
      </c>
      <c r="L325" s="3" t="s">
        <v>15</v>
      </c>
      <c r="M325" s="2" t="s">
        <v>20</v>
      </c>
      <c r="N325" s="3" t="s">
        <v>15</v>
      </c>
      <c r="O325" s="318"/>
    </row>
    <row r="326" spans="1:15" ht="12.75" customHeight="1" x14ac:dyDescent="0.2">
      <c r="A326" s="4">
        <v>30</v>
      </c>
      <c r="B326" s="5">
        <v>120</v>
      </c>
      <c r="C326" s="305">
        <v>0.48959999999999998</v>
      </c>
      <c r="D326" s="302">
        <v>-90.08</v>
      </c>
      <c r="E326" s="305">
        <v>0.83350000000000002</v>
      </c>
      <c r="F326" s="302">
        <v>89.62</v>
      </c>
      <c r="G326" s="305">
        <v>0.99750000000000005</v>
      </c>
      <c r="H326" s="302">
        <v>-0.01</v>
      </c>
      <c r="I326" s="305">
        <v>0.43430000000000002</v>
      </c>
      <c r="J326" s="302">
        <v>108.56</v>
      </c>
      <c r="K326" s="305">
        <v>0.12920000000000001</v>
      </c>
      <c r="L326" s="302">
        <v>90.95</v>
      </c>
      <c r="M326" s="305">
        <v>9.1800000000000007E-2</v>
      </c>
      <c r="N326" s="302">
        <v>-2.86</v>
      </c>
      <c r="O326" s="319"/>
    </row>
    <row r="327" spans="1:15" ht="12.75" customHeight="1" x14ac:dyDescent="0.2">
      <c r="A327" s="6">
        <v>28</v>
      </c>
      <c r="B327" s="7"/>
      <c r="C327" s="305">
        <v>0.48780000000000001</v>
      </c>
      <c r="D327" s="302">
        <v>-90.08</v>
      </c>
      <c r="E327" s="305">
        <v>0.82469999999999999</v>
      </c>
      <c r="F327" s="302">
        <v>89.28</v>
      </c>
      <c r="G327" s="305">
        <v>0.99680000000000002</v>
      </c>
      <c r="H327" s="302">
        <v>-0.01</v>
      </c>
      <c r="I327" s="305">
        <v>0.62629999999999997</v>
      </c>
      <c r="J327" s="302">
        <v>115.71</v>
      </c>
      <c r="K327" s="305">
        <v>0.14849999999999999</v>
      </c>
      <c r="L327" s="302">
        <v>91.1</v>
      </c>
      <c r="M327" s="305">
        <v>0.10680000000000001</v>
      </c>
      <c r="N327" s="302">
        <v>-3.61</v>
      </c>
      <c r="O327" s="319"/>
    </row>
    <row r="328" spans="1:15" ht="12.75" customHeight="1" x14ac:dyDescent="0.2">
      <c r="A328" s="6">
        <v>26</v>
      </c>
      <c r="B328" s="7"/>
      <c r="C328" s="305">
        <v>0.4854</v>
      </c>
      <c r="D328" s="302">
        <v>-90.07</v>
      </c>
      <c r="E328" s="305">
        <v>0.81289999999999996</v>
      </c>
      <c r="F328" s="302">
        <v>88.08</v>
      </c>
      <c r="G328" s="305">
        <v>0.99570000000000003</v>
      </c>
      <c r="H328" s="302">
        <v>-0.02</v>
      </c>
      <c r="I328" s="305">
        <v>1.0842000000000001</v>
      </c>
      <c r="J328" s="302">
        <v>133.51</v>
      </c>
      <c r="K328" s="305">
        <v>0.1724</v>
      </c>
      <c r="L328" s="302">
        <v>91.27</v>
      </c>
      <c r="M328" s="305">
        <v>0.1303</v>
      </c>
      <c r="N328" s="302">
        <v>-4.37</v>
      </c>
      <c r="O328" s="319"/>
    </row>
    <row r="329" spans="1:15" ht="12.75" customHeight="1" x14ac:dyDescent="0.2">
      <c r="A329" s="6">
        <v>24</v>
      </c>
      <c r="B329" s="7"/>
      <c r="C329" s="305">
        <v>0.4824</v>
      </c>
      <c r="D329" s="302">
        <v>-90.07</v>
      </c>
      <c r="E329" s="305">
        <v>0.85570000000000002</v>
      </c>
      <c r="F329" s="302">
        <v>85.88</v>
      </c>
      <c r="G329" s="305">
        <v>0.99419999999999997</v>
      </c>
      <c r="H329" s="302">
        <v>-0.03</v>
      </c>
      <c r="I329" s="305">
        <v>1.7742</v>
      </c>
      <c r="J329" s="302">
        <v>-162.22</v>
      </c>
      <c r="K329" s="305">
        <v>0.20269999999999999</v>
      </c>
      <c r="L329" s="302">
        <v>91.5</v>
      </c>
      <c r="M329" s="305">
        <v>0.16489999999999999</v>
      </c>
      <c r="N329" s="302">
        <v>3.94</v>
      </c>
      <c r="O329" s="319"/>
    </row>
    <row r="330" spans="1:15" ht="12.75" customHeight="1" x14ac:dyDescent="0.2">
      <c r="A330" s="6">
        <v>22</v>
      </c>
      <c r="B330" s="7"/>
      <c r="C330" s="305">
        <v>0.4783</v>
      </c>
      <c r="D330" s="302">
        <v>-90.06</v>
      </c>
      <c r="E330" s="305">
        <v>0.85519999999999996</v>
      </c>
      <c r="F330" s="302">
        <v>89.34</v>
      </c>
      <c r="G330" s="305">
        <v>0.99180000000000001</v>
      </c>
      <c r="H330" s="302">
        <v>-0.04</v>
      </c>
      <c r="I330" s="305">
        <v>0.81559999999999999</v>
      </c>
      <c r="J330" s="302">
        <v>-105.51</v>
      </c>
      <c r="K330" s="305">
        <v>0.24160000000000001</v>
      </c>
      <c r="L330" s="302">
        <v>91.8</v>
      </c>
      <c r="M330" s="305">
        <v>0.16689999999999999</v>
      </c>
      <c r="N330" s="302">
        <v>5.45</v>
      </c>
      <c r="O330" s="319"/>
    </row>
    <row r="331" spans="1:15" ht="12.75" customHeight="1" x14ac:dyDescent="0.2">
      <c r="A331" s="6">
        <v>20</v>
      </c>
      <c r="B331" s="7"/>
      <c r="C331" s="305">
        <v>0.47260000000000002</v>
      </c>
      <c r="D331" s="302">
        <v>-90.03</v>
      </c>
      <c r="E331" s="305">
        <v>0.83030000000000004</v>
      </c>
      <c r="F331" s="302">
        <v>89.92</v>
      </c>
      <c r="G331" s="305">
        <v>0.98829999999999996</v>
      </c>
      <c r="H331" s="302">
        <v>-0.06</v>
      </c>
      <c r="I331" s="305">
        <v>0.38679999999999998</v>
      </c>
      <c r="J331" s="302">
        <v>-84.26</v>
      </c>
      <c r="K331" s="305">
        <v>0.29310000000000003</v>
      </c>
      <c r="L331" s="302">
        <v>92.21</v>
      </c>
      <c r="M331" s="305">
        <v>0.1943</v>
      </c>
      <c r="N331" s="302">
        <v>3.04</v>
      </c>
      <c r="O331" s="319"/>
    </row>
    <row r="332" spans="1:15" ht="12.75" customHeight="1" x14ac:dyDescent="0.2">
      <c r="A332" s="6">
        <v>19</v>
      </c>
      <c r="B332" s="7"/>
      <c r="C332" s="305">
        <v>0.46889999999999998</v>
      </c>
      <c r="D332" s="302">
        <v>-90.01</v>
      </c>
      <c r="E332" s="305">
        <v>0.81889999999999996</v>
      </c>
      <c r="F332" s="302">
        <v>89.98</v>
      </c>
      <c r="G332" s="305">
        <v>0.98580000000000001</v>
      </c>
      <c r="H332" s="302">
        <v>-0.08</v>
      </c>
      <c r="I332" s="305">
        <v>0.27400000000000002</v>
      </c>
      <c r="J332" s="302">
        <v>-74.03</v>
      </c>
      <c r="K332" s="305">
        <v>0.32519999999999999</v>
      </c>
      <c r="L332" s="302">
        <v>92.47</v>
      </c>
      <c r="M332" s="305">
        <v>0.21299999999999999</v>
      </c>
      <c r="N332" s="302">
        <v>2.38</v>
      </c>
      <c r="O332" s="319"/>
    </row>
    <row r="333" spans="1:15" ht="12.75" customHeight="1" x14ac:dyDescent="0.2">
      <c r="A333" s="6">
        <v>18</v>
      </c>
      <c r="B333" s="7"/>
      <c r="C333" s="305">
        <v>0.46439999999999998</v>
      </c>
      <c r="D333" s="302">
        <v>-89.97</v>
      </c>
      <c r="E333" s="305">
        <v>0.80679999999999996</v>
      </c>
      <c r="F333" s="302">
        <v>90</v>
      </c>
      <c r="G333" s="305">
        <v>0.98270000000000002</v>
      </c>
      <c r="H333" s="302">
        <v>-0.11</v>
      </c>
      <c r="I333" s="305">
        <v>0.19309999999999999</v>
      </c>
      <c r="J333" s="302">
        <v>-59.91</v>
      </c>
      <c r="K333" s="305">
        <v>0.36299999999999999</v>
      </c>
      <c r="L333" s="302">
        <v>92.79</v>
      </c>
      <c r="M333" s="305">
        <v>0.23480000000000001</v>
      </c>
      <c r="N333" s="302">
        <v>1.92</v>
      </c>
      <c r="O333" s="319"/>
    </row>
    <row r="334" spans="1:15" ht="12.75" customHeight="1" x14ac:dyDescent="0.2">
      <c r="A334" s="6">
        <v>17</v>
      </c>
      <c r="B334" s="7"/>
      <c r="C334" s="305">
        <v>0.45889999999999997</v>
      </c>
      <c r="D334" s="302">
        <v>-89.92</v>
      </c>
      <c r="E334" s="305">
        <v>0.79310000000000003</v>
      </c>
      <c r="F334" s="302">
        <v>89.99</v>
      </c>
      <c r="G334" s="305">
        <v>0.97870000000000001</v>
      </c>
      <c r="H334" s="302">
        <v>-0.14000000000000001</v>
      </c>
      <c r="I334" s="305">
        <v>0.1401</v>
      </c>
      <c r="J334" s="302">
        <v>-36.99</v>
      </c>
      <c r="K334" s="305">
        <v>0.4078</v>
      </c>
      <c r="L334" s="302">
        <v>93.19</v>
      </c>
      <c r="M334" s="305">
        <v>0.26</v>
      </c>
      <c r="N334" s="302">
        <v>1.59</v>
      </c>
      <c r="O334" s="319"/>
    </row>
    <row r="335" spans="1:15" ht="12.75" customHeight="1" x14ac:dyDescent="0.2">
      <c r="A335" s="6">
        <v>16</v>
      </c>
      <c r="B335" s="7"/>
      <c r="C335" s="305">
        <v>0.45200000000000001</v>
      </c>
      <c r="D335" s="302">
        <v>-89.81</v>
      </c>
      <c r="E335" s="305">
        <v>0.77680000000000005</v>
      </c>
      <c r="F335" s="302">
        <v>89.94</v>
      </c>
      <c r="G335" s="305">
        <v>0.97350000000000003</v>
      </c>
      <c r="H335" s="302">
        <v>-0.19</v>
      </c>
      <c r="I335" s="305">
        <v>0.12479999999999999</v>
      </c>
      <c r="J335" s="302">
        <v>-3.54</v>
      </c>
      <c r="K335" s="305">
        <v>0.4617</v>
      </c>
      <c r="L335" s="302">
        <v>93.7</v>
      </c>
      <c r="M335" s="305">
        <v>0.28920000000000001</v>
      </c>
      <c r="N335" s="302">
        <v>1.34</v>
      </c>
      <c r="O335" s="319"/>
    </row>
    <row r="336" spans="1:15" ht="12.75" customHeight="1" x14ac:dyDescent="0.2">
      <c r="A336" s="6">
        <v>15</v>
      </c>
      <c r="B336" s="7"/>
      <c r="C336" s="305">
        <v>0.44340000000000002</v>
      </c>
      <c r="D336" s="302">
        <v>-89.63</v>
      </c>
      <c r="E336" s="305">
        <v>0.7571</v>
      </c>
      <c r="F336" s="302">
        <v>89.87</v>
      </c>
      <c r="G336" s="305">
        <v>0.96709999999999996</v>
      </c>
      <c r="H336" s="302">
        <v>-0.28000000000000003</v>
      </c>
      <c r="I336" s="305">
        <v>0.15279999999999999</v>
      </c>
      <c r="J336" s="302">
        <v>26.45</v>
      </c>
      <c r="K336" s="305">
        <v>0.52710000000000001</v>
      </c>
      <c r="L336" s="302">
        <v>94.38</v>
      </c>
      <c r="M336" s="305">
        <v>0.32290000000000002</v>
      </c>
      <c r="N336" s="302">
        <v>1.1599999999999999</v>
      </c>
      <c r="O336" s="319"/>
    </row>
    <row r="337" spans="1:15" ht="12.75" customHeight="1" x14ac:dyDescent="0.2">
      <c r="A337" s="6">
        <v>14</v>
      </c>
      <c r="B337" s="7"/>
      <c r="C337" s="305">
        <v>0.43230000000000002</v>
      </c>
      <c r="D337" s="302">
        <v>-89.28</v>
      </c>
      <c r="E337" s="305">
        <v>0.73240000000000005</v>
      </c>
      <c r="F337" s="302">
        <v>89.74</v>
      </c>
      <c r="G337" s="305">
        <v>0.95920000000000005</v>
      </c>
      <c r="H337" s="302">
        <v>-0.43</v>
      </c>
      <c r="I337" s="305">
        <v>0.2104</v>
      </c>
      <c r="J337" s="302">
        <v>44.57</v>
      </c>
      <c r="K337" s="305">
        <v>0.60799999999999998</v>
      </c>
      <c r="L337" s="302">
        <v>95.34</v>
      </c>
      <c r="M337" s="305">
        <v>0.36149999999999999</v>
      </c>
      <c r="N337" s="302">
        <v>1.02</v>
      </c>
      <c r="O337" s="319"/>
    </row>
    <row r="338" spans="1:15" ht="12.75" customHeight="1" x14ac:dyDescent="0.2">
      <c r="A338" s="6">
        <v>13</v>
      </c>
      <c r="B338" s="7"/>
      <c r="C338" s="305">
        <v>0.41720000000000002</v>
      </c>
      <c r="D338" s="302">
        <v>-88.62</v>
      </c>
      <c r="E338" s="305">
        <v>0.70120000000000005</v>
      </c>
      <c r="F338" s="302">
        <v>89.55</v>
      </c>
      <c r="G338" s="305">
        <v>0.95079999999999998</v>
      </c>
      <c r="H338" s="302">
        <v>-0.69</v>
      </c>
      <c r="I338" s="305">
        <v>0.28770000000000001</v>
      </c>
      <c r="J338" s="302">
        <v>55.1</v>
      </c>
      <c r="K338" s="305">
        <v>0.7097</v>
      </c>
      <c r="L338" s="302">
        <v>96.78</v>
      </c>
      <c r="M338" s="305">
        <v>0.40529999999999999</v>
      </c>
      <c r="N338" s="302">
        <v>0.91</v>
      </c>
      <c r="O338" s="319"/>
    </row>
    <row r="339" spans="1:15" ht="12.75" customHeight="1" x14ac:dyDescent="0.2">
      <c r="A339" s="6">
        <v>12</v>
      </c>
      <c r="B339" s="8"/>
      <c r="C339" s="305">
        <v>0.3957</v>
      </c>
      <c r="D339" s="302">
        <v>-87.34</v>
      </c>
      <c r="E339" s="305">
        <v>0.66120000000000001</v>
      </c>
      <c r="F339" s="302">
        <v>89.28</v>
      </c>
      <c r="G339" s="305">
        <v>0.94679999999999997</v>
      </c>
      <c r="H339" s="302">
        <v>-1.0900000000000001</v>
      </c>
      <c r="I339" s="305">
        <v>0.38469999999999999</v>
      </c>
      <c r="J339" s="302">
        <v>61.87</v>
      </c>
      <c r="K339" s="305">
        <v>0.83940000000000003</v>
      </c>
      <c r="L339" s="302">
        <v>99.14</v>
      </c>
      <c r="M339" s="305">
        <v>0.4536</v>
      </c>
      <c r="N339" s="302">
        <v>0.81</v>
      </c>
      <c r="O339" s="319"/>
    </row>
    <row r="340" spans="1:15" ht="12.75" customHeight="1" x14ac:dyDescent="0.2">
      <c r="A340" s="6">
        <v>11</v>
      </c>
      <c r="B340" s="8"/>
      <c r="C340" s="305">
        <v>0.36230000000000001</v>
      </c>
      <c r="D340" s="302">
        <v>-84.88</v>
      </c>
      <c r="E340" s="305">
        <v>0.60980000000000001</v>
      </c>
      <c r="F340" s="302">
        <v>89</v>
      </c>
      <c r="G340" s="305">
        <v>0.96619999999999995</v>
      </c>
      <c r="H340" s="302">
        <v>-1.32</v>
      </c>
      <c r="I340" s="305">
        <v>0.50800000000000001</v>
      </c>
      <c r="J340" s="302">
        <v>67.010000000000005</v>
      </c>
      <c r="K340" s="305">
        <v>1.0053000000000001</v>
      </c>
      <c r="L340" s="302">
        <v>103.34</v>
      </c>
      <c r="M340" s="305">
        <v>0.50380000000000003</v>
      </c>
      <c r="N340" s="302">
        <v>0.68</v>
      </c>
      <c r="O340" s="319"/>
    </row>
    <row r="341" spans="1:15" ht="12.75" customHeight="1" x14ac:dyDescent="0.2">
      <c r="A341" s="6">
        <v>10</v>
      </c>
      <c r="B341" s="8"/>
      <c r="C341" s="305">
        <v>0.30549999999999999</v>
      </c>
      <c r="D341" s="302">
        <v>-80.239999999999995</v>
      </c>
      <c r="E341" s="305">
        <v>0.54330000000000001</v>
      </c>
      <c r="F341" s="302">
        <v>89.11</v>
      </c>
      <c r="G341" s="305">
        <v>1.0955999999999999</v>
      </c>
      <c r="H341" s="302">
        <v>2.4300000000000002</v>
      </c>
      <c r="I341" s="305">
        <v>0.67159999999999997</v>
      </c>
      <c r="J341" s="302">
        <v>72.290000000000006</v>
      </c>
      <c r="K341" s="305">
        <v>1.2047000000000001</v>
      </c>
      <c r="L341" s="302">
        <v>112.13</v>
      </c>
      <c r="M341" s="305">
        <v>0.54979999999999996</v>
      </c>
      <c r="N341" s="302">
        <v>0.38</v>
      </c>
      <c r="O341" s="319"/>
    </row>
    <row r="342" spans="1:15" ht="12.75" customHeight="1" x14ac:dyDescent="0.2">
      <c r="A342" s="6">
        <v>9.5</v>
      </c>
      <c r="B342" s="8"/>
      <c r="C342" s="305">
        <v>0.25729999999999997</v>
      </c>
      <c r="D342" s="302">
        <v>-77.2</v>
      </c>
      <c r="E342" s="305">
        <v>0.50209999999999999</v>
      </c>
      <c r="F342" s="302">
        <v>89.77</v>
      </c>
      <c r="G342" s="305">
        <v>1.282</v>
      </c>
      <c r="H342" s="302">
        <v>15.65</v>
      </c>
      <c r="I342" s="305">
        <v>0.7742</v>
      </c>
      <c r="J342" s="302">
        <v>75.86</v>
      </c>
      <c r="K342" s="305">
        <v>1.248</v>
      </c>
      <c r="L342" s="302">
        <v>121.66</v>
      </c>
      <c r="M342" s="305">
        <v>0.56799999999999995</v>
      </c>
      <c r="N342" s="302">
        <v>0.11</v>
      </c>
      <c r="O342" s="319"/>
    </row>
    <row r="343" spans="1:15" ht="12.75" customHeight="1" x14ac:dyDescent="0.2">
      <c r="A343" s="6">
        <v>9</v>
      </c>
      <c r="B343" s="8"/>
      <c r="C343" s="305">
        <v>0.21149999999999999</v>
      </c>
      <c r="D343" s="302">
        <v>-81.42</v>
      </c>
      <c r="E343" s="305">
        <v>0.45250000000000001</v>
      </c>
      <c r="F343" s="302">
        <v>91.43</v>
      </c>
      <c r="G343" s="305">
        <v>1.0486</v>
      </c>
      <c r="H343" s="302">
        <v>53.73</v>
      </c>
      <c r="I343" s="305">
        <v>0.89</v>
      </c>
      <c r="J343" s="302">
        <v>80.92</v>
      </c>
      <c r="K343" s="305">
        <v>1.0305</v>
      </c>
      <c r="L343" s="302">
        <v>122.08</v>
      </c>
      <c r="M343" s="305">
        <v>0.58079999999999998</v>
      </c>
      <c r="N343" s="302">
        <v>-0.2</v>
      </c>
      <c r="O343" s="319"/>
    </row>
    <row r="344" spans="1:15" ht="12.75" customHeight="1" x14ac:dyDescent="0.2">
      <c r="A344" s="6">
        <v>8.5</v>
      </c>
      <c r="B344" s="8"/>
      <c r="C344" s="305">
        <v>0.19159999999999999</v>
      </c>
      <c r="D344" s="302">
        <v>-75.8</v>
      </c>
      <c r="E344" s="305">
        <v>0.38900000000000001</v>
      </c>
      <c r="F344" s="302">
        <v>94.97</v>
      </c>
      <c r="G344" s="305">
        <v>0.46129999999999999</v>
      </c>
      <c r="H344" s="302">
        <v>62.7</v>
      </c>
      <c r="I344" s="305">
        <v>1.0038</v>
      </c>
      <c r="J344" s="302">
        <v>88.43</v>
      </c>
      <c r="K344" s="305">
        <v>1.2905</v>
      </c>
      <c r="L344" s="302">
        <v>118.73</v>
      </c>
      <c r="M344" s="305">
        <v>0.58579999999999999</v>
      </c>
      <c r="N344" s="302">
        <v>-0.25</v>
      </c>
      <c r="O344" s="319"/>
    </row>
    <row r="345" spans="1:15" ht="12.75" customHeight="1" x14ac:dyDescent="0.2">
      <c r="A345" s="6">
        <v>8</v>
      </c>
      <c r="B345" s="8"/>
      <c r="C345" s="305">
        <v>0.13469999999999999</v>
      </c>
      <c r="D345" s="302">
        <v>-56.17</v>
      </c>
      <c r="E345" s="305">
        <v>0.30480000000000002</v>
      </c>
      <c r="F345" s="302">
        <v>101.33</v>
      </c>
      <c r="G345" s="305">
        <v>0.2495</v>
      </c>
      <c r="H345" s="302">
        <v>60.66</v>
      </c>
      <c r="I345" s="305">
        <v>1.069</v>
      </c>
      <c r="J345" s="302">
        <v>98.89</v>
      </c>
      <c r="K345" s="305">
        <v>1.468</v>
      </c>
      <c r="L345" s="302">
        <v>138.49</v>
      </c>
      <c r="M345" s="305">
        <v>0.57609999999999995</v>
      </c>
      <c r="N345" s="302">
        <v>1.1100000000000001</v>
      </c>
      <c r="O345" s="319"/>
    </row>
    <row r="346" spans="1:15" ht="12.75" customHeight="1" x14ac:dyDescent="0.2">
      <c r="A346" s="6">
        <v>7.5</v>
      </c>
      <c r="B346" s="8"/>
      <c r="C346" s="305">
        <v>4.1000000000000002E-2</v>
      </c>
      <c r="D346" s="302">
        <v>-17.71</v>
      </c>
      <c r="E346" s="305">
        <v>0.2036</v>
      </c>
      <c r="F346" s="302">
        <v>111.5</v>
      </c>
      <c r="G346" s="305">
        <v>2.41E-2</v>
      </c>
      <c r="H346" s="302">
        <v>23.68</v>
      </c>
      <c r="I346" s="305">
        <v>1.0216000000000001</v>
      </c>
      <c r="J346" s="302">
        <v>110.86</v>
      </c>
      <c r="K346" s="305">
        <v>0.97389999999999999</v>
      </c>
      <c r="L346" s="302">
        <v>166.81</v>
      </c>
      <c r="M346" s="305">
        <v>0.5121</v>
      </c>
      <c r="N346" s="302">
        <v>6.41</v>
      </c>
      <c r="O346" s="319"/>
    </row>
    <row r="347" spans="1:15" ht="12.75" customHeight="1" x14ac:dyDescent="0.2">
      <c r="A347" s="6">
        <v>7</v>
      </c>
      <c r="B347" s="8"/>
      <c r="C347" s="305">
        <v>2.1100000000000001E-2</v>
      </c>
      <c r="D347" s="302">
        <v>99.22</v>
      </c>
      <c r="E347" s="305">
        <v>0.1075</v>
      </c>
      <c r="F347" s="302">
        <v>132.97</v>
      </c>
      <c r="G347" s="305">
        <v>0.1221</v>
      </c>
      <c r="H347" s="302">
        <v>-69.069999999999993</v>
      </c>
      <c r="I347" s="305">
        <v>0.84009999999999996</v>
      </c>
      <c r="J347" s="302">
        <v>121.28</v>
      </c>
      <c r="K347" s="305">
        <v>0.45800000000000002</v>
      </c>
      <c r="L347" s="302">
        <v>159.86000000000001</v>
      </c>
      <c r="M347" s="305">
        <v>0.3392</v>
      </c>
      <c r="N347" s="302">
        <v>6.3</v>
      </c>
      <c r="O347" s="319"/>
    </row>
    <row r="348" spans="1:15" ht="12.75" customHeight="1" x14ac:dyDescent="0.2">
      <c r="A348" s="6">
        <v>6.5</v>
      </c>
      <c r="B348" s="9"/>
      <c r="C348" s="305">
        <v>4.36E-2</v>
      </c>
      <c r="D348" s="302">
        <v>107.92</v>
      </c>
      <c r="E348" s="305">
        <v>5.7799999999999997E-2</v>
      </c>
      <c r="F348" s="302">
        <v>-175.74</v>
      </c>
      <c r="G348" s="305">
        <v>0.13500000000000001</v>
      </c>
      <c r="H348" s="302">
        <v>-86.05</v>
      </c>
      <c r="I348" s="305">
        <v>0.59030000000000005</v>
      </c>
      <c r="J348" s="302">
        <v>121.29</v>
      </c>
      <c r="K348" s="305">
        <v>0.28029999999999999</v>
      </c>
      <c r="L348" s="302">
        <v>142.88999999999999</v>
      </c>
      <c r="M348" s="305">
        <v>0.21110000000000001</v>
      </c>
      <c r="N348" s="302">
        <v>-7.53</v>
      </c>
      <c r="O348" s="319"/>
    </row>
    <row r="349" spans="1:15" ht="12.75" customHeight="1" x14ac:dyDescent="0.2">
      <c r="A349" s="6">
        <v>6</v>
      </c>
      <c r="B349" s="9"/>
      <c r="C349" s="305">
        <v>5.16E-2</v>
      </c>
      <c r="D349" s="302">
        <v>103.17</v>
      </c>
      <c r="E349" s="305">
        <v>8.0600000000000005E-2</v>
      </c>
      <c r="F349" s="302">
        <v>-148.66</v>
      </c>
      <c r="G349" s="305">
        <v>0.17760000000000001</v>
      </c>
      <c r="H349" s="302">
        <v>-99.79</v>
      </c>
      <c r="I349" s="305">
        <v>0.51739999999999997</v>
      </c>
      <c r="J349" s="302">
        <v>116.43</v>
      </c>
      <c r="K349" s="305">
        <v>9.7500000000000003E-2</v>
      </c>
      <c r="L349" s="302">
        <v>120.75</v>
      </c>
      <c r="M349" s="305">
        <v>8.5699999999999998E-2</v>
      </c>
      <c r="N349" s="302">
        <v>-31.85</v>
      </c>
      <c r="O349" s="319"/>
    </row>
    <row r="350" spans="1:15" ht="12.75" customHeight="1" x14ac:dyDescent="0.2">
      <c r="A350" s="6">
        <v>5.5</v>
      </c>
      <c r="B350" s="9"/>
      <c r="C350" s="305">
        <v>2.23E-2</v>
      </c>
      <c r="D350" s="302">
        <v>82.09</v>
      </c>
      <c r="E350" s="305">
        <v>8.1299999999999997E-2</v>
      </c>
      <c r="F350" s="302">
        <v>-147.82</v>
      </c>
      <c r="G350" s="305">
        <v>0.1404</v>
      </c>
      <c r="H350" s="302">
        <v>-104.13</v>
      </c>
      <c r="I350" s="305">
        <v>0.31940000000000002</v>
      </c>
      <c r="J350" s="302">
        <v>115.27</v>
      </c>
      <c r="K350" s="305">
        <v>0.12690000000000001</v>
      </c>
      <c r="L350" s="302">
        <v>-5.67</v>
      </c>
      <c r="M350" s="305">
        <v>6.6400000000000001E-2</v>
      </c>
      <c r="N350" s="302">
        <v>-140.26</v>
      </c>
      <c r="O350" s="319"/>
    </row>
    <row r="351" spans="1:15" ht="12.75" customHeight="1" x14ac:dyDescent="0.2">
      <c r="A351" s="6">
        <v>5</v>
      </c>
      <c r="B351" s="9"/>
      <c r="C351" s="305">
        <v>2.12E-2</v>
      </c>
      <c r="D351" s="302">
        <v>7.01</v>
      </c>
      <c r="E351" s="305">
        <v>5.8000000000000003E-2</v>
      </c>
      <c r="F351" s="302">
        <v>164.94</v>
      </c>
      <c r="G351" s="305">
        <v>6.7100000000000007E-2</v>
      </c>
      <c r="H351" s="302">
        <v>-115.79</v>
      </c>
      <c r="I351" s="305">
        <v>0.20150000000000001</v>
      </c>
      <c r="J351" s="302">
        <v>97.78</v>
      </c>
      <c r="K351" s="305">
        <v>0.1787</v>
      </c>
      <c r="L351" s="302">
        <v>-9.15</v>
      </c>
      <c r="M351" s="305">
        <v>0.11310000000000001</v>
      </c>
      <c r="N351" s="302">
        <v>159.63</v>
      </c>
      <c r="O351" s="319"/>
    </row>
    <row r="352" spans="1:15" ht="12.75" customHeight="1" x14ac:dyDescent="0.2">
      <c r="A352" s="6">
        <v>4.5</v>
      </c>
      <c r="B352" s="9"/>
      <c r="C352" s="305">
        <v>3.1300000000000001E-2</v>
      </c>
      <c r="D352" s="302">
        <v>-77</v>
      </c>
      <c r="E352" s="305">
        <v>4.9099999999999998E-2</v>
      </c>
      <c r="F352" s="302">
        <v>94.55</v>
      </c>
      <c r="G352" s="305">
        <v>1.3599999999999999E-2</v>
      </c>
      <c r="H352" s="302">
        <v>104.61</v>
      </c>
      <c r="I352" s="305">
        <v>4.4699999999999997E-2</v>
      </c>
      <c r="J352" s="302">
        <v>65.02</v>
      </c>
      <c r="K352" s="305">
        <v>8.77E-2</v>
      </c>
      <c r="L352" s="302">
        <v>-29.95</v>
      </c>
      <c r="M352" s="305">
        <v>4.8399999999999999E-2</v>
      </c>
      <c r="N352" s="302">
        <v>114.54</v>
      </c>
      <c r="O352" s="319"/>
    </row>
    <row r="353" spans="1:15" ht="12.75" customHeight="1" x14ac:dyDescent="0.2">
      <c r="A353" s="6">
        <v>4</v>
      </c>
      <c r="B353" s="9"/>
      <c r="C353" s="305">
        <v>1.41E-2</v>
      </c>
      <c r="D353" s="302">
        <v>-140.62</v>
      </c>
      <c r="E353" s="305">
        <v>2.29E-2</v>
      </c>
      <c r="F353" s="302">
        <v>39.08</v>
      </c>
      <c r="G353" s="305">
        <v>1.52E-2</v>
      </c>
      <c r="H353" s="302">
        <v>43.94</v>
      </c>
      <c r="I353" s="305">
        <v>6.6E-3</v>
      </c>
      <c r="J353" s="302">
        <v>-39.49</v>
      </c>
      <c r="K353" s="305">
        <v>3.2199999999999999E-2</v>
      </c>
      <c r="L353" s="302">
        <v>165.46</v>
      </c>
      <c r="M353" s="305">
        <v>8.1000000000000003E-2</v>
      </c>
      <c r="N353" s="302">
        <v>-20.34</v>
      </c>
      <c r="O353" s="319"/>
    </row>
    <row r="354" spans="1:15" ht="12.75" customHeight="1" x14ac:dyDescent="0.2">
      <c r="A354" s="6">
        <v>3.5</v>
      </c>
      <c r="B354" s="9"/>
      <c r="C354" s="305">
        <v>1.3899999999999999E-2</v>
      </c>
      <c r="D354" s="302">
        <v>15.6</v>
      </c>
      <c r="E354" s="305">
        <v>2.76E-2</v>
      </c>
      <c r="F354" s="302">
        <v>-153.19</v>
      </c>
      <c r="G354" s="305">
        <v>9.1999999999999998E-3</v>
      </c>
      <c r="H354" s="302">
        <v>-123.11</v>
      </c>
      <c r="I354" s="305">
        <v>3.1800000000000002E-2</v>
      </c>
      <c r="J354" s="302">
        <v>158.74</v>
      </c>
      <c r="K354" s="305">
        <v>2.5999999999999999E-3</v>
      </c>
      <c r="L354" s="302">
        <v>-14.61</v>
      </c>
      <c r="M354" s="305">
        <v>1.5100000000000001E-2</v>
      </c>
      <c r="N354" s="302">
        <v>-164.15</v>
      </c>
      <c r="O354" s="319"/>
    </row>
    <row r="355" spans="1:15" ht="12.75" customHeight="1" x14ac:dyDescent="0.2">
      <c r="A355" s="6">
        <v>3.24</v>
      </c>
      <c r="B355" s="9"/>
      <c r="C355" s="305">
        <v>6.7000000000000002E-3</v>
      </c>
      <c r="D355" s="302">
        <v>-73.680000000000007</v>
      </c>
      <c r="E355" s="305">
        <v>1.43E-2</v>
      </c>
      <c r="F355" s="302">
        <v>130.41</v>
      </c>
      <c r="G355" s="305">
        <v>8.9999999999999998E-4</v>
      </c>
      <c r="H355" s="302">
        <v>177.03</v>
      </c>
      <c r="I355" s="305">
        <v>2.3400000000000001E-2</v>
      </c>
      <c r="J355" s="302">
        <v>122.66</v>
      </c>
      <c r="K355" s="305">
        <v>1.35E-2</v>
      </c>
      <c r="L355" s="302">
        <v>-66.56</v>
      </c>
      <c r="M355" s="305">
        <v>2.6599999999999999E-2</v>
      </c>
      <c r="N355" s="302">
        <v>89.39</v>
      </c>
      <c r="O355" s="319"/>
    </row>
    <row r="356" spans="1:15" ht="12.75" customHeight="1" x14ac:dyDescent="0.2">
      <c r="A356" s="6">
        <v>0</v>
      </c>
      <c r="B356" s="9"/>
      <c r="C356" s="305">
        <v>0</v>
      </c>
      <c r="D356" s="302">
        <v>0</v>
      </c>
      <c r="E356" s="305">
        <v>0</v>
      </c>
      <c r="F356" s="302">
        <v>0</v>
      </c>
      <c r="G356" s="305">
        <v>0</v>
      </c>
      <c r="H356" s="302">
        <v>0</v>
      </c>
      <c r="I356" s="305">
        <v>0</v>
      </c>
      <c r="J356" s="302">
        <v>0</v>
      </c>
      <c r="K356" s="305">
        <v>0</v>
      </c>
      <c r="L356" s="302">
        <v>0</v>
      </c>
      <c r="M356" s="305">
        <v>0</v>
      </c>
      <c r="N356" s="302">
        <v>0</v>
      </c>
      <c r="O356" s="319"/>
    </row>
    <row r="357" spans="1:15" ht="12.75" customHeight="1" x14ac:dyDescent="0.2">
      <c r="A357" s="6">
        <v>0</v>
      </c>
      <c r="B357" s="9"/>
      <c r="C357" s="305">
        <v>0</v>
      </c>
      <c r="D357" s="302">
        <v>0</v>
      </c>
      <c r="E357" s="305">
        <v>0</v>
      </c>
      <c r="F357" s="302">
        <v>0</v>
      </c>
      <c r="G357" s="305">
        <v>0</v>
      </c>
      <c r="H357" s="302">
        <v>0</v>
      </c>
      <c r="I357" s="305">
        <v>0</v>
      </c>
      <c r="J357" s="302">
        <v>0</v>
      </c>
      <c r="K357" s="305">
        <v>0</v>
      </c>
      <c r="L357" s="302">
        <v>0</v>
      </c>
      <c r="M357" s="305">
        <v>0</v>
      </c>
      <c r="N357" s="302">
        <v>0</v>
      </c>
      <c r="O357" s="319"/>
    </row>
    <row r="358" spans="1:15" ht="12.75" customHeight="1" x14ac:dyDescent="0.2">
      <c r="A358" s="6">
        <v>0</v>
      </c>
      <c r="B358" s="9"/>
      <c r="C358" s="305">
        <v>0</v>
      </c>
      <c r="D358" s="302">
        <v>0</v>
      </c>
      <c r="E358" s="305">
        <v>0</v>
      </c>
      <c r="F358" s="302">
        <v>0</v>
      </c>
      <c r="G358" s="305">
        <v>0</v>
      </c>
      <c r="H358" s="302">
        <v>0</v>
      </c>
      <c r="I358" s="305">
        <v>0</v>
      </c>
      <c r="J358" s="302">
        <v>0</v>
      </c>
      <c r="K358" s="305">
        <v>0</v>
      </c>
      <c r="L358" s="302">
        <v>0</v>
      </c>
      <c r="M358" s="305">
        <v>0</v>
      </c>
      <c r="N358" s="302">
        <v>0</v>
      </c>
      <c r="O358" s="319"/>
    </row>
    <row r="359" spans="1:15" ht="12.75" customHeight="1" x14ac:dyDescent="0.2">
      <c r="A359" s="6">
        <v>0</v>
      </c>
      <c r="B359" s="9"/>
      <c r="C359" s="305">
        <v>0</v>
      </c>
      <c r="D359" s="302">
        <v>0</v>
      </c>
      <c r="E359" s="305">
        <v>0</v>
      </c>
      <c r="F359" s="302">
        <v>0</v>
      </c>
      <c r="G359" s="305">
        <v>0</v>
      </c>
      <c r="H359" s="302">
        <v>0</v>
      </c>
      <c r="I359" s="305">
        <v>0</v>
      </c>
      <c r="J359" s="302">
        <v>0</v>
      </c>
      <c r="K359" s="305">
        <v>0</v>
      </c>
      <c r="L359" s="302">
        <v>0</v>
      </c>
      <c r="M359" s="305">
        <v>0</v>
      </c>
      <c r="N359" s="302">
        <v>0</v>
      </c>
      <c r="O359" s="319"/>
    </row>
    <row r="360" spans="1:15" ht="12.75" customHeight="1" thickBot="1" x14ac:dyDescent="0.25">
      <c r="A360" s="10">
        <v>0</v>
      </c>
      <c r="B360" s="11"/>
      <c r="C360" s="12">
        <v>0</v>
      </c>
      <c r="D360" s="13">
        <v>0</v>
      </c>
      <c r="E360" s="12">
        <v>0</v>
      </c>
      <c r="F360" s="13">
        <v>0</v>
      </c>
      <c r="G360" s="12">
        <v>0</v>
      </c>
      <c r="H360" s="13">
        <v>0</v>
      </c>
      <c r="I360" s="12">
        <v>0</v>
      </c>
      <c r="J360" s="13">
        <v>0</v>
      </c>
      <c r="K360" s="12">
        <v>0</v>
      </c>
      <c r="L360" s="13">
        <v>0</v>
      </c>
      <c r="M360" s="12">
        <v>0</v>
      </c>
      <c r="N360" s="13">
        <v>0</v>
      </c>
      <c r="O360" s="319"/>
    </row>
    <row r="361" spans="1:15" ht="20.100000000000001" customHeight="1" x14ac:dyDescent="0.25">
      <c r="A361" s="333" t="str">
        <f>A321</f>
        <v>Paragon DPDS2</v>
      </c>
      <c r="B361" s="333"/>
      <c r="C361" s="333"/>
      <c r="D361" s="333"/>
      <c r="E361" s="333"/>
      <c r="F361" s="333"/>
      <c r="G361" s="333"/>
      <c r="H361" s="333"/>
      <c r="I361" s="333"/>
      <c r="J361" s="333"/>
      <c r="K361" s="333"/>
      <c r="L361" s="333"/>
      <c r="M361" s="333"/>
      <c r="N361" s="333"/>
      <c r="O361" s="311"/>
    </row>
    <row r="362" spans="1:15" ht="20.100000000000001" customHeight="1" thickBot="1" x14ac:dyDescent="0.3">
      <c r="A362" s="334" t="s">
        <v>5</v>
      </c>
      <c r="B362" s="334"/>
      <c r="C362" s="334"/>
      <c r="D362" s="334"/>
      <c r="E362" s="334"/>
      <c r="F362" s="334"/>
      <c r="G362" s="334"/>
      <c r="H362" s="334"/>
      <c r="I362" s="334"/>
      <c r="J362" s="334"/>
      <c r="K362" s="334"/>
      <c r="L362" s="334"/>
      <c r="M362" s="334"/>
      <c r="N362" s="334"/>
      <c r="O362" s="317"/>
    </row>
    <row r="363" spans="1:15" ht="12.75" customHeight="1" x14ac:dyDescent="0.2">
      <c r="A363" s="335" t="s">
        <v>12</v>
      </c>
      <c r="B363" s="337" t="s">
        <v>13</v>
      </c>
      <c r="C363" s="339" t="s">
        <v>6</v>
      </c>
      <c r="D363" s="340"/>
      <c r="E363" s="339" t="s">
        <v>7</v>
      </c>
      <c r="F363" s="340"/>
      <c r="G363" s="339" t="s">
        <v>8</v>
      </c>
      <c r="H363" s="340"/>
      <c r="I363" s="339" t="s">
        <v>9</v>
      </c>
      <c r="J363" s="340"/>
      <c r="K363" s="339" t="s">
        <v>10</v>
      </c>
      <c r="L363" s="340"/>
      <c r="M363" s="339" t="s">
        <v>11</v>
      </c>
      <c r="N363" s="340"/>
      <c r="O363" s="318"/>
    </row>
    <row r="364" spans="1:15" ht="12.75" customHeight="1" x14ac:dyDescent="0.2">
      <c r="A364" s="336"/>
      <c r="B364" s="338"/>
      <c r="C364" s="304" t="s">
        <v>0</v>
      </c>
      <c r="D364" s="312" t="s">
        <v>1</v>
      </c>
      <c r="E364" s="304" t="s">
        <v>0</v>
      </c>
      <c r="F364" s="312" t="s">
        <v>1</v>
      </c>
      <c r="G364" s="304" t="s">
        <v>0</v>
      </c>
      <c r="H364" s="312" t="s">
        <v>1</v>
      </c>
      <c r="I364" s="304" t="s">
        <v>0</v>
      </c>
      <c r="J364" s="312" t="s">
        <v>1</v>
      </c>
      <c r="K364" s="304" t="s">
        <v>0</v>
      </c>
      <c r="L364" s="312" t="s">
        <v>1</v>
      </c>
      <c r="M364" s="304" t="s">
        <v>0</v>
      </c>
      <c r="N364" s="312" t="s">
        <v>1</v>
      </c>
      <c r="O364" s="318"/>
    </row>
    <row r="365" spans="1:15" ht="12.75" customHeight="1" thickBot="1" x14ac:dyDescent="0.25">
      <c r="A365" s="2" t="s">
        <v>14</v>
      </c>
      <c r="B365" s="3" t="s">
        <v>15</v>
      </c>
      <c r="C365" s="2" t="s">
        <v>19</v>
      </c>
      <c r="D365" s="3" t="s">
        <v>15</v>
      </c>
      <c r="E365" s="2" t="s">
        <v>19</v>
      </c>
      <c r="F365" s="3" t="s">
        <v>15</v>
      </c>
      <c r="G365" s="2" t="s">
        <v>19</v>
      </c>
      <c r="H365" s="3" t="s">
        <v>15</v>
      </c>
      <c r="I365" s="2" t="s">
        <v>20</v>
      </c>
      <c r="J365" s="3" t="s">
        <v>15</v>
      </c>
      <c r="K365" s="2" t="s">
        <v>20</v>
      </c>
      <c r="L365" s="3" t="s">
        <v>15</v>
      </c>
      <c r="M365" s="2" t="s">
        <v>20</v>
      </c>
      <c r="N365" s="3" t="s">
        <v>15</v>
      </c>
      <c r="O365" s="318"/>
    </row>
    <row r="366" spans="1:15" ht="12.75" customHeight="1" x14ac:dyDescent="0.2">
      <c r="A366" s="4">
        <v>30</v>
      </c>
      <c r="B366" s="5">
        <v>135</v>
      </c>
      <c r="C366" s="305">
        <v>0.6905</v>
      </c>
      <c r="D366" s="302">
        <v>-90.05</v>
      </c>
      <c r="E366" s="305">
        <v>0.67879999999999996</v>
      </c>
      <c r="F366" s="302">
        <v>89.56</v>
      </c>
      <c r="G366" s="305">
        <v>0.99360000000000004</v>
      </c>
      <c r="H366" s="302">
        <v>-0.02</v>
      </c>
      <c r="I366" s="305">
        <v>0.35199999999999998</v>
      </c>
      <c r="J366" s="302">
        <v>110.62</v>
      </c>
      <c r="K366" s="305">
        <v>0.18229999999999999</v>
      </c>
      <c r="L366" s="302">
        <v>91.14</v>
      </c>
      <c r="M366" s="305">
        <v>0.1052</v>
      </c>
      <c r="N366" s="302">
        <v>-1.97</v>
      </c>
      <c r="O366" s="319"/>
    </row>
    <row r="367" spans="1:15" ht="12.75" customHeight="1" x14ac:dyDescent="0.2">
      <c r="A367" s="6">
        <v>28</v>
      </c>
      <c r="B367" s="7"/>
      <c r="C367" s="305">
        <v>0.68720000000000003</v>
      </c>
      <c r="D367" s="302">
        <v>-90.04</v>
      </c>
      <c r="E367" s="305">
        <v>0.67130000000000001</v>
      </c>
      <c r="F367" s="302">
        <v>89.2</v>
      </c>
      <c r="G367" s="305">
        <v>0.99160000000000004</v>
      </c>
      <c r="H367" s="302">
        <v>-0.02</v>
      </c>
      <c r="I367" s="305">
        <v>0.50629999999999997</v>
      </c>
      <c r="J367" s="302">
        <v>118.24</v>
      </c>
      <c r="K367" s="305">
        <v>0.20930000000000001</v>
      </c>
      <c r="L367" s="302">
        <v>91.31</v>
      </c>
      <c r="M367" s="305">
        <v>0.1217</v>
      </c>
      <c r="N367" s="302">
        <v>-2.46</v>
      </c>
      <c r="O367" s="319"/>
    </row>
    <row r="368" spans="1:15" ht="12.75" customHeight="1" x14ac:dyDescent="0.2">
      <c r="A368" s="6">
        <v>26</v>
      </c>
      <c r="B368" s="7"/>
      <c r="C368" s="305">
        <v>0.68300000000000005</v>
      </c>
      <c r="D368" s="302">
        <v>-90.03</v>
      </c>
      <c r="E368" s="305">
        <v>0.66180000000000005</v>
      </c>
      <c r="F368" s="302">
        <v>87.96</v>
      </c>
      <c r="G368" s="305">
        <v>0.98870000000000002</v>
      </c>
      <c r="H368" s="302">
        <v>-0.03</v>
      </c>
      <c r="I368" s="305">
        <v>0.87329999999999997</v>
      </c>
      <c r="J368" s="302">
        <v>136.72999999999999</v>
      </c>
      <c r="K368" s="305">
        <v>0.24279999999999999</v>
      </c>
      <c r="L368" s="302">
        <v>91.52</v>
      </c>
      <c r="M368" s="305">
        <v>0.14610000000000001</v>
      </c>
      <c r="N368" s="302">
        <v>-2.89</v>
      </c>
      <c r="O368" s="319"/>
    </row>
    <row r="369" spans="1:15" ht="12.75" customHeight="1" x14ac:dyDescent="0.2">
      <c r="A369" s="6">
        <v>24</v>
      </c>
      <c r="B369" s="7"/>
      <c r="C369" s="305">
        <v>0.6774</v>
      </c>
      <c r="D369" s="302">
        <v>-90.02</v>
      </c>
      <c r="E369" s="305">
        <v>0.69710000000000005</v>
      </c>
      <c r="F369" s="302">
        <v>86.02</v>
      </c>
      <c r="G369" s="305">
        <v>0.98440000000000005</v>
      </c>
      <c r="H369" s="302">
        <v>-0.04</v>
      </c>
      <c r="I369" s="305">
        <v>1.4217</v>
      </c>
      <c r="J369" s="302">
        <v>-157.91999999999999</v>
      </c>
      <c r="K369" s="305">
        <v>0.28489999999999999</v>
      </c>
      <c r="L369" s="302">
        <v>91.78</v>
      </c>
      <c r="M369" s="305">
        <v>0.1794</v>
      </c>
      <c r="N369" s="302">
        <v>3.44</v>
      </c>
      <c r="O369" s="319"/>
    </row>
    <row r="370" spans="1:15" ht="12.75" customHeight="1" x14ac:dyDescent="0.2">
      <c r="A370" s="6">
        <v>22</v>
      </c>
      <c r="B370" s="7"/>
      <c r="C370" s="305">
        <v>0.66969999999999996</v>
      </c>
      <c r="D370" s="302">
        <v>-90</v>
      </c>
      <c r="E370" s="305">
        <v>0.6915</v>
      </c>
      <c r="F370" s="302">
        <v>89.51</v>
      </c>
      <c r="G370" s="305">
        <v>0.97789999999999999</v>
      </c>
      <c r="H370" s="302">
        <v>-7.0000000000000007E-2</v>
      </c>
      <c r="I370" s="305">
        <v>0.6492</v>
      </c>
      <c r="J370" s="302">
        <v>-99.31</v>
      </c>
      <c r="K370" s="305">
        <v>0.33889999999999998</v>
      </c>
      <c r="L370" s="302">
        <v>92.13</v>
      </c>
      <c r="M370" s="305">
        <v>0.18859999999999999</v>
      </c>
      <c r="N370" s="302">
        <v>3.95</v>
      </c>
      <c r="O370" s="319"/>
    </row>
    <row r="371" spans="1:15" ht="12.75" customHeight="1" x14ac:dyDescent="0.2">
      <c r="A371" s="6">
        <v>20</v>
      </c>
      <c r="B371" s="7"/>
      <c r="C371" s="305">
        <v>0.65859999999999996</v>
      </c>
      <c r="D371" s="302">
        <v>-89.97</v>
      </c>
      <c r="E371" s="305">
        <v>0.66769999999999996</v>
      </c>
      <c r="F371" s="302">
        <v>90.02</v>
      </c>
      <c r="G371" s="305">
        <v>0.96760000000000002</v>
      </c>
      <c r="H371" s="302">
        <v>-0.11</v>
      </c>
      <c r="I371" s="305">
        <v>0.30740000000000001</v>
      </c>
      <c r="J371" s="302">
        <v>-74.180000000000007</v>
      </c>
      <c r="K371" s="305">
        <v>0.40939999999999999</v>
      </c>
      <c r="L371" s="302">
        <v>92.6</v>
      </c>
      <c r="M371" s="305">
        <v>0.22109999999999999</v>
      </c>
      <c r="N371" s="302">
        <v>2.13</v>
      </c>
      <c r="O371" s="319"/>
    </row>
    <row r="372" spans="1:15" ht="12.75" customHeight="1" x14ac:dyDescent="0.2">
      <c r="A372" s="6">
        <v>19</v>
      </c>
      <c r="B372" s="7"/>
      <c r="C372" s="305">
        <v>0.6512</v>
      </c>
      <c r="D372" s="302">
        <v>-89.94</v>
      </c>
      <c r="E372" s="305">
        <v>0.65620000000000001</v>
      </c>
      <c r="F372" s="302">
        <v>90.06</v>
      </c>
      <c r="G372" s="305">
        <v>0.96030000000000004</v>
      </c>
      <c r="H372" s="302">
        <v>-0.15</v>
      </c>
      <c r="I372" s="305">
        <v>0.22120000000000001</v>
      </c>
      <c r="J372" s="302">
        <v>-60.45</v>
      </c>
      <c r="K372" s="305">
        <v>0.45300000000000001</v>
      </c>
      <c r="L372" s="302">
        <v>92.89</v>
      </c>
      <c r="M372" s="305">
        <v>0.2422</v>
      </c>
      <c r="N372" s="302">
        <v>1.65</v>
      </c>
      <c r="O372" s="319"/>
    </row>
    <row r="373" spans="1:15" ht="12.75" customHeight="1" x14ac:dyDescent="0.2">
      <c r="A373" s="6">
        <v>18</v>
      </c>
      <c r="B373" s="7"/>
      <c r="C373" s="305">
        <v>0.6421</v>
      </c>
      <c r="D373" s="302">
        <v>-89.89</v>
      </c>
      <c r="E373" s="305">
        <v>0.64359999999999995</v>
      </c>
      <c r="F373" s="302">
        <v>90.06</v>
      </c>
      <c r="G373" s="305">
        <v>0.95069999999999999</v>
      </c>
      <c r="H373" s="302">
        <v>-0.2</v>
      </c>
      <c r="I373" s="305">
        <v>0.16550000000000001</v>
      </c>
      <c r="J373" s="302">
        <v>-41.47</v>
      </c>
      <c r="K373" s="305">
        <v>0.50380000000000003</v>
      </c>
      <c r="L373" s="302">
        <v>93.25</v>
      </c>
      <c r="M373" s="305">
        <v>0.26629999999999998</v>
      </c>
      <c r="N373" s="302">
        <v>1.31</v>
      </c>
      <c r="O373" s="319"/>
    </row>
    <row r="374" spans="1:15" ht="12.75" customHeight="1" x14ac:dyDescent="0.2">
      <c r="A374" s="6">
        <v>17</v>
      </c>
      <c r="B374" s="7"/>
      <c r="C374" s="305">
        <v>0.63080000000000003</v>
      </c>
      <c r="D374" s="302">
        <v>-89.82</v>
      </c>
      <c r="E374" s="305">
        <v>0.629</v>
      </c>
      <c r="F374" s="302">
        <v>90.03</v>
      </c>
      <c r="G374" s="305">
        <v>0.93799999999999994</v>
      </c>
      <c r="H374" s="302">
        <v>-0.28000000000000003</v>
      </c>
      <c r="I374" s="305">
        <v>0.1401</v>
      </c>
      <c r="J374" s="302">
        <v>-15.43</v>
      </c>
      <c r="K374" s="305">
        <v>0.56320000000000003</v>
      </c>
      <c r="L374" s="302">
        <v>93.68</v>
      </c>
      <c r="M374" s="305">
        <v>0.29380000000000001</v>
      </c>
      <c r="N374" s="302">
        <v>1.06</v>
      </c>
      <c r="O374" s="319"/>
    </row>
    <row r="375" spans="1:15" ht="12.75" customHeight="1" x14ac:dyDescent="0.2">
      <c r="A375" s="6">
        <v>16</v>
      </c>
      <c r="B375" s="7"/>
      <c r="C375" s="305">
        <v>0.61639999999999995</v>
      </c>
      <c r="D375" s="302">
        <v>-89.71</v>
      </c>
      <c r="E375" s="305">
        <v>0.61129999999999995</v>
      </c>
      <c r="F375" s="302">
        <v>89.98</v>
      </c>
      <c r="G375" s="305">
        <v>0.92100000000000004</v>
      </c>
      <c r="H375" s="302">
        <v>-0.41</v>
      </c>
      <c r="I375" s="305">
        <v>0.14829999999999999</v>
      </c>
      <c r="J375" s="302">
        <v>12.12</v>
      </c>
      <c r="K375" s="305">
        <v>0.63319999999999999</v>
      </c>
      <c r="L375" s="302">
        <v>94.23</v>
      </c>
      <c r="M375" s="305">
        <v>0.32500000000000001</v>
      </c>
      <c r="N375" s="302">
        <v>0.87</v>
      </c>
      <c r="O375" s="319"/>
    </row>
    <row r="376" spans="1:15" ht="12.75" customHeight="1" x14ac:dyDescent="0.2">
      <c r="A376" s="6">
        <v>15</v>
      </c>
      <c r="B376" s="7"/>
      <c r="C376" s="305">
        <v>0.59789999999999999</v>
      </c>
      <c r="D376" s="302">
        <v>-89.51</v>
      </c>
      <c r="E376" s="305">
        <v>0.58950000000000002</v>
      </c>
      <c r="F376" s="302">
        <v>89.89</v>
      </c>
      <c r="G376" s="305">
        <v>0.89790000000000003</v>
      </c>
      <c r="H376" s="302">
        <v>-0.63</v>
      </c>
      <c r="I376" s="305">
        <v>0.18509999999999999</v>
      </c>
      <c r="J376" s="302">
        <v>32.93</v>
      </c>
      <c r="K376" s="305">
        <v>0.71619999999999995</v>
      </c>
      <c r="L376" s="302">
        <v>94.94</v>
      </c>
      <c r="M376" s="305">
        <v>0.36009999999999998</v>
      </c>
      <c r="N376" s="302">
        <v>0.71</v>
      </c>
      <c r="O376" s="319"/>
    </row>
    <row r="377" spans="1:15" ht="12.75" customHeight="1" x14ac:dyDescent="0.2">
      <c r="A377" s="6">
        <v>14</v>
      </c>
      <c r="B377" s="7"/>
      <c r="C377" s="305">
        <v>0.5736</v>
      </c>
      <c r="D377" s="302">
        <v>-89.15</v>
      </c>
      <c r="E377" s="305">
        <v>0.56200000000000006</v>
      </c>
      <c r="F377" s="302">
        <v>89.75</v>
      </c>
      <c r="G377" s="305">
        <v>0.86619999999999997</v>
      </c>
      <c r="H377" s="302">
        <v>-1.05</v>
      </c>
      <c r="I377" s="305">
        <v>0.24210000000000001</v>
      </c>
      <c r="J377" s="302">
        <v>46.5</v>
      </c>
      <c r="K377" s="305">
        <v>0.81489999999999996</v>
      </c>
      <c r="L377" s="302">
        <v>95.9</v>
      </c>
      <c r="M377" s="305">
        <v>0.39879999999999999</v>
      </c>
      <c r="N377" s="302">
        <v>0.57999999999999996</v>
      </c>
      <c r="O377" s="319"/>
    </row>
    <row r="378" spans="1:15" ht="12.75" customHeight="1" x14ac:dyDescent="0.2">
      <c r="A378" s="6">
        <v>13</v>
      </c>
      <c r="B378" s="7"/>
      <c r="C378" s="305">
        <v>0.54079999999999995</v>
      </c>
      <c r="D378" s="302">
        <v>-88.48</v>
      </c>
      <c r="E378" s="305">
        <v>0.52710000000000001</v>
      </c>
      <c r="F378" s="302">
        <v>89.55</v>
      </c>
      <c r="G378" s="305">
        <v>0.82299999999999995</v>
      </c>
      <c r="H378" s="302">
        <v>-1.86</v>
      </c>
      <c r="I378" s="305">
        <v>0.317</v>
      </c>
      <c r="J378" s="302">
        <v>55.53</v>
      </c>
      <c r="K378" s="305">
        <v>0.93220000000000003</v>
      </c>
      <c r="L378" s="302">
        <v>97.29</v>
      </c>
      <c r="M378" s="305">
        <v>0.44019999999999998</v>
      </c>
      <c r="N378" s="302">
        <v>0.44</v>
      </c>
      <c r="O378" s="319"/>
    </row>
    <row r="379" spans="1:15" ht="12.75" customHeight="1" x14ac:dyDescent="0.2">
      <c r="A379" s="6">
        <v>12</v>
      </c>
      <c r="B379" s="8"/>
      <c r="C379" s="305">
        <v>0.49440000000000001</v>
      </c>
      <c r="D379" s="302">
        <v>-87.23</v>
      </c>
      <c r="E379" s="305">
        <v>0.48249999999999998</v>
      </c>
      <c r="F379" s="302">
        <v>89.33</v>
      </c>
      <c r="G379" s="305">
        <v>0.76559999999999995</v>
      </c>
      <c r="H379" s="302">
        <v>-3.46</v>
      </c>
      <c r="I379" s="305">
        <v>0.41249999999999998</v>
      </c>
      <c r="J379" s="302">
        <v>62.13</v>
      </c>
      <c r="K379" s="305">
        <v>1.0688</v>
      </c>
      <c r="L379" s="302">
        <v>99.43</v>
      </c>
      <c r="M379" s="305">
        <v>0.48139999999999999</v>
      </c>
      <c r="N379" s="302">
        <v>0.26</v>
      </c>
      <c r="O379" s="319"/>
    </row>
    <row r="380" spans="1:15" ht="12.75" customHeight="1" x14ac:dyDescent="0.2">
      <c r="A380" s="6">
        <v>11</v>
      </c>
      <c r="B380" s="8"/>
      <c r="C380" s="305">
        <v>0.42680000000000001</v>
      </c>
      <c r="D380" s="302">
        <v>-85.02</v>
      </c>
      <c r="E380" s="305">
        <v>0.42599999999999999</v>
      </c>
      <c r="F380" s="302">
        <v>89.3</v>
      </c>
      <c r="G380" s="305">
        <v>0.69510000000000005</v>
      </c>
      <c r="H380" s="302">
        <v>-6.56</v>
      </c>
      <c r="I380" s="305">
        <v>0.53669999999999995</v>
      </c>
      <c r="J380" s="302">
        <v>67.73</v>
      </c>
      <c r="K380" s="305">
        <v>1.2169000000000001</v>
      </c>
      <c r="L380" s="302">
        <v>102.84</v>
      </c>
      <c r="M380" s="305">
        <v>0.51659999999999995</v>
      </c>
      <c r="N380" s="302">
        <v>-0.02</v>
      </c>
      <c r="O380" s="319"/>
    </row>
    <row r="381" spans="1:15" ht="12.75" customHeight="1" x14ac:dyDescent="0.2">
      <c r="A381" s="6">
        <v>10</v>
      </c>
      <c r="B381" s="8"/>
      <c r="C381" s="305">
        <v>0.32869999999999999</v>
      </c>
      <c r="D381" s="302">
        <v>-81.44</v>
      </c>
      <c r="E381" s="305">
        <v>0.35520000000000002</v>
      </c>
      <c r="F381" s="302">
        <v>90.49</v>
      </c>
      <c r="G381" s="305">
        <v>0.62529999999999997</v>
      </c>
      <c r="H381" s="302">
        <v>-11.76</v>
      </c>
      <c r="I381" s="305">
        <v>0.70420000000000005</v>
      </c>
      <c r="J381" s="302">
        <v>73.900000000000006</v>
      </c>
      <c r="K381" s="305">
        <v>1.35</v>
      </c>
      <c r="L381" s="302">
        <v>108.24</v>
      </c>
      <c r="M381" s="305">
        <v>0.53459999999999996</v>
      </c>
      <c r="N381" s="302">
        <v>-0.54</v>
      </c>
      <c r="O381" s="319"/>
    </row>
    <row r="382" spans="1:15" ht="12.75" customHeight="1" x14ac:dyDescent="0.2">
      <c r="A382" s="6">
        <v>9.5</v>
      </c>
      <c r="B382" s="8"/>
      <c r="C382" s="305">
        <v>0.26729999999999998</v>
      </c>
      <c r="D382" s="302">
        <v>-78.81</v>
      </c>
      <c r="E382" s="305">
        <v>0.31330000000000002</v>
      </c>
      <c r="F382" s="302">
        <v>92.6</v>
      </c>
      <c r="G382" s="305">
        <v>0.61009999999999998</v>
      </c>
      <c r="H382" s="302">
        <v>-13.1</v>
      </c>
      <c r="I382" s="305">
        <v>0.8095</v>
      </c>
      <c r="J382" s="302">
        <v>78.069999999999993</v>
      </c>
      <c r="K382" s="305">
        <v>1.3964000000000001</v>
      </c>
      <c r="L382" s="302">
        <v>112.45</v>
      </c>
      <c r="M382" s="305">
        <v>0.53239999999999998</v>
      </c>
      <c r="N382" s="302">
        <v>-0.87</v>
      </c>
      <c r="O382" s="319"/>
    </row>
    <row r="383" spans="1:15" ht="12.75" customHeight="1" x14ac:dyDescent="0.2">
      <c r="A383" s="6">
        <v>9</v>
      </c>
      <c r="B383" s="8"/>
      <c r="C383" s="305">
        <v>0.1983</v>
      </c>
      <c r="D383" s="302">
        <v>-75.61</v>
      </c>
      <c r="E383" s="305">
        <v>0.26579999999999998</v>
      </c>
      <c r="F383" s="302">
        <v>97.29</v>
      </c>
      <c r="G383" s="305">
        <v>0.52710000000000001</v>
      </c>
      <c r="H383" s="302">
        <v>-6.16</v>
      </c>
      <c r="I383" s="305">
        <v>0.9274</v>
      </c>
      <c r="J383" s="302">
        <v>83.81</v>
      </c>
      <c r="K383" s="305">
        <v>1.3794</v>
      </c>
      <c r="L383" s="302">
        <v>118.07</v>
      </c>
      <c r="M383" s="305">
        <v>0.51970000000000005</v>
      </c>
      <c r="N383" s="302">
        <v>-1.03</v>
      </c>
      <c r="O383" s="319"/>
    </row>
    <row r="384" spans="1:15" ht="12.75" customHeight="1" x14ac:dyDescent="0.2">
      <c r="A384" s="6">
        <v>8.5</v>
      </c>
      <c r="B384" s="8"/>
      <c r="C384" s="305">
        <v>0.13150000000000001</v>
      </c>
      <c r="D384" s="302">
        <v>-67.88</v>
      </c>
      <c r="E384" s="305">
        <v>0.21179999999999999</v>
      </c>
      <c r="F384" s="302">
        <v>107.28</v>
      </c>
      <c r="G384" s="305">
        <v>0.3624</v>
      </c>
      <c r="H384" s="302">
        <v>-10.4</v>
      </c>
      <c r="I384" s="305">
        <v>1.0407999999999999</v>
      </c>
      <c r="J384" s="302">
        <v>92.05</v>
      </c>
      <c r="K384" s="305">
        <v>1.3555999999999999</v>
      </c>
      <c r="L384" s="302">
        <v>125.17</v>
      </c>
      <c r="M384" s="305">
        <v>0.49430000000000002</v>
      </c>
      <c r="N384" s="302">
        <v>-0.2</v>
      </c>
      <c r="O384" s="319"/>
    </row>
    <row r="385" spans="1:15" ht="12.75" customHeight="1" x14ac:dyDescent="0.2">
      <c r="A385" s="6">
        <v>8</v>
      </c>
      <c r="B385" s="8"/>
      <c r="C385" s="305">
        <v>6.0100000000000001E-2</v>
      </c>
      <c r="D385" s="302">
        <v>-32.53</v>
      </c>
      <c r="E385" s="305">
        <v>0.15540000000000001</v>
      </c>
      <c r="F385" s="302">
        <v>127.43</v>
      </c>
      <c r="G385" s="305">
        <v>0.2225</v>
      </c>
      <c r="H385" s="302">
        <v>-29.2</v>
      </c>
      <c r="I385" s="305">
        <v>1.1014999999999999</v>
      </c>
      <c r="J385" s="302">
        <v>103.23</v>
      </c>
      <c r="K385" s="305">
        <v>1.2000999999999999</v>
      </c>
      <c r="L385" s="302">
        <v>144.54</v>
      </c>
      <c r="M385" s="305">
        <v>0.44879999999999998</v>
      </c>
      <c r="N385" s="302">
        <v>4.45</v>
      </c>
      <c r="O385" s="319"/>
    </row>
    <row r="386" spans="1:15" ht="12.75" customHeight="1" x14ac:dyDescent="0.2">
      <c r="A386" s="6">
        <v>7.5</v>
      </c>
      <c r="B386" s="8"/>
      <c r="C386" s="305">
        <v>4.6199999999999998E-2</v>
      </c>
      <c r="D386" s="302">
        <v>83.56</v>
      </c>
      <c r="E386" s="305">
        <v>0.1191</v>
      </c>
      <c r="F386" s="302">
        <v>161.44</v>
      </c>
      <c r="G386" s="305">
        <v>0.24979999999999999</v>
      </c>
      <c r="H386" s="302">
        <v>-70.2</v>
      </c>
      <c r="I386" s="305">
        <v>1.0501</v>
      </c>
      <c r="J386" s="302">
        <v>116.21</v>
      </c>
      <c r="K386" s="305">
        <v>0.52539999999999998</v>
      </c>
      <c r="L386" s="302">
        <v>176.24</v>
      </c>
      <c r="M386" s="305">
        <v>0.34310000000000002</v>
      </c>
      <c r="N386" s="302">
        <v>21.78</v>
      </c>
      <c r="O386" s="319"/>
    </row>
    <row r="387" spans="1:15" ht="12.75" customHeight="1" x14ac:dyDescent="0.2">
      <c r="A387" s="6">
        <v>7</v>
      </c>
      <c r="B387" s="8"/>
      <c r="C387" s="305">
        <v>5.7299999999999997E-2</v>
      </c>
      <c r="D387" s="302">
        <v>108.65</v>
      </c>
      <c r="E387" s="305">
        <v>0.121</v>
      </c>
      <c r="F387" s="302">
        <v>-163.41</v>
      </c>
      <c r="G387" s="305">
        <v>0.27110000000000001</v>
      </c>
      <c r="H387" s="302">
        <v>-71.55</v>
      </c>
      <c r="I387" s="305">
        <v>0.86060000000000003</v>
      </c>
      <c r="J387" s="302">
        <v>130.06</v>
      </c>
      <c r="K387" s="305">
        <v>4.4999999999999998E-2</v>
      </c>
      <c r="L387" s="302">
        <v>34.79</v>
      </c>
      <c r="M387" s="305">
        <v>0.12770000000000001</v>
      </c>
      <c r="N387" s="302">
        <v>63.65</v>
      </c>
      <c r="O387" s="319"/>
    </row>
    <row r="388" spans="1:15" ht="12.75" customHeight="1" x14ac:dyDescent="0.2">
      <c r="A388" s="6">
        <v>6.5</v>
      </c>
      <c r="B388" s="9"/>
      <c r="C388" s="305">
        <v>4.2700000000000002E-2</v>
      </c>
      <c r="D388" s="302">
        <v>96.94</v>
      </c>
      <c r="E388" s="305">
        <v>0.1166</v>
      </c>
      <c r="F388" s="302">
        <v>-141.59</v>
      </c>
      <c r="G388" s="305">
        <v>0.18490000000000001</v>
      </c>
      <c r="H388" s="302">
        <v>-75.48</v>
      </c>
      <c r="I388" s="305">
        <v>0.54239999999999999</v>
      </c>
      <c r="J388" s="302">
        <v>144.51</v>
      </c>
      <c r="K388" s="305">
        <v>0.28070000000000001</v>
      </c>
      <c r="L388" s="302">
        <v>16.25</v>
      </c>
      <c r="M388" s="305">
        <v>7.8399999999999997E-2</v>
      </c>
      <c r="N388" s="302">
        <v>150.31</v>
      </c>
      <c r="O388" s="319"/>
    </row>
    <row r="389" spans="1:15" ht="12.75" customHeight="1" x14ac:dyDescent="0.2">
      <c r="A389" s="6">
        <v>6</v>
      </c>
      <c r="B389" s="9"/>
      <c r="C389" s="305">
        <v>2.6700000000000002E-2</v>
      </c>
      <c r="D389" s="302">
        <v>43.77</v>
      </c>
      <c r="E389" s="305">
        <v>4.6300000000000001E-2</v>
      </c>
      <c r="F389" s="302">
        <v>-150.51</v>
      </c>
      <c r="G389" s="305">
        <v>8.5000000000000006E-2</v>
      </c>
      <c r="H389" s="302">
        <v>-103.56</v>
      </c>
      <c r="I389" s="305">
        <v>0.1537</v>
      </c>
      <c r="J389" s="302">
        <v>104.88</v>
      </c>
      <c r="K389" s="305">
        <v>0.30430000000000001</v>
      </c>
      <c r="L389" s="302">
        <v>9.64</v>
      </c>
      <c r="M389" s="305">
        <v>0.13159999999999999</v>
      </c>
      <c r="N389" s="302">
        <v>165.06</v>
      </c>
      <c r="O389" s="319"/>
    </row>
    <row r="390" spans="1:15" ht="12.75" customHeight="1" x14ac:dyDescent="0.2">
      <c r="A390" s="6">
        <v>5.5</v>
      </c>
      <c r="B390" s="9"/>
      <c r="C390" s="305">
        <v>2.9399999999999999E-2</v>
      </c>
      <c r="D390" s="302">
        <v>-46.06</v>
      </c>
      <c r="E390" s="305">
        <v>6.3700000000000007E-2</v>
      </c>
      <c r="F390" s="302">
        <v>127.69</v>
      </c>
      <c r="G390" s="305">
        <v>4.1700000000000001E-2</v>
      </c>
      <c r="H390" s="302">
        <v>-157.97</v>
      </c>
      <c r="I390" s="305">
        <v>0.18440000000000001</v>
      </c>
      <c r="J390" s="302">
        <v>74.61</v>
      </c>
      <c r="K390" s="305">
        <v>0.20499999999999999</v>
      </c>
      <c r="L390" s="302">
        <v>-0.82</v>
      </c>
      <c r="M390" s="305">
        <v>8.1299999999999997E-2</v>
      </c>
      <c r="N390" s="302">
        <v>160.13999999999999</v>
      </c>
      <c r="O390" s="319"/>
    </row>
    <row r="391" spans="1:15" ht="12.75" customHeight="1" x14ac:dyDescent="0.2">
      <c r="A391" s="6">
        <v>5</v>
      </c>
      <c r="B391" s="9"/>
      <c r="C391" s="305">
        <v>3.9899999999999998E-2</v>
      </c>
      <c r="D391" s="302">
        <v>-67.430000000000007</v>
      </c>
      <c r="E391" s="305">
        <v>5.0099999999999999E-2</v>
      </c>
      <c r="F391" s="302">
        <v>111.7</v>
      </c>
      <c r="G391" s="305">
        <v>3.0300000000000001E-2</v>
      </c>
      <c r="H391" s="302">
        <v>115.45</v>
      </c>
      <c r="I391" s="305">
        <v>4.9599999999999998E-2</v>
      </c>
      <c r="J391" s="302">
        <v>65.31</v>
      </c>
      <c r="K391" s="305">
        <v>3.9899999999999998E-2</v>
      </c>
      <c r="L391" s="302">
        <v>-41.78</v>
      </c>
      <c r="M391" s="305">
        <v>6.6199999999999995E-2</v>
      </c>
      <c r="N391" s="302">
        <v>40.32</v>
      </c>
      <c r="O391" s="319"/>
    </row>
    <row r="392" spans="1:15" ht="12.75" customHeight="1" x14ac:dyDescent="0.2">
      <c r="A392" s="6">
        <v>4.5</v>
      </c>
      <c r="B392" s="9"/>
      <c r="C392" s="305">
        <v>8.5000000000000006E-3</v>
      </c>
      <c r="D392" s="302">
        <v>142.63999999999999</v>
      </c>
      <c r="E392" s="305">
        <v>2.5600000000000001E-2</v>
      </c>
      <c r="F392" s="302">
        <v>-50.7</v>
      </c>
      <c r="G392" s="305">
        <v>1.41E-2</v>
      </c>
      <c r="H392" s="302">
        <v>47.9</v>
      </c>
      <c r="I392" s="305">
        <v>8.1900000000000001E-2</v>
      </c>
      <c r="J392" s="302">
        <v>-95</v>
      </c>
      <c r="K392" s="305">
        <v>4.8300000000000003E-2</v>
      </c>
      <c r="L392" s="302">
        <v>-175.42</v>
      </c>
      <c r="M392" s="305">
        <v>6.0699999999999997E-2</v>
      </c>
      <c r="N392" s="302">
        <v>2.66</v>
      </c>
      <c r="O392" s="319"/>
    </row>
    <row r="393" spans="1:15" ht="12.75" customHeight="1" x14ac:dyDescent="0.2">
      <c r="A393" s="6">
        <v>4</v>
      </c>
      <c r="B393" s="9"/>
      <c r="C393" s="305">
        <v>1.04E-2</v>
      </c>
      <c r="D393" s="302">
        <v>88.74</v>
      </c>
      <c r="E393" s="305">
        <v>1.67E-2</v>
      </c>
      <c r="F393" s="302">
        <v>-98.82</v>
      </c>
      <c r="G393" s="305">
        <v>5.5999999999999999E-3</v>
      </c>
      <c r="H393" s="302">
        <v>-91.63</v>
      </c>
      <c r="I393" s="305">
        <v>3.4000000000000002E-2</v>
      </c>
      <c r="J393" s="302">
        <v>-148.33000000000001</v>
      </c>
      <c r="K393" s="305">
        <v>2.12E-2</v>
      </c>
      <c r="L393" s="302">
        <v>6.47</v>
      </c>
      <c r="M393" s="305">
        <v>0.04</v>
      </c>
      <c r="N393" s="302">
        <v>174.17</v>
      </c>
      <c r="O393" s="319"/>
    </row>
    <row r="394" spans="1:15" ht="12.75" customHeight="1" x14ac:dyDescent="0.2">
      <c r="A394" s="6">
        <v>3.5</v>
      </c>
      <c r="B394" s="9"/>
      <c r="C394" s="305">
        <v>1.8E-3</v>
      </c>
      <c r="D394" s="302">
        <v>-134.80000000000001</v>
      </c>
      <c r="E394" s="305">
        <v>1.6000000000000001E-3</v>
      </c>
      <c r="F394" s="302">
        <v>-13.75</v>
      </c>
      <c r="G394" s="305">
        <v>2.0999999999999999E-3</v>
      </c>
      <c r="H394" s="302">
        <v>106.3</v>
      </c>
      <c r="I394" s="305">
        <v>1.0200000000000001E-2</v>
      </c>
      <c r="J394" s="302">
        <v>-51.52</v>
      </c>
      <c r="K394" s="305">
        <v>9.9000000000000008E-3</v>
      </c>
      <c r="L394" s="302">
        <v>151.05000000000001</v>
      </c>
      <c r="M394" s="305">
        <v>2.8E-3</v>
      </c>
      <c r="N394" s="302">
        <v>107.18</v>
      </c>
      <c r="O394" s="319"/>
    </row>
    <row r="395" spans="1:15" ht="12.75" customHeight="1" x14ac:dyDescent="0.2">
      <c r="A395" s="6">
        <v>3.24</v>
      </c>
      <c r="B395" s="9"/>
      <c r="C395" s="305">
        <v>3.5999999999999999E-3</v>
      </c>
      <c r="D395" s="302">
        <v>-168.58</v>
      </c>
      <c r="E395" s="305">
        <v>5.4000000000000003E-3</v>
      </c>
      <c r="F395" s="302">
        <v>45.72</v>
      </c>
      <c r="G395" s="305">
        <v>1.1000000000000001E-3</v>
      </c>
      <c r="H395" s="302">
        <v>156.33000000000001</v>
      </c>
      <c r="I395" s="305">
        <v>7.1000000000000004E-3</v>
      </c>
      <c r="J395" s="302">
        <v>45.31</v>
      </c>
      <c r="K395" s="305">
        <v>5.7000000000000002E-3</v>
      </c>
      <c r="L395" s="302">
        <v>-6.93</v>
      </c>
      <c r="M395" s="305">
        <v>8.8999999999999999E-3</v>
      </c>
      <c r="N395" s="302">
        <v>173.48</v>
      </c>
      <c r="O395" s="319"/>
    </row>
    <row r="396" spans="1:15" ht="12.75" customHeight="1" x14ac:dyDescent="0.2">
      <c r="A396" s="6">
        <v>0</v>
      </c>
      <c r="B396" s="9"/>
      <c r="C396" s="305">
        <v>0</v>
      </c>
      <c r="D396" s="302">
        <v>0</v>
      </c>
      <c r="E396" s="305">
        <v>0</v>
      </c>
      <c r="F396" s="302">
        <v>0</v>
      </c>
      <c r="G396" s="305">
        <v>0</v>
      </c>
      <c r="H396" s="302">
        <v>0</v>
      </c>
      <c r="I396" s="305">
        <v>0</v>
      </c>
      <c r="J396" s="302">
        <v>0</v>
      </c>
      <c r="K396" s="305">
        <v>0</v>
      </c>
      <c r="L396" s="302">
        <v>0</v>
      </c>
      <c r="M396" s="305">
        <v>0</v>
      </c>
      <c r="N396" s="302">
        <v>0</v>
      </c>
      <c r="O396" s="319"/>
    </row>
    <row r="397" spans="1:15" ht="12.75" customHeight="1" x14ac:dyDescent="0.2">
      <c r="A397" s="6">
        <v>0</v>
      </c>
      <c r="B397" s="9"/>
      <c r="C397" s="305">
        <v>0</v>
      </c>
      <c r="D397" s="302">
        <v>0</v>
      </c>
      <c r="E397" s="305">
        <v>0</v>
      </c>
      <c r="F397" s="302">
        <v>0</v>
      </c>
      <c r="G397" s="305">
        <v>0</v>
      </c>
      <c r="H397" s="302">
        <v>0</v>
      </c>
      <c r="I397" s="305">
        <v>0</v>
      </c>
      <c r="J397" s="302">
        <v>0</v>
      </c>
      <c r="K397" s="305">
        <v>0</v>
      </c>
      <c r="L397" s="302">
        <v>0</v>
      </c>
      <c r="M397" s="305">
        <v>0</v>
      </c>
      <c r="N397" s="302">
        <v>0</v>
      </c>
      <c r="O397" s="319"/>
    </row>
    <row r="398" spans="1:15" ht="12.75" customHeight="1" x14ac:dyDescent="0.2">
      <c r="A398" s="6">
        <v>0</v>
      </c>
      <c r="B398" s="9"/>
      <c r="C398" s="305">
        <v>0</v>
      </c>
      <c r="D398" s="302">
        <v>0</v>
      </c>
      <c r="E398" s="305">
        <v>0</v>
      </c>
      <c r="F398" s="302">
        <v>0</v>
      </c>
      <c r="G398" s="305">
        <v>0</v>
      </c>
      <c r="H398" s="302">
        <v>0</v>
      </c>
      <c r="I398" s="305">
        <v>0</v>
      </c>
      <c r="J398" s="302">
        <v>0</v>
      </c>
      <c r="K398" s="305">
        <v>0</v>
      </c>
      <c r="L398" s="302">
        <v>0</v>
      </c>
      <c r="M398" s="305">
        <v>0</v>
      </c>
      <c r="N398" s="302">
        <v>0</v>
      </c>
      <c r="O398" s="319"/>
    </row>
    <row r="399" spans="1:15" ht="12.75" customHeight="1" x14ac:dyDescent="0.2">
      <c r="A399" s="6">
        <v>0</v>
      </c>
      <c r="B399" s="9"/>
      <c r="C399" s="305">
        <v>0</v>
      </c>
      <c r="D399" s="302">
        <v>0</v>
      </c>
      <c r="E399" s="305">
        <v>0</v>
      </c>
      <c r="F399" s="302">
        <v>0</v>
      </c>
      <c r="G399" s="305">
        <v>0</v>
      </c>
      <c r="H399" s="302">
        <v>0</v>
      </c>
      <c r="I399" s="305">
        <v>0</v>
      </c>
      <c r="J399" s="302">
        <v>0</v>
      </c>
      <c r="K399" s="305">
        <v>0</v>
      </c>
      <c r="L399" s="302">
        <v>0</v>
      </c>
      <c r="M399" s="305">
        <v>0</v>
      </c>
      <c r="N399" s="302">
        <v>0</v>
      </c>
      <c r="O399" s="319"/>
    </row>
    <row r="400" spans="1:15" ht="12.75" customHeight="1" thickBot="1" x14ac:dyDescent="0.25">
      <c r="A400" s="10">
        <v>0</v>
      </c>
      <c r="B400" s="11"/>
      <c r="C400" s="12">
        <v>0</v>
      </c>
      <c r="D400" s="13">
        <v>0</v>
      </c>
      <c r="E400" s="12">
        <v>0</v>
      </c>
      <c r="F400" s="13">
        <v>0</v>
      </c>
      <c r="G400" s="12">
        <v>0</v>
      </c>
      <c r="H400" s="13">
        <v>0</v>
      </c>
      <c r="I400" s="12">
        <v>0</v>
      </c>
      <c r="J400" s="13">
        <v>0</v>
      </c>
      <c r="K400" s="12">
        <v>0</v>
      </c>
      <c r="L400" s="13">
        <v>0</v>
      </c>
      <c r="M400" s="12">
        <v>0</v>
      </c>
      <c r="N400" s="13">
        <v>0</v>
      </c>
      <c r="O400" s="319"/>
    </row>
    <row r="401" spans="1:15" ht="20.100000000000001" customHeight="1" x14ac:dyDescent="0.25">
      <c r="A401" s="333" t="str">
        <f>A361</f>
        <v>Paragon DPDS2</v>
      </c>
      <c r="B401" s="333"/>
      <c r="C401" s="333"/>
      <c r="D401" s="333"/>
      <c r="E401" s="333"/>
      <c r="F401" s="333"/>
      <c r="G401" s="333"/>
      <c r="H401" s="333"/>
      <c r="I401" s="333"/>
      <c r="J401" s="333"/>
      <c r="K401" s="333"/>
      <c r="L401" s="333"/>
      <c r="M401" s="333"/>
      <c r="N401" s="333"/>
      <c r="O401" s="311"/>
    </row>
    <row r="402" spans="1:15" ht="20.100000000000001" customHeight="1" thickBot="1" x14ac:dyDescent="0.3">
      <c r="A402" s="334" t="s">
        <v>5</v>
      </c>
      <c r="B402" s="334"/>
      <c r="C402" s="334"/>
      <c r="D402" s="334"/>
      <c r="E402" s="334"/>
      <c r="F402" s="334"/>
      <c r="G402" s="334"/>
      <c r="H402" s="334"/>
      <c r="I402" s="334"/>
      <c r="J402" s="334"/>
      <c r="K402" s="334"/>
      <c r="L402" s="334"/>
      <c r="M402" s="334"/>
      <c r="N402" s="334"/>
      <c r="O402" s="317"/>
    </row>
    <row r="403" spans="1:15" ht="12.75" customHeight="1" x14ac:dyDescent="0.2">
      <c r="A403" s="335" t="s">
        <v>12</v>
      </c>
      <c r="B403" s="337" t="s">
        <v>13</v>
      </c>
      <c r="C403" s="339" t="s">
        <v>6</v>
      </c>
      <c r="D403" s="340"/>
      <c r="E403" s="339" t="s">
        <v>7</v>
      </c>
      <c r="F403" s="340"/>
      <c r="G403" s="339" t="s">
        <v>8</v>
      </c>
      <c r="H403" s="340"/>
      <c r="I403" s="339" t="s">
        <v>9</v>
      </c>
      <c r="J403" s="340"/>
      <c r="K403" s="339" t="s">
        <v>10</v>
      </c>
      <c r="L403" s="340"/>
      <c r="M403" s="339" t="s">
        <v>11</v>
      </c>
      <c r="N403" s="340"/>
      <c r="O403" s="318"/>
    </row>
    <row r="404" spans="1:15" ht="12.75" customHeight="1" x14ac:dyDescent="0.2">
      <c r="A404" s="336"/>
      <c r="B404" s="338"/>
      <c r="C404" s="304" t="s">
        <v>0</v>
      </c>
      <c r="D404" s="312" t="s">
        <v>1</v>
      </c>
      <c r="E404" s="304" t="s">
        <v>0</v>
      </c>
      <c r="F404" s="312" t="s">
        <v>1</v>
      </c>
      <c r="G404" s="304" t="s">
        <v>0</v>
      </c>
      <c r="H404" s="312" t="s">
        <v>1</v>
      </c>
      <c r="I404" s="304" t="s">
        <v>0</v>
      </c>
      <c r="J404" s="312" t="s">
        <v>1</v>
      </c>
      <c r="K404" s="304" t="s">
        <v>0</v>
      </c>
      <c r="L404" s="312" t="s">
        <v>1</v>
      </c>
      <c r="M404" s="304" t="s">
        <v>0</v>
      </c>
      <c r="N404" s="312" t="s">
        <v>1</v>
      </c>
      <c r="O404" s="318"/>
    </row>
    <row r="405" spans="1:15" ht="12.75" customHeight="1" thickBot="1" x14ac:dyDescent="0.25">
      <c r="A405" s="2" t="s">
        <v>14</v>
      </c>
      <c r="B405" s="3" t="s">
        <v>15</v>
      </c>
      <c r="C405" s="2" t="s">
        <v>19</v>
      </c>
      <c r="D405" s="3" t="s">
        <v>15</v>
      </c>
      <c r="E405" s="2" t="s">
        <v>19</v>
      </c>
      <c r="F405" s="3" t="s">
        <v>15</v>
      </c>
      <c r="G405" s="2" t="s">
        <v>19</v>
      </c>
      <c r="H405" s="3" t="s">
        <v>15</v>
      </c>
      <c r="I405" s="2" t="s">
        <v>20</v>
      </c>
      <c r="J405" s="3" t="s">
        <v>15</v>
      </c>
      <c r="K405" s="2" t="s">
        <v>20</v>
      </c>
      <c r="L405" s="3" t="s">
        <v>15</v>
      </c>
      <c r="M405" s="2" t="s">
        <v>20</v>
      </c>
      <c r="N405" s="3" t="s">
        <v>15</v>
      </c>
      <c r="O405" s="318"/>
    </row>
    <row r="406" spans="1:15" ht="12.75" customHeight="1" x14ac:dyDescent="0.2">
      <c r="A406" s="4">
        <v>30</v>
      </c>
      <c r="B406" s="5">
        <v>150</v>
      </c>
      <c r="C406" s="305">
        <v>0.84319999999999995</v>
      </c>
      <c r="D406" s="302">
        <v>-90.03</v>
      </c>
      <c r="E406" s="305">
        <v>0.47870000000000001</v>
      </c>
      <c r="F406" s="302">
        <v>89.52</v>
      </c>
      <c r="G406" s="305">
        <v>0.98960000000000004</v>
      </c>
      <c r="H406" s="302">
        <v>-0.02</v>
      </c>
      <c r="I406" s="305">
        <v>0.24709999999999999</v>
      </c>
      <c r="J406" s="302">
        <v>112.23</v>
      </c>
      <c r="K406" s="305">
        <v>0.2228</v>
      </c>
      <c r="L406" s="302">
        <v>91.31</v>
      </c>
      <c r="M406" s="305">
        <v>9.06E-2</v>
      </c>
      <c r="N406" s="302">
        <v>-1.56</v>
      </c>
      <c r="O406" s="319"/>
    </row>
    <row r="407" spans="1:15" ht="12.75" customHeight="1" x14ac:dyDescent="0.2">
      <c r="A407" s="6">
        <v>28</v>
      </c>
      <c r="B407" s="7"/>
      <c r="C407" s="305">
        <v>0.83840000000000003</v>
      </c>
      <c r="D407" s="302">
        <v>-90.02</v>
      </c>
      <c r="E407" s="305">
        <v>0.47310000000000002</v>
      </c>
      <c r="F407" s="302">
        <v>89.13</v>
      </c>
      <c r="G407" s="305">
        <v>0.98640000000000005</v>
      </c>
      <c r="H407" s="302">
        <v>-0.03</v>
      </c>
      <c r="I407" s="305">
        <v>0.35449999999999998</v>
      </c>
      <c r="J407" s="302">
        <v>120.23</v>
      </c>
      <c r="K407" s="305">
        <v>0.25559999999999999</v>
      </c>
      <c r="L407" s="302">
        <v>91.5</v>
      </c>
      <c r="M407" s="305">
        <v>0.1046</v>
      </c>
      <c r="N407" s="302">
        <v>-1.93</v>
      </c>
      <c r="O407" s="319"/>
    </row>
    <row r="408" spans="1:15" ht="12.75" customHeight="1" x14ac:dyDescent="0.2">
      <c r="A408" s="6">
        <v>26</v>
      </c>
      <c r="B408" s="7"/>
      <c r="C408" s="305">
        <v>0.83220000000000005</v>
      </c>
      <c r="D408" s="302">
        <v>-90.01</v>
      </c>
      <c r="E408" s="305">
        <v>0.46639999999999998</v>
      </c>
      <c r="F408" s="302">
        <v>87.87</v>
      </c>
      <c r="G408" s="305">
        <v>0.98170000000000002</v>
      </c>
      <c r="H408" s="302">
        <v>-0.04</v>
      </c>
      <c r="I408" s="305">
        <v>0.60929999999999995</v>
      </c>
      <c r="J408" s="302">
        <v>139.29</v>
      </c>
      <c r="K408" s="305">
        <v>0.29609999999999997</v>
      </c>
      <c r="L408" s="302">
        <v>91.74</v>
      </c>
      <c r="M408" s="305">
        <v>0.1246</v>
      </c>
      <c r="N408" s="302">
        <v>-2.2000000000000002</v>
      </c>
      <c r="O408" s="319"/>
    </row>
    <row r="409" spans="1:15" ht="12.75" customHeight="1" x14ac:dyDescent="0.2">
      <c r="A409" s="6">
        <v>24</v>
      </c>
      <c r="B409" s="7"/>
      <c r="C409" s="305">
        <v>0.82379999999999998</v>
      </c>
      <c r="D409" s="302">
        <v>-90</v>
      </c>
      <c r="E409" s="305">
        <v>0.49120000000000003</v>
      </c>
      <c r="F409" s="302">
        <v>86.14</v>
      </c>
      <c r="G409" s="305">
        <v>0.97470000000000001</v>
      </c>
      <c r="H409" s="302">
        <v>-0.06</v>
      </c>
      <c r="I409" s="305">
        <v>0.98699999999999999</v>
      </c>
      <c r="J409" s="302">
        <v>-154.43</v>
      </c>
      <c r="K409" s="305">
        <v>0.34689999999999999</v>
      </c>
      <c r="L409" s="302">
        <v>92.05</v>
      </c>
      <c r="M409" s="305">
        <v>0.1507</v>
      </c>
      <c r="N409" s="302">
        <v>3.2</v>
      </c>
      <c r="O409" s="319"/>
    </row>
    <row r="410" spans="1:15" ht="12.75" customHeight="1" x14ac:dyDescent="0.2">
      <c r="A410" s="6">
        <v>22</v>
      </c>
      <c r="B410" s="7"/>
      <c r="C410" s="305">
        <v>0.81200000000000006</v>
      </c>
      <c r="D410" s="302">
        <v>-89.98</v>
      </c>
      <c r="E410" s="305">
        <v>0.48409999999999997</v>
      </c>
      <c r="F410" s="302">
        <v>89.64</v>
      </c>
      <c r="G410" s="305">
        <v>0.96409999999999996</v>
      </c>
      <c r="H410" s="302">
        <v>-0.1</v>
      </c>
      <c r="I410" s="305">
        <v>0.4481</v>
      </c>
      <c r="J410" s="302">
        <v>-94.16</v>
      </c>
      <c r="K410" s="305">
        <v>0.41160000000000002</v>
      </c>
      <c r="L410" s="302">
        <v>92.44</v>
      </c>
      <c r="M410" s="305">
        <v>0.16109999999999999</v>
      </c>
      <c r="N410" s="302">
        <v>3.26</v>
      </c>
      <c r="O410" s="319"/>
    </row>
    <row r="411" spans="1:15" ht="12.75" customHeight="1" x14ac:dyDescent="0.2">
      <c r="A411" s="6">
        <v>20</v>
      </c>
      <c r="B411" s="7"/>
      <c r="C411" s="305">
        <v>0.79479999999999995</v>
      </c>
      <c r="D411" s="302">
        <v>-89.94</v>
      </c>
      <c r="E411" s="305">
        <v>0.46489999999999998</v>
      </c>
      <c r="F411" s="302">
        <v>90.1</v>
      </c>
      <c r="G411" s="305">
        <v>0.94720000000000004</v>
      </c>
      <c r="H411" s="302">
        <v>-0.16</v>
      </c>
      <c r="I411" s="305">
        <v>0.2132</v>
      </c>
      <c r="J411" s="302">
        <v>-65.59</v>
      </c>
      <c r="K411" s="305">
        <v>0.49530000000000002</v>
      </c>
      <c r="L411" s="302">
        <v>92.97</v>
      </c>
      <c r="M411" s="305">
        <v>0.18909999999999999</v>
      </c>
      <c r="N411" s="302">
        <v>1.7</v>
      </c>
      <c r="O411" s="319"/>
    </row>
    <row r="412" spans="1:15" ht="12.75" customHeight="1" x14ac:dyDescent="0.2">
      <c r="A412" s="6">
        <v>19</v>
      </c>
      <c r="B412" s="7"/>
      <c r="C412" s="305">
        <v>0.78320000000000001</v>
      </c>
      <c r="D412" s="302">
        <v>-89.91</v>
      </c>
      <c r="E412" s="305">
        <v>0.45529999999999998</v>
      </c>
      <c r="F412" s="302">
        <v>90.13</v>
      </c>
      <c r="G412" s="305">
        <v>0.93510000000000004</v>
      </c>
      <c r="H412" s="302">
        <v>-0.21</v>
      </c>
      <c r="I412" s="305">
        <v>0.15720000000000001</v>
      </c>
      <c r="J412" s="302">
        <v>-49.02</v>
      </c>
      <c r="K412" s="305">
        <v>0.54649999999999999</v>
      </c>
      <c r="L412" s="302">
        <v>93.3</v>
      </c>
      <c r="M412" s="305">
        <v>0.20669999999999999</v>
      </c>
      <c r="N412" s="302">
        <v>1.3</v>
      </c>
      <c r="O412" s="319"/>
    </row>
    <row r="413" spans="1:15" ht="12.75" customHeight="1" x14ac:dyDescent="0.2">
      <c r="A413" s="6">
        <v>18</v>
      </c>
      <c r="B413" s="7"/>
      <c r="C413" s="305">
        <v>0.76880000000000004</v>
      </c>
      <c r="D413" s="302">
        <v>-89.86</v>
      </c>
      <c r="E413" s="305">
        <v>0.4446</v>
      </c>
      <c r="F413" s="302">
        <v>90.11</v>
      </c>
      <c r="G413" s="305">
        <v>0.91920000000000002</v>
      </c>
      <c r="H413" s="302">
        <v>-0.28999999999999998</v>
      </c>
      <c r="I413" s="305">
        <v>0.1258</v>
      </c>
      <c r="J413" s="302">
        <v>-27.24</v>
      </c>
      <c r="K413" s="305">
        <v>0.60540000000000005</v>
      </c>
      <c r="L413" s="302">
        <v>93.69</v>
      </c>
      <c r="M413" s="305">
        <v>0.22670000000000001</v>
      </c>
      <c r="N413" s="302">
        <v>1.02</v>
      </c>
      <c r="O413" s="319"/>
    </row>
    <row r="414" spans="1:15" ht="12.75" customHeight="1" x14ac:dyDescent="0.2">
      <c r="A414" s="6">
        <v>17</v>
      </c>
      <c r="B414" s="7"/>
      <c r="C414" s="305">
        <v>0.75070000000000003</v>
      </c>
      <c r="D414" s="302">
        <v>-89.79</v>
      </c>
      <c r="E414" s="305">
        <v>0.43190000000000001</v>
      </c>
      <c r="F414" s="302">
        <v>90.07</v>
      </c>
      <c r="G414" s="305">
        <v>0.89810000000000001</v>
      </c>
      <c r="H414" s="302">
        <v>-0.42</v>
      </c>
      <c r="I414" s="305">
        <v>0.1187</v>
      </c>
      <c r="J414" s="302">
        <v>-1.68</v>
      </c>
      <c r="K414" s="305">
        <v>0.6734</v>
      </c>
      <c r="L414" s="302">
        <v>94.17</v>
      </c>
      <c r="M414" s="305">
        <v>0.24909999999999999</v>
      </c>
      <c r="N414" s="302">
        <v>0.8</v>
      </c>
      <c r="O414" s="319"/>
    </row>
    <row r="415" spans="1:15" ht="12.75" customHeight="1" x14ac:dyDescent="0.2">
      <c r="A415" s="6">
        <v>16</v>
      </c>
      <c r="B415" s="7"/>
      <c r="C415" s="305">
        <v>0.72760000000000002</v>
      </c>
      <c r="D415" s="302">
        <v>-89.67</v>
      </c>
      <c r="E415" s="305">
        <v>0.41639999999999999</v>
      </c>
      <c r="F415" s="302">
        <v>90</v>
      </c>
      <c r="G415" s="305">
        <v>0.86980000000000002</v>
      </c>
      <c r="H415" s="302">
        <v>-0.63</v>
      </c>
      <c r="I415" s="305">
        <v>0.13420000000000001</v>
      </c>
      <c r="J415" s="302">
        <v>21.25</v>
      </c>
      <c r="K415" s="305">
        <v>0.75190000000000001</v>
      </c>
      <c r="L415" s="302">
        <v>94.77</v>
      </c>
      <c r="M415" s="305">
        <v>0.27400000000000002</v>
      </c>
      <c r="N415" s="302">
        <v>0.63</v>
      </c>
      <c r="O415" s="319"/>
    </row>
    <row r="416" spans="1:15" ht="12.75" customHeight="1" x14ac:dyDescent="0.2">
      <c r="A416" s="6">
        <v>15</v>
      </c>
      <c r="B416" s="7"/>
      <c r="C416" s="305">
        <v>0.69769999999999999</v>
      </c>
      <c r="D416" s="302">
        <v>-89.47</v>
      </c>
      <c r="E416" s="305">
        <v>0.3972</v>
      </c>
      <c r="F416" s="302">
        <v>89.89</v>
      </c>
      <c r="G416" s="305">
        <v>0.83120000000000005</v>
      </c>
      <c r="H416" s="302">
        <v>-1.01</v>
      </c>
      <c r="I416" s="305">
        <v>0.16719999999999999</v>
      </c>
      <c r="J416" s="302">
        <v>37.85</v>
      </c>
      <c r="K416" s="305">
        <v>0.84219999999999995</v>
      </c>
      <c r="L416" s="302">
        <v>95.53</v>
      </c>
      <c r="M416" s="305">
        <v>0.30109999999999998</v>
      </c>
      <c r="N416" s="302">
        <v>0.48</v>
      </c>
      <c r="O416" s="319"/>
    </row>
    <row r="417" spans="1:15" ht="12.75" customHeight="1" x14ac:dyDescent="0.2">
      <c r="A417" s="6">
        <v>14</v>
      </c>
      <c r="B417" s="7"/>
      <c r="C417" s="305">
        <v>0.6583</v>
      </c>
      <c r="D417" s="302">
        <v>-89.12</v>
      </c>
      <c r="E417" s="305">
        <v>0.37309999999999999</v>
      </c>
      <c r="F417" s="302">
        <v>89.73</v>
      </c>
      <c r="G417" s="305">
        <v>0.77780000000000005</v>
      </c>
      <c r="H417" s="302">
        <v>-1.73</v>
      </c>
      <c r="I417" s="305">
        <v>0.21390000000000001</v>
      </c>
      <c r="J417" s="302">
        <v>49.21</v>
      </c>
      <c r="K417" s="305">
        <v>0.94499999999999995</v>
      </c>
      <c r="L417" s="302">
        <v>96.54</v>
      </c>
      <c r="M417" s="305">
        <v>0.32979999999999998</v>
      </c>
      <c r="N417" s="302">
        <v>0.33</v>
      </c>
      <c r="O417" s="319"/>
    </row>
    <row r="418" spans="1:15" ht="12.75" customHeight="1" x14ac:dyDescent="0.2">
      <c r="A418" s="6">
        <v>13</v>
      </c>
      <c r="B418" s="7"/>
      <c r="C418" s="305">
        <v>0.60519999999999996</v>
      </c>
      <c r="D418" s="302">
        <v>-88.48</v>
      </c>
      <c r="E418" s="305">
        <v>0.34250000000000003</v>
      </c>
      <c r="F418" s="302">
        <v>89.53</v>
      </c>
      <c r="G418" s="305">
        <v>0.70379999999999998</v>
      </c>
      <c r="H418" s="302">
        <v>-3.24</v>
      </c>
      <c r="I418" s="305">
        <v>0.27410000000000001</v>
      </c>
      <c r="J418" s="302">
        <v>57.32</v>
      </c>
      <c r="K418" s="305">
        <v>1.0583</v>
      </c>
      <c r="L418" s="302">
        <v>97.95</v>
      </c>
      <c r="M418" s="305">
        <v>0.35820000000000002</v>
      </c>
      <c r="N418" s="302">
        <v>0.15</v>
      </c>
      <c r="O418" s="319"/>
    </row>
    <row r="419" spans="1:15" ht="12.75" customHeight="1" x14ac:dyDescent="0.2">
      <c r="A419" s="6">
        <v>12</v>
      </c>
      <c r="B419" s="8"/>
      <c r="C419" s="305">
        <v>0.53169999999999995</v>
      </c>
      <c r="D419" s="302">
        <v>-87.35</v>
      </c>
      <c r="E419" s="305">
        <v>0.30399999999999999</v>
      </c>
      <c r="F419" s="302">
        <v>89.35</v>
      </c>
      <c r="G419" s="305">
        <v>0.6018</v>
      </c>
      <c r="H419" s="302">
        <v>-6.58</v>
      </c>
      <c r="I419" s="305">
        <v>0.35110000000000002</v>
      </c>
      <c r="J419" s="302">
        <v>63.61</v>
      </c>
      <c r="K419" s="305">
        <v>1.1731</v>
      </c>
      <c r="L419" s="302">
        <v>100</v>
      </c>
      <c r="M419" s="305">
        <v>0.3826</v>
      </c>
      <c r="N419" s="302">
        <v>-0.11</v>
      </c>
      <c r="O419" s="319"/>
    </row>
    <row r="420" spans="1:15" ht="12.75" customHeight="1" x14ac:dyDescent="0.2">
      <c r="A420" s="6">
        <v>11</v>
      </c>
      <c r="B420" s="8"/>
      <c r="C420" s="305">
        <v>0.42859999999999998</v>
      </c>
      <c r="D420" s="302">
        <v>-85.56</v>
      </c>
      <c r="E420" s="305">
        <v>0.25640000000000002</v>
      </c>
      <c r="F420" s="302">
        <v>89.59</v>
      </c>
      <c r="G420" s="305">
        <v>0.46379999999999999</v>
      </c>
      <c r="H420" s="302">
        <v>-15.15</v>
      </c>
      <c r="I420" s="305">
        <v>0.45090000000000002</v>
      </c>
      <c r="J420" s="302">
        <v>69.209999999999994</v>
      </c>
      <c r="K420" s="305">
        <v>1.2609999999999999</v>
      </c>
      <c r="L420" s="302">
        <v>102.87</v>
      </c>
      <c r="M420" s="305">
        <v>0.39600000000000002</v>
      </c>
      <c r="N420" s="302">
        <v>-0.55000000000000004</v>
      </c>
      <c r="O420" s="319"/>
    </row>
    <row r="421" spans="1:15" ht="12.75" customHeight="1" x14ac:dyDescent="0.2">
      <c r="A421" s="6">
        <v>10</v>
      </c>
      <c r="B421" s="8"/>
      <c r="C421" s="305">
        <v>0.29270000000000002</v>
      </c>
      <c r="D421" s="302">
        <v>-83.82</v>
      </c>
      <c r="E421" s="305">
        <v>0.1996</v>
      </c>
      <c r="F421" s="302">
        <v>92.04</v>
      </c>
      <c r="G421" s="305">
        <v>0.31830000000000003</v>
      </c>
      <c r="H421" s="302">
        <v>-50.7</v>
      </c>
      <c r="I421" s="305">
        <v>0.58340000000000003</v>
      </c>
      <c r="J421" s="302">
        <v>75.48</v>
      </c>
      <c r="K421" s="305">
        <v>1.2682</v>
      </c>
      <c r="L421" s="302">
        <v>105.3</v>
      </c>
      <c r="M421" s="305">
        <v>0.38740000000000002</v>
      </c>
      <c r="N421" s="302">
        <v>-1.3</v>
      </c>
      <c r="O421" s="319"/>
    </row>
    <row r="422" spans="1:15" ht="12.75" customHeight="1" x14ac:dyDescent="0.2">
      <c r="A422" s="6">
        <v>9.5</v>
      </c>
      <c r="B422" s="8"/>
      <c r="C422" s="305">
        <v>0.222</v>
      </c>
      <c r="D422" s="302">
        <v>-82.85</v>
      </c>
      <c r="E422" s="305">
        <v>0.16850000000000001</v>
      </c>
      <c r="F422" s="302">
        <v>96</v>
      </c>
      <c r="G422" s="305">
        <v>0.4879</v>
      </c>
      <c r="H422" s="302">
        <v>-84.76</v>
      </c>
      <c r="I422" s="305">
        <v>0.66439999999999999</v>
      </c>
      <c r="J422" s="302">
        <v>79.64</v>
      </c>
      <c r="K422" s="305">
        <v>1.2806999999999999</v>
      </c>
      <c r="L422" s="302">
        <v>104.76</v>
      </c>
      <c r="M422" s="305">
        <v>0.37090000000000001</v>
      </c>
      <c r="N422" s="302">
        <v>-1.71</v>
      </c>
      <c r="O422" s="319"/>
    </row>
    <row r="423" spans="1:15" ht="12.75" customHeight="1" x14ac:dyDescent="0.2">
      <c r="A423" s="6">
        <v>9</v>
      </c>
      <c r="B423" s="8"/>
      <c r="C423" s="305">
        <v>0.1419</v>
      </c>
      <c r="D423" s="302">
        <v>-74.08</v>
      </c>
      <c r="E423" s="305">
        <v>0.13669999999999999</v>
      </c>
      <c r="F423" s="302">
        <v>104.64</v>
      </c>
      <c r="G423" s="305">
        <v>0.84430000000000005</v>
      </c>
      <c r="H423" s="302">
        <v>-63.48</v>
      </c>
      <c r="I423" s="305">
        <v>0.75180000000000002</v>
      </c>
      <c r="J423" s="302">
        <v>85.28</v>
      </c>
      <c r="K423" s="305">
        <v>1.3499000000000001</v>
      </c>
      <c r="L423" s="302">
        <v>113.64</v>
      </c>
      <c r="M423" s="305">
        <v>0.34489999999999998</v>
      </c>
      <c r="N423" s="302">
        <v>-1.71</v>
      </c>
      <c r="O423" s="319"/>
    </row>
    <row r="424" spans="1:15" ht="12.75" customHeight="1" x14ac:dyDescent="0.2">
      <c r="A424" s="6">
        <v>8.5</v>
      </c>
      <c r="B424" s="8"/>
      <c r="C424" s="305">
        <v>4.9500000000000002E-2</v>
      </c>
      <c r="D424" s="302">
        <v>-59.52</v>
      </c>
      <c r="E424" s="305">
        <v>0.1084</v>
      </c>
      <c r="F424" s="302">
        <v>122.46</v>
      </c>
      <c r="G424" s="305">
        <v>0.61570000000000003</v>
      </c>
      <c r="H424" s="302">
        <v>-45.48</v>
      </c>
      <c r="I424" s="305">
        <v>0.82989999999999997</v>
      </c>
      <c r="J424" s="302">
        <v>93.21</v>
      </c>
      <c r="K424" s="305">
        <v>1.0507</v>
      </c>
      <c r="L424" s="302">
        <v>127.03</v>
      </c>
      <c r="M424" s="305">
        <v>0.30930000000000002</v>
      </c>
      <c r="N424" s="302">
        <v>0.17</v>
      </c>
      <c r="O424" s="319"/>
    </row>
    <row r="425" spans="1:15" ht="12.75" customHeight="1" x14ac:dyDescent="0.2">
      <c r="A425" s="6">
        <v>8</v>
      </c>
      <c r="B425" s="8"/>
      <c r="C425" s="305">
        <v>3.3500000000000002E-2</v>
      </c>
      <c r="D425" s="302">
        <v>82.25</v>
      </c>
      <c r="E425" s="305">
        <v>9.2999999999999999E-2</v>
      </c>
      <c r="F425" s="302">
        <v>151.87</v>
      </c>
      <c r="G425" s="305">
        <v>0.42530000000000001</v>
      </c>
      <c r="H425" s="302">
        <v>-53.92</v>
      </c>
      <c r="I425" s="305">
        <v>0.86</v>
      </c>
      <c r="J425" s="302">
        <v>103.84</v>
      </c>
      <c r="K425" s="305">
        <v>0.5786</v>
      </c>
      <c r="L425" s="302">
        <v>144.63</v>
      </c>
      <c r="M425" s="305">
        <v>0.26390000000000002</v>
      </c>
      <c r="N425" s="302">
        <v>9.15</v>
      </c>
      <c r="O425" s="319"/>
    </row>
    <row r="426" spans="1:15" ht="12.75" customHeight="1" x14ac:dyDescent="0.2">
      <c r="A426" s="6">
        <v>7.5</v>
      </c>
      <c r="B426" s="8"/>
      <c r="C426" s="305">
        <v>6.7299999999999999E-2</v>
      </c>
      <c r="D426" s="302">
        <v>112.93</v>
      </c>
      <c r="E426" s="305">
        <v>9.5100000000000004E-2</v>
      </c>
      <c r="F426" s="302">
        <v>179.76</v>
      </c>
      <c r="G426" s="305">
        <v>0.37219999999999998</v>
      </c>
      <c r="H426" s="302">
        <v>-64.900000000000006</v>
      </c>
      <c r="I426" s="305">
        <v>0.80259999999999998</v>
      </c>
      <c r="J426" s="302">
        <v>116.34</v>
      </c>
      <c r="K426" s="305">
        <v>0.11459999999999999</v>
      </c>
      <c r="L426" s="302">
        <v>17.38</v>
      </c>
      <c r="M426" s="305">
        <v>0.20349999999999999</v>
      </c>
      <c r="N426" s="302">
        <v>42.8</v>
      </c>
      <c r="O426" s="319"/>
    </row>
    <row r="427" spans="1:15" ht="12.75" customHeight="1" x14ac:dyDescent="0.2">
      <c r="A427" s="6">
        <v>7</v>
      </c>
      <c r="B427" s="8"/>
      <c r="C427" s="305">
        <v>4.7300000000000002E-2</v>
      </c>
      <c r="D427" s="302">
        <v>105.46</v>
      </c>
      <c r="E427" s="305">
        <v>0.10299999999999999</v>
      </c>
      <c r="F427" s="302">
        <v>-163.33000000000001</v>
      </c>
      <c r="G427" s="305">
        <v>0.2591</v>
      </c>
      <c r="H427" s="302">
        <v>-64.64</v>
      </c>
      <c r="I427" s="305">
        <v>0.64559999999999995</v>
      </c>
      <c r="J427" s="302">
        <v>132.21</v>
      </c>
      <c r="K427" s="305">
        <v>0.41199999999999998</v>
      </c>
      <c r="L427" s="302">
        <v>17.57</v>
      </c>
      <c r="M427" s="305">
        <v>0.14749999999999999</v>
      </c>
      <c r="N427" s="302">
        <v>114.85</v>
      </c>
      <c r="O427" s="319"/>
    </row>
    <row r="428" spans="1:15" ht="12.75" customHeight="1" x14ac:dyDescent="0.2">
      <c r="A428" s="6">
        <v>6.5</v>
      </c>
      <c r="B428" s="9"/>
      <c r="C428" s="305">
        <v>2.63E-2</v>
      </c>
      <c r="D428" s="302">
        <v>45.98</v>
      </c>
      <c r="E428" s="305">
        <v>9.0700000000000003E-2</v>
      </c>
      <c r="F428" s="302">
        <v>-145.83000000000001</v>
      </c>
      <c r="G428" s="305">
        <v>9.6600000000000005E-2</v>
      </c>
      <c r="H428" s="302">
        <v>-67.430000000000007</v>
      </c>
      <c r="I428" s="305">
        <v>0.4138</v>
      </c>
      <c r="J428" s="302">
        <v>165.61</v>
      </c>
      <c r="K428" s="305">
        <v>0.40229999999999999</v>
      </c>
      <c r="L428" s="302">
        <v>17.260000000000002</v>
      </c>
      <c r="M428" s="305">
        <v>0.12189999999999999</v>
      </c>
      <c r="N428" s="302">
        <v>147.26</v>
      </c>
      <c r="O428" s="319"/>
    </row>
    <row r="429" spans="1:15" ht="12.75" customHeight="1" x14ac:dyDescent="0.2">
      <c r="A429" s="6">
        <v>6</v>
      </c>
      <c r="B429" s="9"/>
      <c r="C429" s="305">
        <v>3.5900000000000001E-2</v>
      </c>
      <c r="D429" s="302">
        <v>-11.46</v>
      </c>
      <c r="E429" s="305">
        <v>1.83E-2</v>
      </c>
      <c r="F429" s="302">
        <v>-20.260000000000002</v>
      </c>
      <c r="G429" s="305">
        <v>5.28E-2</v>
      </c>
      <c r="H429" s="302">
        <v>165.04</v>
      </c>
      <c r="I429" s="305">
        <v>0.23810000000000001</v>
      </c>
      <c r="J429" s="302">
        <v>-52.93</v>
      </c>
      <c r="K429" s="305">
        <v>0.23350000000000001</v>
      </c>
      <c r="L429" s="302">
        <v>5.68</v>
      </c>
      <c r="M429" s="305">
        <v>9.2899999999999996E-2</v>
      </c>
      <c r="N429" s="302">
        <v>136.84</v>
      </c>
      <c r="O429" s="319"/>
    </row>
    <row r="430" spans="1:15" ht="12.75" customHeight="1" x14ac:dyDescent="0.2">
      <c r="A430" s="6">
        <v>5.5</v>
      </c>
      <c r="B430" s="9"/>
      <c r="C430" s="305">
        <v>2.52E-2</v>
      </c>
      <c r="D430" s="302">
        <v>-54.72</v>
      </c>
      <c r="E430" s="305">
        <v>5.11E-2</v>
      </c>
      <c r="F430" s="302">
        <v>60.7</v>
      </c>
      <c r="G430" s="305">
        <v>5.0599999999999999E-2</v>
      </c>
      <c r="H430" s="302">
        <v>136.32</v>
      </c>
      <c r="I430" s="305">
        <v>0.20749999999999999</v>
      </c>
      <c r="J430" s="302">
        <v>-3.08</v>
      </c>
      <c r="K430" s="305">
        <v>4.7199999999999999E-2</v>
      </c>
      <c r="L430" s="302">
        <v>-37.42</v>
      </c>
      <c r="M430" s="305">
        <v>4.7199999999999999E-2</v>
      </c>
      <c r="N430" s="302">
        <v>106.52</v>
      </c>
      <c r="O430" s="319"/>
    </row>
    <row r="431" spans="1:15" ht="12.75" customHeight="1" x14ac:dyDescent="0.2">
      <c r="A431" s="6">
        <v>5</v>
      </c>
      <c r="B431" s="9"/>
      <c r="C431" s="305">
        <v>9.4999999999999998E-3</v>
      </c>
      <c r="D431" s="302">
        <v>-122.9</v>
      </c>
      <c r="E431" s="305">
        <v>1.95E-2</v>
      </c>
      <c r="F431" s="302">
        <v>40.409999999999997</v>
      </c>
      <c r="G431" s="305">
        <v>1.9199999999999998E-2</v>
      </c>
      <c r="H431" s="302">
        <v>101.12</v>
      </c>
      <c r="I431" s="305">
        <v>7.0800000000000002E-2</v>
      </c>
      <c r="J431" s="302">
        <v>-19.96</v>
      </c>
      <c r="K431" s="305">
        <v>5.2400000000000002E-2</v>
      </c>
      <c r="L431" s="302">
        <v>-157.74</v>
      </c>
      <c r="M431" s="305">
        <v>5.5100000000000003E-2</v>
      </c>
      <c r="N431" s="302">
        <v>-1.86</v>
      </c>
      <c r="O431" s="319"/>
    </row>
    <row r="432" spans="1:15" ht="12.75" customHeight="1" x14ac:dyDescent="0.2">
      <c r="A432" s="6">
        <v>4.5</v>
      </c>
      <c r="B432" s="9"/>
      <c r="C432" s="305">
        <v>9.7000000000000003E-3</v>
      </c>
      <c r="D432" s="302">
        <v>128.97</v>
      </c>
      <c r="E432" s="305">
        <v>2.6200000000000001E-2</v>
      </c>
      <c r="F432" s="302">
        <v>-41.32</v>
      </c>
      <c r="G432" s="305">
        <v>5.4999999999999997E-3</v>
      </c>
      <c r="H432" s="302">
        <v>-77.25</v>
      </c>
      <c r="I432" s="305">
        <v>5.2699999999999997E-2</v>
      </c>
      <c r="J432" s="302">
        <v>-97.74</v>
      </c>
      <c r="K432" s="305">
        <v>1.11E-2</v>
      </c>
      <c r="L432" s="302">
        <v>26.44</v>
      </c>
      <c r="M432" s="305">
        <v>1.77E-2</v>
      </c>
      <c r="N432" s="302">
        <v>165.43</v>
      </c>
      <c r="O432" s="319"/>
    </row>
    <row r="433" spans="1:15" ht="12.75" customHeight="1" x14ac:dyDescent="0.2">
      <c r="A433" s="6">
        <v>4</v>
      </c>
      <c r="B433" s="9"/>
      <c r="C433" s="305">
        <v>3.0000000000000001E-3</v>
      </c>
      <c r="D433" s="302">
        <v>8.42</v>
      </c>
      <c r="E433" s="305">
        <v>5.4000000000000003E-3</v>
      </c>
      <c r="F433" s="302">
        <v>-57.11</v>
      </c>
      <c r="G433" s="305">
        <v>5.3E-3</v>
      </c>
      <c r="H433" s="302">
        <v>117.08</v>
      </c>
      <c r="I433" s="305">
        <v>2.3199999999999998E-2</v>
      </c>
      <c r="J433" s="302">
        <v>-50.62</v>
      </c>
      <c r="K433" s="305">
        <v>8.3999999999999995E-3</v>
      </c>
      <c r="L433" s="302">
        <v>173.66</v>
      </c>
      <c r="M433" s="305">
        <v>1.26E-2</v>
      </c>
      <c r="N433" s="302">
        <v>-56.17</v>
      </c>
      <c r="O433" s="319"/>
    </row>
    <row r="434" spans="1:15" ht="12.75" customHeight="1" x14ac:dyDescent="0.2">
      <c r="A434" s="6">
        <v>3.5</v>
      </c>
      <c r="B434" s="9"/>
      <c r="C434" s="305">
        <v>1.09E-2</v>
      </c>
      <c r="D434" s="302">
        <v>-133.55000000000001</v>
      </c>
      <c r="E434" s="305">
        <v>8.0999999999999996E-3</v>
      </c>
      <c r="F434" s="302">
        <v>100.08</v>
      </c>
      <c r="G434" s="305">
        <v>1.6999999999999999E-3</v>
      </c>
      <c r="H434" s="302">
        <v>161.21</v>
      </c>
      <c r="I434" s="305">
        <v>1.44E-2</v>
      </c>
      <c r="J434" s="302">
        <v>96.94</v>
      </c>
      <c r="K434" s="305">
        <v>4.1999999999999997E-3</v>
      </c>
      <c r="L434" s="302">
        <v>87.58</v>
      </c>
      <c r="M434" s="305">
        <v>7.7000000000000002E-3</v>
      </c>
      <c r="N434" s="302">
        <v>-27.46</v>
      </c>
      <c r="O434" s="319"/>
    </row>
    <row r="435" spans="1:15" ht="12.75" customHeight="1" x14ac:dyDescent="0.2">
      <c r="A435" s="6">
        <v>3.24</v>
      </c>
      <c r="B435" s="9"/>
      <c r="C435" s="305">
        <v>4.4000000000000003E-3</v>
      </c>
      <c r="D435" s="302">
        <v>32.83</v>
      </c>
      <c r="E435" s="305">
        <v>2.2000000000000001E-3</v>
      </c>
      <c r="F435" s="302">
        <v>-135.77000000000001</v>
      </c>
      <c r="G435" s="305">
        <v>2.3999999999999998E-3</v>
      </c>
      <c r="H435" s="302">
        <v>-144.97</v>
      </c>
      <c r="I435" s="305">
        <v>4.1999999999999997E-3</v>
      </c>
      <c r="J435" s="302">
        <v>51.7</v>
      </c>
      <c r="K435" s="305">
        <v>2.5000000000000001E-3</v>
      </c>
      <c r="L435" s="302">
        <v>-79.42</v>
      </c>
      <c r="M435" s="305">
        <v>3.8999999999999998E-3</v>
      </c>
      <c r="N435" s="302">
        <v>175.32</v>
      </c>
      <c r="O435" s="319"/>
    </row>
    <row r="436" spans="1:15" ht="12.75" customHeight="1" x14ac:dyDescent="0.2">
      <c r="A436" s="6">
        <v>0</v>
      </c>
      <c r="B436" s="9"/>
      <c r="C436" s="305">
        <v>0</v>
      </c>
      <c r="D436" s="302">
        <v>0</v>
      </c>
      <c r="E436" s="305">
        <v>0</v>
      </c>
      <c r="F436" s="302">
        <v>0</v>
      </c>
      <c r="G436" s="305">
        <v>0</v>
      </c>
      <c r="H436" s="302">
        <v>0</v>
      </c>
      <c r="I436" s="305">
        <v>0</v>
      </c>
      <c r="J436" s="302">
        <v>0</v>
      </c>
      <c r="K436" s="305">
        <v>0</v>
      </c>
      <c r="L436" s="302">
        <v>0</v>
      </c>
      <c r="M436" s="305">
        <v>0</v>
      </c>
      <c r="N436" s="302">
        <v>0</v>
      </c>
      <c r="O436" s="319"/>
    </row>
    <row r="437" spans="1:15" ht="12.75" customHeight="1" x14ac:dyDescent="0.2">
      <c r="A437" s="6">
        <v>0</v>
      </c>
      <c r="B437" s="9"/>
      <c r="C437" s="305">
        <v>0</v>
      </c>
      <c r="D437" s="302">
        <v>0</v>
      </c>
      <c r="E437" s="305">
        <v>0</v>
      </c>
      <c r="F437" s="302">
        <v>0</v>
      </c>
      <c r="G437" s="305">
        <v>0</v>
      </c>
      <c r="H437" s="302">
        <v>0</v>
      </c>
      <c r="I437" s="305">
        <v>0</v>
      </c>
      <c r="J437" s="302">
        <v>0</v>
      </c>
      <c r="K437" s="305">
        <v>0</v>
      </c>
      <c r="L437" s="302">
        <v>0</v>
      </c>
      <c r="M437" s="305">
        <v>0</v>
      </c>
      <c r="N437" s="302">
        <v>0</v>
      </c>
      <c r="O437" s="319"/>
    </row>
    <row r="438" spans="1:15" ht="12.75" customHeight="1" x14ac:dyDescent="0.2">
      <c r="A438" s="6">
        <v>0</v>
      </c>
      <c r="B438" s="9"/>
      <c r="C438" s="305">
        <v>0</v>
      </c>
      <c r="D438" s="302">
        <v>0</v>
      </c>
      <c r="E438" s="305">
        <v>0</v>
      </c>
      <c r="F438" s="302">
        <v>0</v>
      </c>
      <c r="G438" s="305">
        <v>0</v>
      </c>
      <c r="H438" s="302">
        <v>0</v>
      </c>
      <c r="I438" s="305">
        <v>0</v>
      </c>
      <c r="J438" s="302">
        <v>0</v>
      </c>
      <c r="K438" s="305">
        <v>0</v>
      </c>
      <c r="L438" s="302">
        <v>0</v>
      </c>
      <c r="M438" s="305">
        <v>0</v>
      </c>
      <c r="N438" s="302">
        <v>0</v>
      </c>
      <c r="O438" s="319"/>
    </row>
    <row r="439" spans="1:15" ht="12.75" customHeight="1" x14ac:dyDescent="0.2">
      <c r="A439" s="6">
        <v>0</v>
      </c>
      <c r="B439" s="9"/>
      <c r="C439" s="305">
        <v>0</v>
      </c>
      <c r="D439" s="302">
        <v>0</v>
      </c>
      <c r="E439" s="305">
        <v>0</v>
      </c>
      <c r="F439" s="302">
        <v>0</v>
      </c>
      <c r="G439" s="305">
        <v>0</v>
      </c>
      <c r="H439" s="302">
        <v>0</v>
      </c>
      <c r="I439" s="305">
        <v>0</v>
      </c>
      <c r="J439" s="302">
        <v>0</v>
      </c>
      <c r="K439" s="305">
        <v>0</v>
      </c>
      <c r="L439" s="302">
        <v>0</v>
      </c>
      <c r="M439" s="305">
        <v>0</v>
      </c>
      <c r="N439" s="302">
        <v>0</v>
      </c>
      <c r="O439" s="319"/>
    </row>
    <row r="440" spans="1:15" ht="12.75" customHeight="1" thickBot="1" x14ac:dyDescent="0.25">
      <c r="A440" s="10">
        <v>0</v>
      </c>
      <c r="B440" s="11"/>
      <c r="C440" s="12">
        <v>0</v>
      </c>
      <c r="D440" s="13">
        <v>0</v>
      </c>
      <c r="E440" s="12">
        <v>0</v>
      </c>
      <c r="F440" s="13">
        <v>0</v>
      </c>
      <c r="G440" s="12">
        <v>0</v>
      </c>
      <c r="H440" s="13">
        <v>0</v>
      </c>
      <c r="I440" s="12">
        <v>0</v>
      </c>
      <c r="J440" s="13">
        <v>0</v>
      </c>
      <c r="K440" s="12">
        <v>0</v>
      </c>
      <c r="L440" s="13">
        <v>0</v>
      </c>
      <c r="M440" s="12">
        <v>0</v>
      </c>
      <c r="N440" s="13">
        <v>0</v>
      </c>
      <c r="O440" s="319"/>
    </row>
    <row r="441" spans="1:15" ht="20.100000000000001" customHeight="1" x14ac:dyDescent="0.25">
      <c r="A441" s="333" t="str">
        <f>A401</f>
        <v>Paragon DPDS2</v>
      </c>
      <c r="B441" s="333"/>
      <c r="C441" s="333"/>
      <c r="D441" s="333"/>
      <c r="E441" s="333"/>
      <c r="F441" s="333"/>
      <c r="G441" s="333"/>
      <c r="H441" s="333"/>
      <c r="I441" s="333"/>
      <c r="J441" s="333"/>
      <c r="K441" s="333"/>
      <c r="L441" s="333"/>
      <c r="M441" s="333"/>
      <c r="N441" s="333"/>
      <c r="O441" s="311"/>
    </row>
    <row r="442" spans="1:15" ht="20.100000000000001" customHeight="1" thickBot="1" x14ac:dyDescent="0.3">
      <c r="A442" s="334" t="s">
        <v>5</v>
      </c>
      <c r="B442" s="334"/>
      <c r="C442" s="334"/>
      <c r="D442" s="334"/>
      <c r="E442" s="334"/>
      <c r="F442" s="334"/>
      <c r="G442" s="334"/>
      <c r="H442" s="334"/>
      <c r="I442" s="334"/>
      <c r="J442" s="334"/>
      <c r="K442" s="334"/>
      <c r="L442" s="334"/>
      <c r="M442" s="334"/>
      <c r="N442" s="334"/>
      <c r="O442" s="317"/>
    </row>
    <row r="443" spans="1:15" ht="12.75" customHeight="1" x14ac:dyDescent="0.2">
      <c r="A443" s="335" t="s">
        <v>12</v>
      </c>
      <c r="B443" s="337" t="s">
        <v>13</v>
      </c>
      <c r="C443" s="339" t="s">
        <v>6</v>
      </c>
      <c r="D443" s="340"/>
      <c r="E443" s="339" t="s">
        <v>7</v>
      </c>
      <c r="F443" s="340"/>
      <c r="G443" s="339" t="s">
        <v>8</v>
      </c>
      <c r="H443" s="340"/>
      <c r="I443" s="339" t="s">
        <v>9</v>
      </c>
      <c r="J443" s="340"/>
      <c r="K443" s="339" t="s">
        <v>10</v>
      </c>
      <c r="L443" s="340"/>
      <c r="M443" s="339" t="s">
        <v>11</v>
      </c>
      <c r="N443" s="340"/>
      <c r="O443" s="318"/>
    </row>
    <row r="444" spans="1:15" ht="12.75" customHeight="1" x14ac:dyDescent="0.2">
      <c r="A444" s="336"/>
      <c r="B444" s="338"/>
      <c r="C444" s="304" t="s">
        <v>0</v>
      </c>
      <c r="D444" s="312" t="s">
        <v>1</v>
      </c>
      <c r="E444" s="304" t="s">
        <v>0</v>
      </c>
      <c r="F444" s="312" t="s">
        <v>1</v>
      </c>
      <c r="G444" s="304" t="s">
        <v>0</v>
      </c>
      <c r="H444" s="312" t="s">
        <v>1</v>
      </c>
      <c r="I444" s="304" t="s">
        <v>0</v>
      </c>
      <c r="J444" s="312" t="s">
        <v>1</v>
      </c>
      <c r="K444" s="304" t="s">
        <v>0</v>
      </c>
      <c r="L444" s="312" t="s">
        <v>1</v>
      </c>
      <c r="M444" s="304" t="s">
        <v>0</v>
      </c>
      <c r="N444" s="312" t="s">
        <v>1</v>
      </c>
      <c r="O444" s="318"/>
    </row>
    <row r="445" spans="1:15" ht="12.75" customHeight="1" thickBot="1" x14ac:dyDescent="0.25">
      <c r="A445" s="2" t="s">
        <v>14</v>
      </c>
      <c r="B445" s="3" t="s">
        <v>15</v>
      </c>
      <c r="C445" s="2" t="s">
        <v>19</v>
      </c>
      <c r="D445" s="3" t="s">
        <v>15</v>
      </c>
      <c r="E445" s="2" t="s">
        <v>19</v>
      </c>
      <c r="F445" s="3" t="s">
        <v>15</v>
      </c>
      <c r="G445" s="2" t="s">
        <v>19</v>
      </c>
      <c r="H445" s="3" t="s">
        <v>15</v>
      </c>
      <c r="I445" s="2" t="s">
        <v>20</v>
      </c>
      <c r="J445" s="3" t="s">
        <v>15</v>
      </c>
      <c r="K445" s="2" t="s">
        <v>20</v>
      </c>
      <c r="L445" s="3" t="s">
        <v>15</v>
      </c>
      <c r="M445" s="2" t="s">
        <v>20</v>
      </c>
      <c r="N445" s="3" t="s">
        <v>15</v>
      </c>
      <c r="O445" s="318"/>
    </row>
    <row r="446" spans="1:15" ht="12.75" customHeight="1" x14ac:dyDescent="0.2">
      <c r="A446" s="4">
        <v>30</v>
      </c>
      <c r="B446" s="5">
        <v>165</v>
      </c>
      <c r="C446" s="305">
        <v>0.9385</v>
      </c>
      <c r="D446" s="302">
        <v>-90.02</v>
      </c>
      <c r="E446" s="305">
        <v>0.24729999999999999</v>
      </c>
      <c r="F446" s="302">
        <v>89.49</v>
      </c>
      <c r="G446" s="305">
        <v>0.98680000000000001</v>
      </c>
      <c r="H446" s="302">
        <v>-0.02</v>
      </c>
      <c r="I446" s="305">
        <v>0.12720000000000001</v>
      </c>
      <c r="J446" s="302">
        <v>113.26</v>
      </c>
      <c r="K446" s="305">
        <v>0.248</v>
      </c>
      <c r="L446" s="302">
        <v>91.42</v>
      </c>
      <c r="M446" s="305">
        <v>5.2200000000000003E-2</v>
      </c>
      <c r="N446" s="302">
        <v>-1.36</v>
      </c>
      <c r="O446" s="319"/>
    </row>
    <row r="447" spans="1:15" ht="12.75" customHeight="1" x14ac:dyDescent="0.2">
      <c r="A447" s="6">
        <v>28</v>
      </c>
      <c r="B447" s="7"/>
      <c r="C447" s="305">
        <v>0.93259999999999998</v>
      </c>
      <c r="D447" s="302">
        <v>-90.02</v>
      </c>
      <c r="E447" s="305">
        <v>0.24429999999999999</v>
      </c>
      <c r="F447" s="302">
        <v>89.1</v>
      </c>
      <c r="G447" s="305">
        <v>0.98260000000000003</v>
      </c>
      <c r="H447" s="302">
        <v>-0.03</v>
      </c>
      <c r="I447" s="305">
        <v>0.1822</v>
      </c>
      <c r="J447" s="302">
        <v>121.52</v>
      </c>
      <c r="K447" s="305">
        <v>0.28439999999999999</v>
      </c>
      <c r="L447" s="302">
        <v>91.63</v>
      </c>
      <c r="M447" s="305">
        <v>6.0199999999999997E-2</v>
      </c>
      <c r="N447" s="302">
        <v>-1.68</v>
      </c>
      <c r="O447" s="319"/>
    </row>
    <row r="448" spans="1:15" ht="12.75" customHeight="1" x14ac:dyDescent="0.2">
      <c r="A448" s="6">
        <v>26</v>
      </c>
      <c r="B448" s="7"/>
      <c r="C448" s="305">
        <v>0.92479999999999996</v>
      </c>
      <c r="D448" s="302">
        <v>-90.01</v>
      </c>
      <c r="E448" s="305">
        <v>0.24079999999999999</v>
      </c>
      <c r="F448" s="302">
        <v>87.82</v>
      </c>
      <c r="G448" s="305">
        <v>0.97650000000000003</v>
      </c>
      <c r="H448" s="302">
        <v>-0.05</v>
      </c>
      <c r="I448" s="305">
        <v>0.31240000000000001</v>
      </c>
      <c r="J448" s="302">
        <v>140.94999999999999</v>
      </c>
      <c r="K448" s="305">
        <v>0.32929999999999998</v>
      </c>
      <c r="L448" s="302">
        <v>91.89</v>
      </c>
      <c r="M448" s="305">
        <v>7.1400000000000005E-2</v>
      </c>
      <c r="N448" s="302">
        <v>-1.86</v>
      </c>
      <c r="O448" s="319"/>
    </row>
    <row r="449" spans="1:15" ht="12.75" customHeight="1" x14ac:dyDescent="0.2">
      <c r="A449" s="6">
        <v>24</v>
      </c>
      <c r="B449" s="7"/>
      <c r="C449" s="305">
        <v>0.91410000000000002</v>
      </c>
      <c r="D449" s="302">
        <v>-89.99</v>
      </c>
      <c r="E449" s="305">
        <v>0.2535</v>
      </c>
      <c r="F449" s="302">
        <v>86.23</v>
      </c>
      <c r="G449" s="305">
        <v>0.96760000000000002</v>
      </c>
      <c r="H449" s="302">
        <v>-7.0000000000000007E-2</v>
      </c>
      <c r="I449" s="305">
        <v>0.50419999999999998</v>
      </c>
      <c r="J449" s="302">
        <v>-152.13</v>
      </c>
      <c r="K449" s="305">
        <v>0.38529999999999998</v>
      </c>
      <c r="L449" s="302">
        <v>92.22</v>
      </c>
      <c r="M449" s="305">
        <v>8.5599999999999996E-2</v>
      </c>
      <c r="N449" s="302">
        <v>3.09</v>
      </c>
      <c r="O449" s="319"/>
    </row>
    <row r="450" spans="1:15" ht="12.75" customHeight="1" x14ac:dyDescent="0.2">
      <c r="A450" s="6">
        <v>22</v>
      </c>
      <c r="B450" s="7"/>
      <c r="C450" s="305">
        <v>0.89900000000000002</v>
      </c>
      <c r="D450" s="302">
        <v>-89.97</v>
      </c>
      <c r="E450" s="305">
        <v>0.2487</v>
      </c>
      <c r="F450" s="302">
        <v>89.73</v>
      </c>
      <c r="G450" s="305">
        <v>0.95399999999999996</v>
      </c>
      <c r="H450" s="302">
        <v>-0.12</v>
      </c>
      <c r="I450" s="305">
        <v>0.2281</v>
      </c>
      <c r="J450" s="302">
        <v>-90.7</v>
      </c>
      <c r="K450" s="305">
        <v>0.45629999999999998</v>
      </c>
      <c r="L450" s="302">
        <v>92.65</v>
      </c>
      <c r="M450" s="305">
        <v>9.2200000000000004E-2</v>
      </c>
      <c r="N450" s="302">
        <v>2.93</v>
      </c>
      <c r="O450" s="319"/>
    </row>
    <row r="451" spans="1:15" ht="12.75" customHeight="1" x14ac:dyDescent="0.2">
      <c r="A451" s="6">
        <v>20</v>
      </c>
      <c r="B451" s="7"/>
      <c r="C451" s="305">
        <v>0.87690000000000001</v>
      </c>
      <c r="D451" s="302">
        <v>-89.93</v>
      </c>
      <c r="E451" s="305">
        <v>0.2379</v>
      </c>
      <c r="F451" s="302">
        <v>90.15</v>
      </c>
      <c r="G451" s="305">
        <v>0.93240000000000001</v>
      </c>
      <c r="H451" s="302">
        <v>-0.19</v>
      </c>
      <c r="I451" s="305">
        <v>0.1094</v>
      </c>
      <c r="J451" s="302">
        <v>-59.76</v>
      </c>
      <c r="K451" s="305">
        <v>0.54749999999999999</v>
      </c>
      <c r="L451" s="302">
        <v>93.21</v>
      </c>
      <c r="M451" s="305">
        <v>0.1082</v>
      </c>
      <c r="N451" s="302">
        <v>1.5</v>
      </c>
      <c r="O451" s="319"/>
    </row>
    <row r="452" spans="1:15" ht="12.75" customHeight="1" x14ac:dyDescent="0.2">
      <c r="A452" s="6">
        <v>19</v>
      </c>
      <c r="B452" s="7"/>
      <c r="C452" s="305">
        <v>0.86199999999999999</v>
      </c>
      <c r="D452" s="302">
        <v>-89.9</v>
      </c>
      <c r="E452" s="305">
        <v>0.2324</v>
      </c>
      <c r="F452" s="302">
        <v>90.17</v>
      </c>
      <c r="G452" s="305">
        <v>0.91679999999999995</v>
      </c>
      <c r="H452" s="302">
        <v>-0.26</v>
      </c>
      <c r="I452" s="305">
        <v>8.2500000000000004E-2</v>
      </c>
      <c r="J452" s="302">
        <v>-41.48</v>
      </c>
      <c r="K452" s="305">
        <v>0.6028</v>
      </c>
      <c r="L452" s="302">
        <v>93.57</v>
      </c>
      <c r="M452" s="305">
        <v>0.1181</v>
      </c>
      <c r="N452" s="302">
        <v>1.1299999999999999</v>
      </c>
      <c r="O452" s="319"/>
    </row>
    <row r="453" spans="1:15" ht="12.75" customHeight="1" x14ac:dyDescent="0.2">
      <c r="A453" s="6">
        <v>18</v>
      </c>
      <c r="B453" s="7"/>
      <c r="C453" s="305">
        <v>0.84330000000000005</v>
      </c>
      <c r="D453" s="302">
        <v>-89.85</v>
      </c>
      <c r="E453" s="305">
        <v>0.22620000000000001</v>
      </c>
      <c r="F453" s="302">
        <v>90.14</v>
      </c>
      <c r="G453" s="305">
        <v>0.89649999999999996</v>
      </c>
      <c r="H453" s="302">
        <v>-0.36</v>
      </c>
      <c r="I453" s="305">
        <v>6.93E-2</v>
      </c>
      <c r="J453" s="302">
        <v>-18.66</v>
      </c>
      <c r="K453" s="305">
        <v>0.66590000000000005</v>
      </c>
      <c r="L453" s="302">
        <v>94</v>
      </c>
      <c r="M453" s="305">
        <v>0.12920000000000001</v>
      </c>
      <c r="N453" s="302">
        <v>0.87</v>
      </c>
      <c r="O453" s="319"/>
    </row>
    <row r="454" spans="1:15" ht="12.75" customHeight="1" x14ac:dyDescent="0.2">
      <c r="A454" s="6">
        <v>17</v>
      </c>
      <c r="B454" s="7"/>
      <c r="C454" s="305">
        <v>0.81969999999999998</v>
      </c>
      <c r="D454" s="302">
        <v>-89.78</v>
      </c>
      <c r="E454" s="305">
        <v>0.21879999999999999</v>
      </c>
      <c r="F454" s="302">
        <v>90.09</v>
      </c>
      <c r="G454" s="305">
        <v>0.86960000000000004</v>
      </c>
      <c r="H454" s="302">
        <v>-0.53</v>
      </c>
      <c r="I454" s="305">
        <v>6.9099999999999995E-2</v>
      </c>
      <c r="J454" s="302">
        <v>5.72</v>
      </c>
      <c r="K454" s="305">
        <v>0.7379</v>
      </c>
      <c r="L454" s="302">
        <v>94.51</v>
      </c>
      <c r="M454" s="305">
        <v>0.1416</v>
      </c>
      <c r="N454" s="302">
        <v>0.67</v>
      </c>
      <c r="O454" s="319"/>
    </row>
    <row r="455" spans="1:15" ht="12.75" customHeight="1" x14ac:dyDescent="0.2">
      <c r="A455" s="6">
        <v>16</v>
      </c>
      <c r="B455" s="7"/>
      <c r="C455" s="305">
        <v>0.78969999999999996</v>
      </c>
      <c r="D455" s="302">
        <v>-89.67</v>
      </c>
      <c r="E455" s="305">
        <v>0.2097</v>
      </c>
      <c r="F455" s="302">
        <v>90.01</v>
      </c>
      <c r="G455" s="305">
        <v>0.83340000000000003</v>
      </c>
      <c r="H455" s="302">
        <v>-0.8</v>
      </c>
      <c r="I455" s="305">
        <v>0.08</v>
      </c>
      <c r="J455" s="302">
        <v>26.11</v>
      </c>
      <c r="K455" s="305">
        <v>0.81969999999999998</v>
      </c>
      <c r="L455" s="302">
        <v>95.14</v>
      </c>
      <c r="M455" s="305">
        <v>0.15509999999999999</v>
      </c>
      <c r="N455" s="302">
        <v>0.51</v>
      </c>
      <c r="O455" s="319"/>
    </row>
    <row r="456" spans="1:15" ht="12.75" customHeight="1" x14ac:dyDescent="0.2">
      <c r="A456" s="6">
        <v>15</v>
      </c>
      <c r="B456" s="7"/>
      <c r="C456" s="305">
        <v>0.75080000000000002</v>
      </c>
      <c r="D456" s="302">
        <v>-89.48</v>
      </c>
      <c r="E456" s="305">
        <v>0.19839999999999999</v>
      </c>
      <c r="F456" s="302">
        <v>89.89</v>
      </c>
      <c r="G456" s="305">
        <v>0.78400000000000003</v>
      </c>
      <c r="H456" s="302">
        <v>-1.31</v>
      </c>
      <c r="I456" s="305">
        <v>9.9199999999999997E-2</v>
      </c>
      <c r="J456" s="302">
        <v>40.770000000000003</v>
      </c>
      <c r="K456" s="305">
        <v>0.91159999999999997</v>
      </c>
      <c r="L456" s="302">
        <v>95.94</v>
      </c>
      <c r="M456" s="305">
        <v>0.1694</v>
      </c>
      <c r="N456" s="302">
        <v>0.36</v>
      </c>
      <c r="O456" s="319"/>
    </row>
    <row r="457" spans="1:15" ht="12.75" customHeight="1" x14ac:dyDescent="0.2">
      <c r="A457" s="6">
        <v>14</v>
      </c>
      <c r="B457" s="7"/>
      <c r="C457" s="305">
        <v>0.69950000000000001</v>
      </c>
      <c r="D457" s="302">
        <v>-89.15</v>
      </c>
      <c r="E457" s="305">
        <v>0.18429999999999999</v>
      </c>
      <c r="F457" s="302">
        <v>89.72</v>
      </c>
      <c r="G457" s="305">
        <v>0.71599999999999997</v>
      </c>
      <c r="H457" s="302">
        <v>-2.2999999999999998</v>
      </c>
      <c r="I457" s="305">
        <v>0.1255</v>
      </c>
      <c r="J457" s="302">
        <v>51.09</v>
      </c>
      <c r="K457" s="305">
        <v>1.012</v>
      </c>
      <c r="L457" s="302">
        <v>96.99</v>
      </c>
      <c r="M457" s="305">
        <v>0.18410000000000001</v>
      </c>
      <c r="N457" s="302">
        <v>0.19</v>
      </c>
      <c r="O457" s="319"/>
    </row>
    <row r="458" spans="1:15" ht="12.75" customHeight="1" x14ac:dyDescent="0.2">
      <c r="A458" s="6">
        <v>13</v>
      </c>
      <c r="B458" s="7"/>
      <c r="C458" s="305">
        <v>0.63080000000000003</v>
      </c>
      <c r="D458" s="302">
        <v>-88.56</v>
      </c>
      <c r="E458" s="305">
        <v>0.16639999999999999</v>
      </c>
      <c r="F458" s="302">
        <v>89.5</v>
      </c>
      <c r="G458" s="305">
        <v>0.62180000000000002</v>
      </c>
      <c r="H458" s="302">
        <v>-4.45</v>
      </c>
      <c r="I458" s="305">
        <v>0.15909999999999999</v>
      </c>
      <c r="J458" s="302">
        <v>58.69</v>
      </c>
      <c r="K458" s="305">
        <v>1.1152</v>
      </c>
      <c r="L458" s="302">
        <v>98.42</v>
      </c>
      <c r="M458" s="305">
        <v>0.19750000000000001</v>
      </c>
      <c r="N458" s="302">
        <v>-0.03</v>
      </c>
      <c r="O458" s="319"/>
    </row>
    <row r="459" spans="1:15" ht="12.75" customHeight="1" x14ac:dyDescent="0.2">
      <c r="A459" s="6">
        <v>12</v>
      </c>
      <c r="B459" s="8"/>
      <c r="C459" s="305">
        <v>0.53690000000000004</v>
      </c>
      <c r="D459" s="302">
        <v>-87.56</v>
      </c>
      <c r="E459" s="305">
        <v>0.14430000000000001</v>
      </c>
      <c r="F459" s="302">
        <v>89.35</v>
      </c>
      <c r="G459" s="305">
        <v>0.49280000000000002</v>
      </c>
      <c r="H459" s="302">
        <v>-9.69</v>
      </c>
      <c r="I459" s="305">
        <v>0.20180000000000001</v>
      </c>
      <c r="J459" s="302">
        <v>64.77</v>
      </c>
      <c r="K459" s="305">
        <v>1.2038</v>
      </c>
      <c r="L459" s="302">
        <v>100.43</v>
      </c>
      <c r="M459" s="305">
        <v>0.2072</v>
      </c>
      <c r="N459" s="302">
        <v>-0.35</v>
      </c>
      <c r="O459" s="319"/>
    </row>
    <row r="460" spans="1:15" ht="12.75" customHeight="1" x14ac:dyDescent="0.2">
      <c r="A460" s="6">
        <v>11</v>
      </c>
      <c r="B460" s="8"/>
      <c r="C460" s="305">
        <v>0.40899999999999997</v>
      </c>
      <c r="D460" s="302">
        <v>-86.25</v>
      </c>
      <c r="E460" s="305">
        <v>0.11749999999999999</v>
      </c>
      <c r="F460" s="302">
        <v>89.79</v>
      </c>
      <c r="G460" s="305">
        <v>0.32329999999999998</v>
      </c>
      <c r="H460" s="302">
        <v>-26.52</v>
      </c>
      <c r="I460" s="305">
        <v>0.25659999999999999</v>
      </c>
      <c r="J460" s="302">
        <v>70.260000000000005</v>
      </c>
      <c r="K460" s="305">
        <v>1.2344999999999999</v>
      </c>
      <c r="L460" s="302">
        <v>102.9</v>
      </c>
      <c r="M460" s="305">
        <v>0.2087</v>
      </c>
      <c r="N460" s="302">
        <v>-0.92</v>
      </c>
      <c r="O460" s="319"/>
    </row>
    <row r="461" spans="1:15" ht="12.75" customHeight="1" x14ac:dyDescent="0.2">
      <c r="A461" s="6">
        <v>10</v>
      </c>
      <c r="B461" s="8"/>
      <c r="C461" s="305">
        <v>0.25019999999999998</v>
      </c>
      <c r="D461" s="302">
        <v>-86.76</v>
      </c>
      <c r="E461" s="305">
        <v>8.6999999999999994E-2</v>
      </c>
      <c r="F461" s="302">
        <v>93.32</v>
      </c>
      <c r="G461" s="305">
        <v>0.312</v>
      </c>
      <c r="H461" s="302">
        <v>-100.25</v>
      </c>
      <c r="I461" s="305">
        <v>0.3276</v>
      </c>
      <c r="J461" s="302">
        <v>76.38</v>
      </c>
      <c r="K461" s="305">
        <v>1.1380999999999999</v>
      </c>
      <c r="L461" s="302">
        <v>102.69</v>
      </c>
      <c r="M461" s="305">
        <v>0.1956</v>
      </c>
      <c r="N461" s="302">
        <v>-1.89</v>
      </c>
      <c r="O461" s="319"/>
    </row>
    <row r="462" spans="1:15" ht="12.75" customHeight="1" x14ac:dyDescent="0.2">
      <c r="A462" s="6">
        <v>9.5</v>
      </c>
      <c r="B462" s="8"/>
      <c r="C462" s="305">
        <v>0.1769</v>
      </c>
      <c r="D462" s="302">
        <v>-88.43</v>
      </c>
      <c r="E462" s="305">
        <v>7.1300000000000002E-2</v>
      </c>
      <c r="F462" s="302">
        <v>98.92</v>
      </c>
      <c r="G462" s="305">
        <v>0.73480000000000001</v>
      </c>
      <c r="H462" s="302">
        <v>-113.85</v>
      </c>
      <c r="I462" s="305">
        <v>0.36959999999999998</v>
      </c>
      <c r="J462" s="302">
        <v>80.39</v>
      </c>
      <c r="K462" s="305">
        <v>1.1266</v>
      </c>
      <c r="L462" s="302">
        <v>97.78</v>
      </c>
      <c r="M462" s="305">
        <v>0.1817</v>
      </c>
      <c r="N462" s="302">
        <v>-2.4</v>
      </c>
      <c r="O462" s="319"/>
    </row>
    <row r="463" spans="1:15" ht="12.75" customHeight="1" x14ac:dyDescent="0.2">
      <c r="A463" s="6">
        <v>9</v>
      </c>
      <c r="B463" s="8"/>
      <c r="C463" s="305">
        <v>9.3600000000000003E-2</v>
      </c>
      <c r="D463" s="302">
        <v>-75.11</v>
      </c>
      <c r="E463" s="305">
        <v>5.7099999999999998E-2</v>
      </c>
      <c r="F463" s="302">
        <v>110.91</v>
      </c>
      <c r="G463" s="305">
        <v>1.1775</v>
      </c>
      <c r="H463" s="302">
        <v>-77.14</v>
      </c>
      <c r="I463" s="305">
        <v>0.41289999999999999</v>
      </c>
      <c r="J463" s="302">
        <v>85.76</v>
      </c>
      <c r="K463" s="305">
        <v>1.2211000000000001</v>
      </c>
      <c r="L463" s="302">
        <v>109.02</v>
      </c>
      <c r="M463" s="305">
        <v>0.16300000000000001</v>
      </c>
      <c r="N463" s="302">
        <v>-2.3199999999999998</v>
      </c>
      <c r="O463" s="319"/>
    </row>
    <row r="464" spans="1:15" ht="12.75" customHeight="1" x14ac:dyDescent="0.2">
      <c r="A464" s="6">
        <v>8.5</v>
      </c>
      <c r="B464" s="8"/>
      <c r="C464" s="305">
        <v>1.0200000000000001E-2</v>
      </c>
      <c r="D464" s="302">
        <v>67.78</v>
      </c>
      <c r="E464" s="305">
        <v>4.7800000000000002E-2</v>
      </c>
      <c r="F464" s="302">
        <v>133.28</v>
      </c>
      <c r="G464" s="305">
        <v>0.78710000000000002</v>
      </c>
      <c r="H464" s="302">
        <v>-54.61</v>
      </c>
      <c r="I464" s="305">
        <v>0.4481</v>
      </c>
      <c r="J464" s="302">
        <v>93.25</v>
      </c>
      <c r="K464" s="305">
        <v>0.746</v>
      </c>
      <c r="L464" s="302">
        <v>126.29</v>
      </c>
      <c r="M464" s="305">
        <v>0.14050000000000001</v>
      </c>
      <c r="N464" s="302">
        <v>0.44</v>
      </c>
      <c r="O464" s="319"/>
    </row>
    <row r="465" spans="1:15" ht="12.75" customHeight="1" x14ac:dyDescent="0.2">
      <c r="A465" s="6">
        <v>8</v>
      </c>
      <c r="B465" s="8"/>
      <c r="C465" s="305">
        <v>7.1599999999999997E-2</v>
      </c>
      <c r="D465" s="302">
        <v>111.15</v>
      </c>
      <c r="E465" s="305">
        <v>4.7E-2</v>
      </c>
      <c r="F465" s="302">
        <v>161.44999999999999</v>
      </c>
      <c r="G465" s="305">
        <v>0.53239999999999998</v>
      </c>
      <c r="H465" s="302">
        <v>-58.87</v>
      </c>
      <c r="I465" s="305">
        <v>0.45440000000000003</v>
      </c>
      <c r="J465" s="302">
        <v>103.23</v>
      </c>
      <c r="K465" s="305">
        <v>0.11020000000000001</v>
      </c>
      <c r="L465" s="302">
        <v>116.79</v>
      </c>
      <c r="M465" s="305">
        <v>0.11749999999999999</v>
      </c>
      <c r="N465" s="302">
        <v>13.09</v>
      </c>
      <c r="O465" s="319"/>
    </row>
    <row r="466" spans="1:15" ht="12.75" customHeight="1" x14ac:dyDescent="0.2">
      <c r="A466" s="6">
        <v>7.5</v>
      </c>
      <c r="B466" s="8"/>
      <c r="C466" s="305">
        <v>6.9699999999999998E-2</v>
      </c>
      <c r="D466" s="302">
        <v>122.93</v>
      </c>
      <c r="E466" s="305">
        <v>5.0799999999999998E-2</v>
      </c>
      <c r="F466" s="302">
        <v>-179.74</v>
      </c>
      <c r="G466" s="305">
        <v>0.40260000000000001</v>
      </c>
      <c r="H466" s="302">
        <v>-60.46</v>
      </c>
      <c r="I466" s="305">
        <v>0.41439999999999999</v>
      </c>
      <c r="J466" s="302">
        <v>115.23</v>
      </c>
      <c r="K466" s="305">
        <v>0.53869999999999996</v>
      </c>
      <c r="L466" s="302">
        <v>11.37</v>
      </c>
      <c r="M466" s="305">
        <v>0.1033</v>
      </c>
      <c r="N466" s="302">
        <v>55.11</v>
      </c>
      <c r="O466" s="319"/>
    </row>
    <row r="467" spans="1:15" ht="12.75" customHeight="1" x14ac:dyDescent="0.2">
      <c r="A467" s="6">
        <v>7</v>
      </c>
      <c r="B467" s="8"/>
      <c r="C467" s="305">
        <v>3.2899999999999999E-2</v>
      </c>
      <c r="D467" s="302">
        <v>85.82</v>
      </c>
      <c r="E467" s="305">
        <v>5.45E-2</v>
      </c>
      <c r="F467" s="302">
        <v>-169.56</v>
      </c>
      <c r="G467" s="305">
        <v>0.2039</v>
      </c>
      <c r="H467" s="302">
        <v>-55.71</v>
      </c>
      <c r="I467" s="305">
        <v>0.32819999999999999</v>
      </c>
      <c r="J467" s="302">
        <v>133.06</v>
      </c>
      <c r="K467" s="305">
        <v>0.57599999999999996</v>
      </c>
      <c r="L467" s="302">
        <v>26.31</v>
      </c>
      <c r="M467" s="305">
        <v>9.6000000000000002E-2</v>
      </c>
      <c r="N467" s="302">
        <v>118.52</v>
      </c>
      <c r="O467" s="319"/>
    </row>
    <row r="468" spans="1:15" ht="12.75" customHeight="1" x14ac:dyDescent="0.2">
      <c r="A468" s="6">
        <v>6.5</v>
      </c>
      <c r="B468" s="9"/>
      <c r="C468" s="305">
        <v>3.7999999999999999E-2</v>
      </c>
      <c r="D468" s="302">
        <v>17.149999999999999</v>
      </c>
      <c r="E468" s="305">
        <v>4.8899999999999999E-2</v>
      </c>
      <c r="F468" s="302">
        <v>-146.61000000000001</v>
      </c>
      <c r="G468" s="305">
        <v>1.0500000000000001E-2</v>
      </c>
      <c r="H468" s="302">
        <v>3.56</v>
      </c>
      <c r="I468" s="305">
        <v>0.24060000000000001</v>
      </c>
      <c r="J468" s="302">
        <v>-179.87</v>
      </c>
      <c r="K468" s="305">
        <v>0.33239999999999997</v>
      </c>
      <c r="L468" s="302">
        <v>27.95</v>
      </c>
      <c r="M468" s="305">
        <v>6.3299999999999995E-2</v>
      </c>
      <c r="N468" s="302">
        <v>134.1</v>
      </c>
      <c r="O468" s="319"/>
    </row>
    <row r="469" spans="1:15" ht="12.75" customHeight="1" x14ac:dyDescent="0.2">
      <c r="A469" s="6">
        <v>6</v>
      </c>
      <c r="B469" s="9"/>
      <c r="C469" s="305">
        <v>2.9600000000000001E-2</v>
      </c>
      <c r="D469" s="302">
        <v>-6.05</v>
      </c>
      <c r="E469" s="305">
        <v>3.1099999999999999E-2</v>
      </c>
      <c r="F469" s="302">
        <v>-28.53</v>
      </c>
      <c r="G469" s="305">
        <v>0.1047</v>
      </c>
      <c r="H469" s="302">
        <v>154.25</v>
      </c>
      <c r="I469" s="305">
        <v>0.25869999999999999</v>
      </c>
      <c r="J469" s="302">
        <v>-63.81</v>
      </c>
      <c r="K469" s="305">
        <v>0.1046</v>
      </c>
      <c r="L469" s="302">
        <v>-10</v>
      </c>
      <c r="M469" s="305">
        <v>4.8399999999999999E-2</v>
      </c>
      <c r="N469" s="302">
        <v>104.58</v>
      </c>
      <c r="O469" s="319"/>
    </row>
    <row r="470" spans="1:15" ht="12.75" customHeight="1" x14ac:dyDescent="0.2">
      <c r="A470" s="6">
        <v>5.5</v>
      </c>
      <c r="B470" s="9"/>
      <c r="C470" s="305">
        <v>2.3300000000000001E-2</v>
      </c>
      <c r="D470" s="302">
        <v>-109.78</v>
      </c>
      <c r="E470" s="305">
        <v>4.2200000000000001E-2</v>
      </c>
      <c r="F470" s="302">
        <v>16.36</v>
      </c>
      <c r="G470" s="305">
        <v>4.4299999999999999E-2</v>
      </c>
      <c r="H470" s="302">
        <v>147.96</v>
      </c>
      <c r="I470" s="305">
        <v>0.18579999999999999</v>
      </c>
      <c r="J470" s="302">
        <v>-24.7</v>
      </c>
      <c r="K470" s="305">
        <v>6.5000000000000002E-2</v>
      </c>
      <c r="L470" s="302">
        <v>-129</v>
      </c>
      <c r="M470" s="305">
        <v>4.3099999999999999E-2</v>
      </c>
      <c r="N470" s="302">
        <v>119.09</v>
      </c>
      <c r="O470" s="319"/>
    </row>
    <row r="471" spans="1:15" ht="12.75" customHeight="1" x14ac:dyDescent="0.2">
      <c r="A471" s="6">
        <v>5</v>
      </c>
      <c r="B471" s="9"/>
      <c r="C471" s="305">
        <v>1.03E-2</v>
      </c>
      <c r="D471" s="302">
        <v>-88.92</v>
      </c>
      <c r="E471" s="305">
        <v>2.9000000000000001E-2</v>
      </c>
      <c r="F471" s="302">
        <v>30.78</v>
      </c>
      <c r="G471" s="305">
        <v>6.1000000000000004E-3</v>
      </c>
      <c r="H471" s="302">
        <v>-173.47</v>
      </c>
      <c r="I471" s="305">
        <v>8.8200000000000001E-2</v>
      </c>
      <c r="J471" s="302">
        <v>-8.86</v>
      </c>
      <c r="K471" s="305">
        <v>1.2699999999999999E-2</v>
      </c>
      <c r="L471" s="302">
        <v>-179.18</v>
      </c>
      <c r="M471" s="305">
        <v>3.2500000000000001E-2</v>
      </c>
      <c r="N471" s="302">
        <v>-73.05</v>
      </c>
      <c r="O471" s="319"/>
    </row>
    <row r="472" spans="1:15" ht="12.75" customHeight="1" x14ac:dyDescent="0.2">
      <c r="A472" s="6">
        <v>4.5</v>
      </c>
      <c r="B472" s="9"/>
      <c r="C472" s="305">
        <v>5.7999999999999996E-3</v>
      </c>
      <c r="D472" s="302">
        <v>-172.15</v>
      </c>
      <c r="E472" s="305">
        <v>1.1900000000000001E-2</v>
      </c>
      <c r="F472" s="302">
        <v>-105.96</v>
      </c>
      <c r="G472" s="305">
        <v>2.5000000000000001E-3</v>
      </c>
      <c r="H472" s="302">
        <v>125.82</v>
      </c>
      <c r="I472" s="305">
        <v>3.4700000000000002E-2</v>
      </c>
      <c r="J472" s="302">
        <v>-169.04</v>
      </c>
      <c r="K472" s="305">
        <v>1.46E-2</v>
      </c>
      <c r="L472" s="302">
        <v>-12.54</v>
      </c>
      <c r="M472" s="305">
        <v>1.47E-2</v>
      </c>
      <c r="N472" s="302">
        <v>-29.91</v>
      </c>
      <c r="O472" s="319"/>
    </row>
    <row r="473" spans="1:15" ht="12.75" customHeight="1" x14ac:dyDescent="0.2">
      <c r="A473" s="6">
        <v>4</v>
      </c>
      <c r="B473" s="9"/>
      <c r="C473" s="305">
        <v>6.3E-3</v>
      </c>
      <c r="D473" s="302">
        <v>37.020000000000003</v>
      </c>
      <c r="E473" s="305">
        <v>9.1999999999999998E-3</v>
      </c>
      <c r="F473" s="302">
        <v>-129.08000000000001</v>
      </c>
      <c r="G473" s="305">
        <v>1.5E-3</v>
      </c>
      <c r="H473" s="302">
        <v>141.63999999999999</v>
      </c>
      <c r="I473" s="305">
        <v>2.3400000000000001E-2</v>
      </c>
      <c r="J473" s="302">
        <v>-151.56</v>
      </c>
      <c r="K473" s="305">
        <v>3.5000000000000001E-3</v>
      </c>
      <c r="L473" s="302">
        <v>-170.91</v>
      </c>
      <c r="M473" s="305">
        <v>1.44E-2</v>
      </c>
      <c r="N473" s="302">
        <v>-154.72999999999999</v>
      </c>
      <c r="O473" s="319"/>
    </row>
    <row r="474" spans="1:15" ht="12.75" customHeight="1" x14ac:dyDescent="0.2">
      <c r="A474" s="6">
        <v>3.5</v>
      </c>
      <c r="B474" s="9"/>
      <c r="C474" s="305">
        <v>3.5999999999999999E-3</v>
      </c>
      <c r="D474" s="302">
        <v>-173.38</v>
      </c>
      <c r="E474" s="305">
        <v>2E-3</v>
      </c>
      <c r="F474" s="302">
        <v>14.71</v>
      </c>
      <c r="G474" s="305">
        <v>6.9999999999999999E-4</v>
      </c>
      <c r="H474" s="302">
        <v>-74.64</v>
      </c>
      <c r="I474" s="305">
        <v>1.03E-2</v>
      </c>
      <c r="J474" s="302">
        <v>41.07</v>
      </c>
      <c r="K474" s="305">
        <v>2.0999999999999999E-3</v>
      </c>
      <c r="L474" s="302">
        <v>174.45</v>
      </c>
      <c r="M474" s="305">
        <v>2.0000000000000001E-4</v>
      </c>
      <c r="N474" s="302">
        <v>-16.989999999999998</v>
      </c>
      <c r="O474" s="319"/>
    </row>
    <row r="475" spans="1:15" ht="12.75" customHeight="1" x14ac:dyDescent="0.2">
      <c r="A475" s="6">
        <v>3.24</v>
      </c>
      <c r="B475" s="9"/>
      <c r="C475" s="305">
        <v>2.8999999999999998E-3</v>
      </c>
      <c r="D475" s="302">
        <v>-58.13</v>
      </c>
      <c r="E475" s="305">
        <v>2.0999999999999999E-3</v>
      </c>
      <c r="F475" s="302">
        <v>130.82</v>
      </c>
      <c r="G475" s="305">
        <v>1.5E-3</v>
      </c>
      <c r="H475" s="302">
        <v>111.15</v>
      </c>
      <c r="I475" s="305">
        <v>3.0000000000000001E-3</v>
      </c>
      <c r="J475" s="302">
        <v>29.51</v>
      </c>
      <c r="K475" s="305">
        <v>8.9999999999999998E-4</v>
      </c>
      <c r="L475" s="302">
        <v>-17.87</v>
      </c>
      <c r="M475" s="305">
        <v>3.3E-3</v>
      </c>
      <c r="N475" s="302">
        <v>-48.39</v>
      </c>
      <c r="O475" s="319"/>
    </row>
    <row r="476" spans="1:15" ht="12.75" customHeight="1" x14ac:dyDescent="0.2">
      <c r="A476" s="6">
        <v>0</v>
      </c>
      <c r="B476" s="9"/>
      <c r="C476" s="305">
        <v>0</v>
      </c>
      <c r="D476" s="302">
        <v>0</v>
      </c>
      <c r="E476" s="305">
        <v>0</v>
      </c>
      <c r="F476" s="302">
        <v>0</v>
      </c>
      <c r="G476" s="305">
        <v>0</v>
      </c>
      <c r="H476" s="302">
        <v>0</v>
      </c>
      <c r="I476" s="305">
        <v>0</v>
      </c>
      <c r="J476" s="302">
        <v>0</v>
      </c>
      <c r="K476" s="305">
        <v>0</v>
      </c>
      <c r="L476" s="302">
        <v>0</v>
      </c>
      <c r="M476" s="305">
        <v>0</v>
      </c>
      <c r="N476" s="302">
        <v>0</v>
      </c>
      <c r="O476" s="319"/>
    </row>
    <row r="477" spans="1:15" ht="12.75" customHeight="1" x14ac:dyDescent="0.2">
      <c r="A477" s="6">
        <v>0</v>
      </c>
      <c r="B477" s="9"/>
      <c r="C477" s="305">
        <v>0</v>
      </c>
      <c r="D477" s="302">
        <v>0</v>
      </c>
      <c r="E477" s="305">
        <v>0</v>
      </c>
      <c r="F477" s="302">
        <v>0</v>
      </c>
      <c r="G477" s="305">
        <v>0</v>
      </c>
      <c r="H477" s="302">
        <v>0</v>
      </c>
      <c r="I477" s="305">
        <v>0</v>
      </c>
      <c r="J477" s="302">
        <v>0</v>
      </c>
      <c r="K477" s="305">
        <v>0</v>
      </c>
      <c r="L477" s="302">
        <v>0</v>
      </c>
      <c r="M477" s="305">
        <v>0</v>
      </c>
      <c r="N477" s="302">
        <v>0</v>
      </c>
      <c r="O477" s="319"/>
    </row>
    <row r="478" spans="1:15" ht="12.75" customHeight="1" x14ac:dyDescent="0.2">
      <c r="A478" s="6">
        <v>0</v>
      </c>
      <c r="B478" s="9"/>
      <c r="C478" s="305">
        <v>0</v>
      </c>
      <c r="D478" s="302">
        <v>0</v>
      </c>
      <c r="E478" s="305">
        <v>0</v>
      </c>
      <c r="F478" s="302">
        <v>0</v>
      </c>
      <c r="G478" s="305">
        <v>0</v>
      </c>
      <c r="H478" s="302">
        <v>0</v>
      </c>
      <c r="I478" s="305">
        <v>0</v>
      </c>
      <c r="J478" s="302">
        <v>0</v>
      </c>
      <c r="K478" s="305">
        <v>0</v>
      </c>
      <c r="L478" s="302">
        <v>0</v>
      </c>
      <c r="M478" s="305">
        <v>0</v>
      </c>
      <c r="N478" s="302">
        <v>0</v>
      </c>
      <c r="O478" s="319"/>
    </row>
    <row r="479" spans="1:15" ht="12.75" customHeight="1" x14ac:dyDescent="0.2">
      <c r="A479" s="6">
        <v>0</v>
      </c>
      <c r="B479" s="9"/>
      <c r="C479" s="305">
        <v>0</v>
      </c>
      <c r="D479" s="302">
        <v>0</v>
      </c>
      <c r="E479" s="305">
        <v>0</v>
      </c>
      <c r="F479" s="302">
        <v>0</v>
      </c>
      <c r="G479" s="305">
        <v>0</v>
      </c>
      <c r="H479" s="302">
        <v>0</v>
      </c>
      <c r="I479" s="305">
        <v>0</v>
      </c>
      <c r="J479" s="302">
        <v>0</v>
      </c>
      <c r="K479" s="305">
        <v>0</v>
      </c>
      <c r="L479" s="302">
        <v>0</v>
      </c>
      <c r="M479" s="305">
        <v>0</v>
      </c>
      <c r="N479" s="302">
        <v>0</v>
      </c>
      <c r="O479" s="319"/>
    </row>
    <row r="480" spans="1:15" ht="12.75" customHeight="1" thickBot="1" x14ac:dyDescent="0.25">
      <c r="A480" s="10">
        <v>0</v>
      </c>
      <c r="B480" s="11"/>
      <c r="C480" s="12">
        <v>0</v>
      </c>
      <c r="D480" s="13">
        <v>0</v>
      </c>
      <c r="E480" s="12">
        <v>0</v>
      </c>
      <c r="F480" s="13">
        <v>0</v>
      </c>
      <c r="G480" s="12">
        <v>0</v>
      </c>
      <c r="H480" s="13">
        <v>0</v>
      </c>
      <c r="I480" s="12">
        <v>0</v>
      </c>
      <c r="J480" s="13">
        <v>0</v>
      </c>
      <c r="K480" s="12">
        <v>0</v>
      </c>
      <c r="L480" s="13">
        <v>0</v>
      </c>
      <c r="M480" s="12">
        <v>0</v>
      </c>
      <c r="N480" s="13">
        <v>0</v>
      </c>
      <c r="O480" s="319"/>
    </row>
    <row r="481" spans="1:15" ht="20.100000000000001" customHeight="1" x14ac:dyDescent="0.25">
      <c r="A481" s="333" t="str">
        <f>A441</f>
        <v>Paragon DPDS2</v>
      </c>
      <c r="B481" s="333"/>
      <c r="C481" s="333"/>
      <c r="D481" s="333"/>
      <c r="E481" s="333"/>
      <c r="F481" s="333"/>
      <c r="G481" s="333"/>
      <c r="H481" s="333"/>
      <c r="I481" s="333"/>
      <c r="J481" s="333"/>
      <c r="K481" s="333"/>
      <c r="L481" s="333"/>
      <c r="M481" s="333"/>
      <c r="N481" s="333"/>
      <c r="O481" s="311"/>
    </row>
    <row r="482" spans="1:15" ht="20.100000000000001" customHeight="1" thickBot="1" x14ac:dyDescent="0.3">
      <c r="A482" s="334" t="s">
        <v>5</v>
      </c>
      <c r="B482" s="334"/>
      <c r="C482" s="334"/>
      <c r="D482" s="334"/>
      <c r="E482" s="334"/>
      <c r="F482" s="334"/>
      <c r="G482" s="334"/>
      <c r="H482" s="334"/>
      <c r="I482" s="334"/>
      <c r="J482" s="334"/>
      <c r="K482" s="334"/>
      <c r="L482" s="334"/>
      <c r="M482" s="334"/>
      <c r="N482" s="334"/>
      <c r="O482" s="317"/>
    </row>
    <row r="483" spans="1:15" ht="12.75" customHeight="1" x14ac:dyDescent="0.2">
      <c r="A483" s="335" t="s">
        <v>12</v>
      </c>
      <c r="B483" s="337" t="s">
        <v>13</v>
      </c>
      <c r="C483" s="339" t="s">
        <v>6</v>
      </c>
      <c r="D483" s="340"/>
      <c r="E483" s="339" t="s">
        <v>7</v>
      </c>
      <c r="F483" s="340"/>
      <c r="G483" s="339" t="s">
        <v>8</v>
      </c>
      <c r="H483" s="340"/>
      <c r="I483" s="339" t="s">
        <v>9</v>
      </c>
      <c r="J483" s="340"/>
      <c r="K483" s="339" t="s">
        <v>10</v>
      </c>
      <c r="L483" s="340"/>
      <c r="M483" s="339" t="s">
        <v>11</v>
      </c>
      <c r="N483" s="340"/>
      <c r="O483" s="318"/>
    </row>
    <row r="484" spans="1:15" ht="12.75" customHeight="1" x14ac:dyDescent="0.2">
      <c r="A484" s="336"/>
      <c r="B484" s="338"/>
      <c r="C484" s="304" t="s">
        <v>0</v>
      </c>
      <c r="D484" s="312" t="s">
        <v>1</v>
      </c>
      <c r="E484" s="304" t="s">
        <v>0</v>
      </c>
      <c r="F484" s="312" t="s">
        <v>1</v>
      </c>
      <c r="G484" s="304" t="s">
        <v>0</v>
      </c>
      <c r="H484" s="312" t="s">
        <v>1</v>
      </c>
      <c r="I484" s="304" t="s">
        <v>0</v>
      </c>
      <c r="J484" s="312" t="s">
        <v>1</v>
      </c>
      <c r="K484" s="304" t="s">
        <v>0</v>
      </c>
      <c r="L484" s="312" t="s">
        <v>1</v>
      </c>
      <c r="M484" s="304" t="s">
        <v>0</v>
      </c>
      <c r="N484" s="312" t="s">
        <v>1</v>
      </c>
      <c r="O484" s="318"/>
    </row>
    <row r="485" spans="1:15" ht="12.75" customHeight="1" thickBot="1" x14ac:dyDescent="0.25">
      <c r="A485" s="2" t="s">
        <v>14</v>
      </c>
      <c r="B485" s="3" t="s">
        <v>15</v>
      </c>
      <c r="C485" s="2" t="s">
        <v>19</v>
      </c>
      <c r="D485" s="3" t="s">
        <v>15</v>
      </c>
      <c r="E485" s="2" t="s">
        <v>19</v>
      </c>
      <c r="F485" s="3" t="s">
        <v>15</v>
      </c>
      <c r="G485" s="2" t="s">
        <v>19</v>
      </c>
      <c r="H485" s="3" t="s">
        <v>15</v>
      </c>
      <c r="I485" s="2" t="s">
        <v>20</v>
      </c>
      <c r="J485" s="3" t="s">
        <v>15</v>
      </c>
      <c r="K485" s="2" t="s">
        <v>20</v>
      </c>
      <c r="L485" s="3" t="s">
        <v>15</v>
      </c>
      <c r="M485" s="2" t="s">
        <v>20</v>
      </c>
      <c r="N485" s="3" t="s">
        <v>15</v>
      </c>
      <c r="O485" s="318"/>
    </row>
    <row r="486" spans="1:15" ht="12.75" customHeight="1" x14ac:dyDescent="0.2">
      <c r="A486" s="4">
        <v>30</v>
      </c>
      <c r="B486" s="5">
        <v>180</v>
      </c>
      <c r="C486" s="305">
        <v>0.97089999999999999</v>
      </c>
      <c r="D486" s="302">
        <v>-90.02</v>
      </c>
      <c r="E486" s="305">
        <v>0</v>
      </c>
      <c r="F486" s="302">
        <v>175.21</v>
      </c>
      <c r="G486" s="305">
        <v>0.98570000000000002</v>
      </c>
      <c r="H486" s="302">
        <v>-0.03</v>
      </c>
      <c r="I486" s="305">
        <v>1E-4</v>
      </c>
      <c r="J486" s="302">
        <v>-165.11</v>
      </c>
      <c r="K486" s="305">
        <v>0.25659999999999999</v>
      </c>
      <c r="L486" s="302">
        <v>91.46</v>
      </c>
      <c r="M486" s="305">
        <v>0</v>
      </c>
      <c r="N486" s="302">
        <v>45.14</v>
      </c>
      <c r="O486" s="319"/>
    </row>
    <row r="487" spans="1:15" ht="12.75" customHeight="1" x14ac:dyDescent="0.2">
      <c r="A487" s="6">
        <v>28</v>
      </c>
      <c r="B487" s="7"/>
      <c r="C487" s="305">
        <v>0.96450000000000002</v>
      </c>
      <c r="D487" s="302">
        <v>-90.01</v>
      </c>
      <c r="E487" s="305">
        <v>0</v>
      </c>
      <c r="F487" s="302">
        <v>5.49</v>
      </c>
      <c r="G487" s="305">
        <v>0.98119999999999996</v>
      </c>
      <c r="H487" s="302">
        <v>-0.04</v>
      </c>
      <c r="I487" s="305">
        <v>1E-4</v>
      </c>
      <c r="J487" s="302">
        <v>-161.96</v>
      </c>
      <c r="K487" s="305">
        <v>0.29420000000000002</v>
      </c>
      <c r="L487" s="302">
        <v>91.68</v>
      </c>
      <c r="M487" s="305">
        <v>0</v>
      </c>
      <c r="N487" s="302">
        <v>30.72</v>
      </c>
      <c r="O487" s="319"/>
    </row>
    <row r="488" spans="1:15" ht="12.75" customHeight="1" x14ac:dyDescent="0.2">
      <c r="A488" s="6">
        <v>26</v>
      </c>
      <c r="B488" s="7"/>
      <c r="C488" s="305">
        <v>0.95609999999999995</v>
      </c>
      <c r="D488" s="302">
        <v>-90</v>
      </c>
      <c r="E488" s="305">
        <v>0</v>
      </c>
      <c r="F488" s="302">
        <v>151.04</v>
      </c>
      <c r="G488" s="305">
        <v>0.97470000000000001</v>
      </c>
      <c r="H488" s="302">
        <v>-0.05</v>
      </c>
      <c r="I488" s="305">
        <v>1E-4</v>
      </c>
      <c r="J488" s="302">
        <v>-145.91</v>
      </c>
      <c r="K488" s="305">
        <v>0.34050000000000002</v>
      </c>
      <c r="L488" s="302">
        <v>91.94</v>
      </c>
      <c r="M488" s="305">
        <v>0</v>
      </c>
      <c r="N488" s="302">
        <v>-21.9</v>
      </c>
      <c r="O488" s="319"/>
    </row>
    <row r="489" spans="1:15" ht="12.75" customHeight="1" x14ac:dyDescent="0.2">
      <c r="A489" s="6">
        <v>24</v>
      </c>
      <c r="B489" s="7"/>
      <c r="C489" s="305">
        <v>0.9446</v>
      </c>
      <c r="D489" s="302">
        <v>-89.99</v>
      </c>
      <c r="E489" s="305">
        <v>0</v>
      </c>
      <c r="F489" s="302">
        <v>71.459999999999994</v>
      </c>
      <c r="G489" s="305">
        <v>0.96499999999999997</v>
      </c>
      <c r="H489" s="302">
        <v>-0.08</v>
      </c>
      <c r="I489" s="305">
        <v>2.0000000000000001E-4</v>
      </c>
      <c r="J489" s="302">
        <v>-82.77</v>
      </c>
      <c r="K489" s="305">
        <v>0.39829999999999999</v>
      </c>
      <c r="L489" s="302">
        <v>92.28</v>
      </c>
      <c r="M489" s="305">
        <v>0</v>
      </c>
      <c r="N489" s="302">
        <v>97.07</v>
      </c>
      <c r="O489" s="319"/>
    </row>
    <row r="490" spans="1:15" ht="12.75" customHeight="1" x14ac:dyDescent="0.2">
      <c r="A490" s="6">
        <v>22</v>
      </c>
      <c r="B490" s="7"/>
      <c r="C490" s="305">
        <v>0.92820000000000003</v>
      </c>
      <c r="D490" s="302">
        <v>-89.96</v>
      </c>
      <c r="E490" s="305">
        <v>0</v>
      </c>
      <c r="F490" s="302">
        <v>161.63</v>
      </c>
      <c r="G490" s="305">
        <v>0.95030000000000003</v>
      </c>
      <c r="H490" s="302">
        <v>-0.12</v>
      </c>
      <c r="I490" s="305">
        <v>1E-4</v>
      </c>
      <c r="J490" s="302">
        <v>-25.95</v>
      </c>
      <c r="K490" s="305">
        <v>0.4713</v>
      </c>
      <c r="L490" s="302">
        <v>92.72</v>
      </c>
      <c r="M490" s="305">
        <v>0</v>
      </c>
      <c r="N490" s="302">
        <v>174.09</v>
      </c>
      <c r="O490" s="319"/>
    </row>
    <row r="491" spans="1:15" ht="12.75" customHeight="1" x14ac:dyDescent="0.2">
      <c r="A491" s="6">
        <v>20</v>
      </c>
      <c r="B491" s="7"/>
      <c r="C491" s="305">
        <v>0.90429999999999999</v>
      </c>
      <c r="D491" s="302">
        <v>-89.93</v>
      </c>
      <c r="E491" s="305">
        <v>0</v>
      </c>
      <c r="F491" s="302">
        <v>138.47999999999999</v>
      </c>
      <c r="G491" s="305">
        <v>0.92700000000000005</v>
      </c>
      <c r="H491" s="302">
        <v>-0.21</v>
      </c>
      <c r="I491" s="305">
        <v>1E-4</v>
      </c>
      <c r="J491" s="302">
        <v>-14.03</v>
      </c>
      <c r="K491" s="305">
        <v>0.56499999999999995</v>
      </c>
      <c r="L491" s="302">
        <v>93.3</v>
      </c>
      <c r="M491" s="305">
        <v>0</v>
      </c>
      <c r="N491" s="302">
        <v>-111.27</v>
      </c>
      <c r="O491" s="319"/>
    </row>
    <row r="492" spans="1:15" ht="12.75" customHeight="1" x14ac:dyDescent="0.2">
      <c r="A492" s="6">
        <v>19</v>
      </c>
      <c r="B492" s="7"/>
      <c r="C492" s="305">
        <v>0.88800000000000001</v>
      </c>
      <c r="D492" s="302">
        <v>-89.9</v>
      </c>
      <c r="E492" s="305">
        <v>0</v>
      </c>
      <c r="F492" s="302">
        <v>172.54</v>
      </c>
      <c r="G492" s="305">
        <v>0.91020000000000001</v>
      </c>
      <c r="H492" s="302">
        <v>-0.28000000000000003</v>
      </c>
      <c r="I492" s="305">
        <v>0</v>
      </c>
      <c r="J492" s="302">
        <v>-10.32</v>
      </c>
      <c r="K492" s="305">
        <v>0.62150000000000005</v>
      </c>
      <c r="L492" s="302">
        <v>93.67</v>
      </c>
      <c r="M492" s="305">
        <v>0</v>
      </c>
      <c r="N492" s="302">
        <v>138.06</v>
      </c>
      <c r="O492" s="319"/>
    </row>
    <row r="493" spans="1:15" ht="12.75" customHeight="1" x14ac:dyDescent="0.2">
      <c r="A493" s="6">
        <v>18</v>
      </c>
      <c r="B493" s="7"/>
      <c r="C493" s="305">
        <v>0.86770000000000003</v>
      </c>
      <c r="D493" s="302">
        <v>-89.85</v>
      </c>
      <c r="E493" s="305">
        <v>0</v>
      </c>
      <c r="F493" s="302">
        <v>166.04</v>
      </c>
      <c r="G493" s="305">
        <v>0.88829999999999998</v>
      </c>
      <c r="H493" s="302">
        <v>-0.39</v>
      </c>
      <c r="I493" s="305">
        <v>0</v>
      </c>
      <c r="J493" s="302">
        <v>-13.04</v>
      </c>
      <c r="K493" s="305">
        <v>0.68589999999999995</v>
      </c>
      <c r="L493" s="302">
        <v>94.1</v>
      </c>
      <c r="M493" s="305">
        <v>0</v>
      </c>
      <c r="N493" s="302">
        <v>-60.42</v>
      </c>
      <c r="O493" s="319"/>
    </row>
    <row r="494" spans="1:15" ht="12.75" customHeight="1" x14ac:dyDescent="0.2">
      <c r="A494" s="6">
        <v>17</v>
      </c>
      <c r="B494" s="7"/>
      <c r="C494" s="305">
        <v>0.84209999999999996</v>
      </c>
      <c r="D494" s="302">
        <v>-89.78</v>
      </c>
      <c r="E494" s="305">
        <v>0</v>
      </c>
      <c r="F494" s="302">
        <v>-21.03</v>
      </c>
      <c r="G494" s="305">
        <v>0.85919999999999996</v>
      </c>
      <c r="H494" s="302">
        <v>-0.56999999999999995</v>
      </c>
      <c r="I494" s="305">
        <v>0</v>
      </c>
      <c r="J494" s="302">
        <v>19.79</v>
      </c>
      <c r="K494" s="305">
        <v>0.75900000000000001</v>
      </c>
      <c r="L494" s="302">
        <v>94.62</v>
      </c>
      <c r="M494" s="305">
        <v>0</v>
      </c>
      <c r="N494" s="302">
        <v>-66.400000000000006</v>
      </c>
      <c r="O494" s="319"/>
    </row>
    <row r="495" spans="1:15" ht="12.75" customHeight="1" x14ac:dyDescent="0.2">
      <c r="A495" s="6">
        <v>16</v>
      </c>
      <c r="B495" s="7"/>
      <c r="C495" s="305">
        <v>0.80940000000000001</v>
      </c>
      <c r="D495" s="302">
        <v>-89.67</v>
      </c>
      <c r="E495" s="305">
        <v>0</v>
      </c>
      <c r="F495" s="302">
        <v>7.02</v>
      </c>
      <c r="G495" s="305">
        <v>0.82020000000000004</v>
      </c>
      <c r="H495" s="302">
        <v>-0.87</v>
      </c>
      <c r="I495" s="305">
        <v>0</v>
      </c>
      <c r="J495" s="302">
        <v>-27.36</v>
      </c>
      <c r="K495" s="305">
        <v>0.84150000000000003</v>
      </c>
      <c r="L495" s="302">
        <v>95.27</v>
      </c>
      <c r="M495" s="305">
        <v>0</v>
      </c>
      <c r="N495" s="302">
        <v>72.77</v>
      </c>
      <c r="O495" s="319"/>
    </row>
    <row r="496" spans="1:15" ht="12.75" customHeight="1" x14ac:dyDescent="0.2">
      <c r="A496" s="6">
        <v>15</v>
      </c>
      <c r="B496" s="7"/>
      <c r="C496" s="305">
        <v>0.76700000000000002</v>
      </c>
      <c r="D496" s="302">
        <v>-89.49</v>
      </c>
      <c r="E496" s="305">
        <v>0</v>
      </c>
      <c r="F496" s="302">
        <v>72.37</v>
      </c>
      <c r="G496" s="305">
        <v>0.7671</v>
      </c>
      <c r="H496" s="302">
        <v>-1.42</v>
      </c>
      <c r="I496" s="305">
        <v>0</v>
      </c>
      <c r="J496" s="302">
        <v>-4.5599999999999996</v>
      </c>
      <c r="K496" s="305">
        <v>0.93330000000000002</v>
      </c>
      <c r="L496" s="302">
        <v>96.08</v>
      </c>
      <c r="M496" s="305">
        <v>0</v>
      </c>
      <c r="N496" s="302">
        <v>-88.26</v>
      </c>
      <c r="O496" s="319"/>
    </row>
    <row r="497" spans="1:15" ht="12.75" customHeight="1" x14ac:dyDescent="0.2">
      <c r="A497" s="6">
        <v>14</v>
      </c>
      <c r="B497" s="7"/>
      <c r="C497" s="305">
        <v>0.71130000000000004</v>
      </c>
      <c r="D497" s="302">
        <v>-89.17</v>
      </c>
      <c r="E497" s="305">
        <v>0</v>
      </c>
      <c r="F497" s="302">
        <v>173.89</v>
      </c>
      <c r="G497" s="305">
        <v>0.69389999999999996</v>
      </c>
      <c r="H497" s="302">
        <v>-2.5299999999999998</v>
      </c>
      <c r="I497" s="305">
        <v>0</v>
      </c>
      <c r="J497" s="302">
        <v>-10.47</v>
      </c>
      <c r="K497" s="305">
        <v>1.0321</v>
      </c>
      <c r="L497" s="302">
        <v>97.15</v>
      </c>
      <c r="M497" s="305">
        <v>0</v>
      </c>
      <c r="N497" s="302">
        <v>88.54</v>
      </c>
      <c r="O497" s="319"/>
    </row>
    <row r="498" spans="1:15" ht="12.75" customHeight="1" x14ac:dyDescent="0.2">
      <c r="A498" s="6">
        <v>13</v>
      </c>
      <c r="B498" s="7"/>
      <c r="C498" s="305">
        <v>0.63680000000000003</v>
      </c>
      <c r="D498" s="302">
        <v>-88.6</v>
      </c>
      <c r="E498" s="305">
        <v>0</v>
      </c>
      <c r="F498" s="302">
        <v>158</v>
      </c>
      <c r="G498" s="305">
        <v>0.59289999999999998</v>
      </c>
      <c r="H498" s="302">
        <v>-4.96</v>
      </c>
      <c r="I498" s="305">
        <v>0</v>
      </c>
      <c r="J498" s="302">
        <v>23.11</v>
      </c>
      <c r="K498" s="305">
        <v>1.1304000000000001</v>
      </c>
      <c r="L498" s="302">
        <v>98.59</v>
      </c>
      <c r="M498" s="305">
        <v>0</v>
      </c>
      <c r="N498" s="302">
        <v>-90.51</v>
      </c>
      <c r="O498" s="319"/>
    </row>
    <row r="499" spans="1:15" ht="12.75" customHeight="1" x14ac:dyDescent="0.2">
      <c r="A499" s="6">
        <v>12</v>
      </c>
      <c r="B499" s="8"/>
      <c r="C499" s="305">
        <v>0.53549999999999998</v>
      </c>
      <c r="D499" s="302">
        <v>-87.66</v>
      </c>
      <c r="E499" s="305">
        <v>0</v>
      </c>
      <c r="F499" s="302">
        <v>-173.6</v>
      </c>
      <c r="G499" s="305">
        <v>0.45519999999999999</v>
      </c>
      <c r="H499" s="302">
        <v>-11.09</v>
      </c>
      <c r="I499" s="305">
        <v>0</v>
      </c>
      <c r="J499" s="302">
        <v>8.26</v>
      </c>
      <c r="K499" s="305">
        <v>1.2081</v>
      </c>
      <c r="L499" s="302">
        <v>100.58</v>
      </c>
      <c r="M499" s="305">
        <v>0</v>
      </c>
      <c r="N499" s="302">
        <v>70.67</v>
      </c>
      <c r="O499" s="319"/>
    </row>
    <row r="500" spans="1:15" ht="12.75" customHeight="1" x14ac:dyDescent="0.2">
      <c r="A500" s="6">
        <v>11</v>
      </c>
      <c r="B500" s="8"/>
      <c r="C500" s="305">
        <v>0.39879999999999999</v>
      </c>
      <c r="D500" s="302">
        <v>-86.58</v>
      </c>
      <c r="E500" s="305">
        <v>0</v>
      </c>
      <c r="F500" s="302">
        <v>155.76</v>
      </c>
      <c r="G500" s="305">
        <v>0.27979999999999999</v>
      </c>
      <c r="H500" s="302">
        <v>-32.770000000000003</v>
      </c>
      <c r="I500" s="305">
        <v>0</v>
      </c>
      <c r="J500" s="302">
        <v>-12.96</v>
      </c>
      <c r="K500" s="305">
        <v>1.2161999999999999</v>
      </c>
      <c r="L500" s="302">
        <v>102.9</v>
      </c>
      <c r="M500" s="305">
        <v>0</v>
      </c>
      <c r="N500" s="302">
        <v>-79.819999999999993</v>
      </c>
      <c r="O500" s="319"/>
    </row>
    <row r="501" spans="1:15" ht="12.75" customHeight="1" x14ac:dyDescent="0.2">
      <c r="A501" s="6">
        <v>10</v>
      </c>
      <c r="B501" s="8"/>
      <c r="C501" s="305">
        <v>0.23300000000000001</v>
      </c>
      <c r="D501" s="302">
        <v>-88.22</v>
      </c>
      <c r="E501" s="305">
        <v>0</v>
      </c>
      <c r="F501" s="302">
        <v>95.75</v>
      </c>
      <c r="G501" s="305">
        <v>0.35389999999999999</v>
      </c>
      <c r="H501" s="302">
        <v>-113.48</v>
      </c>
      <c r="I501" s="305">
        <v>0</v>
      </c>
      <c r="J501" s="302">
        <v>-166.92</v>
      </c>
      <c r="K501" s="305">
        <v>1.0819000000000001</v>
      </c>
      <c r="L501" s="302">
        <v>101.54</v>
      </c>
      <c r="M501" s="305">
        <v>0</v>
      </c>
      <c r="N501" s="302">
        <v>43.64</v>
      </c>
      <c r="O501" s="319"/>
    </row>
    <row r="502" spans="1:15" ht="12.75" customHeight="1" x14ac:dyDescent="0.2">
      <c r="A502" s="6">
        <v>9.5</v>
      </c>
      <c r="B502" s="8"/>
      <c r="C502" s="305">
        <v>0.15989999999999999</v>
      </c>
      <c r="D502" s="302">
        <v>-91.39</v>
      </c>
      <c r="E502" s="305">
        <v>0</v>
      </c>
      <c r="F502" s="302">
        <v>83.43</v>
      </c>
      <c r="G502" s="305">
        <v>0.83530000000000004</v>
      </c>
      <c r="H502" s="302">
        <v>-119.38</v>
      </c>
      <c r="I502" s="305">
        <v>0</v>
      </c>
      <c r="J502" s="302">
        <v>-124.72</v>
      </c>
      <c r="K502" s="305">
        <v>1.0649</v>
      </c>
      <c r="L502" s="302">
        <v>94.7</v>
      </c>
      <c r="M502" s="305">
        <v>0</v>
      </c>
      <c r="N502" s="302">
        <v>-51.54</v>
      </c>
      <c r="O502" s="319"/>
    </row>
    <row r="503" spans="1:15" ht="12.75" customHeight="1" x14ac:dyDescent="0.2">
      <c r="A503" s="6">
        <v>9</v>
      </c>
      <c r="B503" s="8"/>
      <c r="C503" s="305">
        <v>7.5999999999999998E-2</v>
      </c>
      <c r="D503" s="302">
        <v>-76.25</v>
      </c>
      <c r="E503" s="305">
        <v>0</v>
      </c>
      <c r="F503" s="302">
        <v>113.05</v>
      </c>
      <c r="G503" s="305">
        <v>1.2877000000000001</v>
      </c>
      <c r="H503" s="302">
        <v>-80.16</v>
      </c>
      <c r="I503" s="305">
        <v>0</v>
      </c>
      <c r="J503" s="302">
        <v>-84.35</v>
      </c>
      <c r="K503" s="305">
        <v>1.1629</v>
      </c>
      <c r="L503" s="302">
        <v>106.9</v>
      </c>
      <c r="M503" s="305">
        <v>0</v>
      </c>
      <c r="N503" s="302">
        <v>-84.22</v>
      </c>
      <c r="O503" s="319"/>
    </row>
    <row r="504" spans="1:15" ht="12.75" customHeight="1" x14ac:dyDescent="0.2">
      <c r="A504" s="6">
        <v>8.5</v>
      </c>
      <c r="B504" s="8"/>
      <c r="C504" s="305">
        <v>2.6800000000000001E-2</v>
      </c>
      <c r="D504" s="302">
        <v>97.41</v>
      </c>
      <c r="E504" s="305">
        <v>0</v>
      </c>
      <c r="F504" s="302">
        <v>164</v>
      </c>
      <c r="G504" s="305">
        <v>0.8387</v>
      </c>
      <c r="H504" s="302">
        <v>-56.81</v>
      </c>
      <c r="I504" s="305">
        <v>0</v>
      </c>
      <c r="J504" s="302">
        <v>-72.25</v>
      </c>
      <c r="K504" s="305">
        <v>0.62990000000000002</v>
      </c>
      <c r="L504" s="302">
        <v>125.31</v>
      </c>
      <c r="M504" s="305">
        <v>0</v>
      </c>
      <c r="N504" s="302">
        <v>98.03</v>
      </c>
      <c r="O504" s="319"/>
    </row>
    <row r="505" spans="1:15" ht="12.75" customHeight="1" x14ac:dyDescent="0.2">
      <c r="A505" s="6">
        <v>8</v>
      </c>
      <c r="B505" s="8"/>
      <c r="C505" s="305">
        <v>8.4099999999999994E-2</v>
      </c>
      <c r="D505" s="302">
        <v>114.61</v>
      </c>
      <c r="E505" s="305">
        <v>0</v>
      </c>
      <c r="F505" s="302">
        <v>168.49</v>
      </c>
      <c r="G505" s="305">
        <v>0.56079999999999997</v>
      </c>
      <c r="H505" s="302">
        <v>-59.98</v>
      </c>
      <c r="I505" s="305">
        <v>0</v>
      </c>
      <c r="J505" s="302">
        <v>-68.47</v>
      </c>
      <c r="K505" s="305">
        <v>0.1028</v>
      </c>
      <c r="L505" s="302">
        <v>11.78</v>
      </c>
      <c r="M505" s="305">
        <v>0</v>
      </c>
      <c r="N505" s="302">
        <v>68.63</v>
      </c>
      <c r="O505" s="319"/>
    </row>
    <row r="506" spans="1:15" ht="12.75" customHeight="1" x14ac:dyDescent="0.2">
      <c r="A506" s="6">
        <v>7.5</v>
      </c>
      <c r="B506" s="8"/>
      <c r="C506" s="305">
        <v>6.8400000000000002E-2</v>
      </c>
      <c r="D506" s="302">
        <v>125.34</v>
      </c>
      <c r="E506" s="305">
        <v>0</v>
      </c>
      <c r="F506" s="302">
        <v>-161.11000000000001</v>
      </c>
      <c r="G506" s="305">
        <v>0.40510000000000002</v>
      </c>
      <c r="H506" s="302">
        <v>-58.82</v>
      </c>
      <c r="I506" s="305">
        <v>0</v>
      </c>
      <c r="J506" s="302">
        <v>-86.05</v>
      </c>
      <c r="K506" s="305">
        <v>0.6764</v>
      </c>
      <c r="L506" s="302">
        <v>11.92</v>
      </c>
      <c r="M506" s="305">
        <v>0</v>
      </c>
      <c r="N506" s="302">
        <v>-146.38999999999999</v>
      </c>
      <c r="O506" s="319"/>
    </row>
    <row r="507" spans="1:15" ht="12.75" customHeight="1" x14ac:dyDescent="0.2">
      <c r="A507" s="6">
        <v>7</v>
      </c>
      <c r="B507" s="8"/>
      <c r="C507" s="305">
        <v>3.04E-2</v>
      </c>
      <c r="D507" s="302">
        <v>72.540000000000006</v>
      </c>
      <c r="E507" s="305">
        <v>0</v>
      </c>
      <c r="F507" s="302">
        <v>-155.91</v>
      </c>
      <c r="G507" s="305">
        <v>0.18079999999999999</v>
      </c>
      <c r="H507" s="302">
        <v>-50.84</v>
      </c>
      <c r="I507" s="305">
        <v>0</v>
      </c>
      <c r="J507" s="302">
        <v>-72.69</v>
      </c>
      <c r="K507" s="305">
        <v>0.61760000000000004</v>
      </c>
      <c r="L507" s="302">
        <v>29.61</v>
      </c>
      <c r="M507" s="305">
        <v>0</v>
      </c>
      <c r="N507" s="302">
        <v>103.97</v>
      </c>
      <c r="O507" s="319"/>
    </row>
    <row r="508" spans="1:15" ht="12.75" customHeight="1" x14ac:dyDescent="0.2">
      <c r="A508" s="6">
        <v>6.5</v>
      </c>
      <c r="B508" s="9"/>
      <c r="C508" s="305">
        <v>4.3299999999999998E-2</v>
      </c>
      <c r="D508" s="302">
        <v>15.4</v>
      </c>
      <c r="E508" s="305">
        <v>0</v>
      </c>
      <c r="F508" s="302">
        <v>-161.93</v>
      </c>
      <c r="G508" s="305">
        <v>3.4000000000000002E-2</v>
      </c>
      <c r="H508" s="302">
        <v>91.47</v>
      </c>
      <c r="I508" s="305">
        <v>0</v>
      </c>
      <c r="J508" s="302">
        <v>-7.13</v>
      </c>
      <c r="K508" s="305">
        <v>0.29370000000000002</v>
      </c>
      <c r="L508" s="302">
        <v>34.35</v>
      </c>
      <c r="M508" s="305">
        <v>0</v>
      </c>
      <c r="N508" s="302">
        <v>-113.41</v>
      </c>
      <c r="O508" s="319"/>
    </row>
    <row r="509" spans="1:15" ht="12.75" customHeight="1" x14ac:dyDescent="0.2">
      <c r="A509" s="6">
        <v>6</v>
      </c>
      <c r="B509" s="9"/>
      <c r="C509" s="305">
        <v>2.3300000000000001E-2</v>
      </c>
      <c r="D509" s="302">
        <v>2.88</v>
      </c>
      <c r="E509" s="305">
        <v>0</v>
      </c>
      <c r="F509" s="302">
        <v>47.52</v>
      </c>
      <c r="G509" s="305">
        <v>0.1241</v>
      </c>
      <c r="H509" s="302">
        <v>155.87</v>
      </c>
      <c r="I509" s="305">
        <v>0</v>
      </c>
      <c r="J509" s="302">
        <v>-123.85</v>
      </c>
      <c r="K509" s="305">
        <v>6.8699999999999997E-2</v>
      </c>
      <c r="L509" s="302">
        <v>-29.37</v>
      </c>
      <c r="M509" s="305">
        <v>0</v>
      </c>
      <c r="N509" s="302">
        <v>-143.6</v>
      </c>
      <c r="O509" s="319"/>
    </row>
    <row r="510" spans="1:15" ht="12.75" customHeight="1" x14ac:dyDescent="0.2">
      <c r="A510" s="6">
        <v>5.5</v>
      </c>
      <c r="B510" s="9"/>
      <c r="C510" s="305">
        <v>3.5299999999999998E-2</v>
      </c>
      <c r="D510" s="302">
        <v>-123.6</v>
      </c>
      <c r="E510" s="305">
        <v>0</v>
      </c>
      <c r="F510" s="302">
        <v>12.28</v>
      </c>
      <c r="G510" s="305">
        <v>4.2799999999999998E-2</v>
      </c>
      <c r="H510" s="302">
        <v>159.44999999999999</v>
      </c>
      <c r="I510" s="305">
        <v>0</v>
      </c>
      <c r="J510" s="302">
        <v>8.9499999999999993</v>
      </c>
      <c r="K510" s="305">
        <v>7.9600000000000004E-2</v>
      </c>
      <c r="L510" s="302">
        <v>-136.30000000000001</v>
      </c>
      <c r="M510" s="305">
        <v>0</v>
      </c>
      <c r="N510" s="302">
        <v>-162.52000000000001</v>
      </c>
      <c r="O510" s="319"/>
    </row>
    <row r="511" spans="1:15" ht="12.75" customHeight="1" x14ac:dyDescent="0.2">
      <c r="A511" s="6">
        <v>5</v>
      </c>
      <c r="B511" s="9"/>
      <c r="C511" s="305">
        <v>1.9300000000000001E-2</v>
      </c>
      <c r="D511" s="302">
        <v>-63.69</v>
      </c>
      <c r="E511" s="305">
        <v>0</v>
      </c>
      <c r="F511" s="302">
        <v>57.74</v>
      </c>
      <c r="G511" s="305">
        <v>1.29E-2</v>
      </c>
      <c r="H511" s="302">
        <v>-143.13</v>
      </c>
      <c r="I511" s="305">
        <v>0</v>
      </c>
      <c r="J511" s="302">
        <v>21.03</v>
      </c>
      <c r="K511" s="305">
        <v>7.1999999999999998E-3</v>
      </c>
      <c r="L511" s="302">
        <v>74.16</v>
      </c>
      <c r="M511" s="305">
        <v>0</v>
      </c>
      <c r="N511" s="302">
        <v>-104.43</v>
      </c>
      <c r="O511" s="319"/>
    </row>
    <row r="512" spans="1:15" ht="12.75" customHeight="1" x14ac:dyDescent="0.2">
      <c r="A512" s="6">
        <v>4.5</v>
      </c>
      <c r="B512" s="9"/>
      <c r="C512" s="305">
        <v>7.6E-3</v>
      </c>
      <c r="D512" s="302">
        <v>154.62</v>
      </c>
      <c r="E512" s="305">
        <v>0</v>
      </c>
      <c r="F512" s="302">
        <v>-114.37</v>
      </c>
      <c r="G512" s="305">
        <v>4.7000000000000002E-3</v>
      </c>
      <c r="H512" s="302">
        <v>62.05</v>
      </c>
      <c r="I512" s="305">
        <v>0</v>
      </c>
      <c r="J512" s="302">
        <v>174.01</v>
      </c>
      <c r="K512" s="305">
        <v>2.0299999999999999E-2</v>
      </c>
      <c r="L512" s="302">
        <v>-49.94</v>
      </c>
      <c r="M512" s="305">
        <v>0</v>
      </c>
      <c r="N512" s="302">
        <v>-26.56</v>
      </c>
      <c r="O512" s="319"/>
    </row>
    <row r="513" spans="1:15" ht="12.75" customHeight="1" x14ac:dyDescent="0.2">
      <c r="A513" s="6">
        <v>4</v>
      </c>
      <c r="B513" s="9"/>
      <c r="C513" s="305">
        <v>6.1000000000000004E-3</v>
      </c>
      <c r="D513" s="302">
        <v>25.81</v>
      </c>
      <c r="E513" s="305">
        <v>0</v>
      </c>
      <c r="F513" s="302">
        <v>-164.27</v>
      </c>
      <c r="G513" s="305">
        <v>4.3E-3</v>
      </c>
      <c r="H513" s="302">
        <v>95.44</v>
      </c>
      <c r="I513" s="305">
        <v>0</v>
      </c>
      <c r="J513" s="302">
        <v>-141.38999999999999</v>
      </c>
      <c r="K513" s="305">
        <v>4.7000000000000002E-3</v>
      </c>
      <c r="L513" s="302">
        <v>120.37</v>
      </c>
      <c r="M513" s="305">
        <v>0</v>
      </c>
      <c r="N513" s="302">
        <v>-131.38999999999999</v>
      </c>
      <c r="O513" s="319"/>
    </row>
    <row r="514" spans="1:15" ht="12.75" customHeight="1" x14ac:dyDescent="0.2">
      <c r="A514" s="6">
        <v>3.5</v>
      </c>
      <c r="B514" s="9"/>
      <c r="C514" s="305">
        <v>8.8999999999999999E-3</v>
      </c>
      <c r="D514" s="302">
        <v>-134.36000000000001</v>
      </c>
      <c r="E514" s="305">
        <v>0</v>
      </c>
      <c r="F514" s="302">
        <v>55.58</v>
      </c>
      <c r="G514" s="305">
        <v>2.0999999999999999E-3</v>
      </c>
      <c r="H514" s="302">
        <v>-97.42</v>
      </c>
      <c r="I514" s="305">
        <v>0</v>
      </c>
      <c r="J514" s="302">
        <v>34.4</v>
      </c>
      <c r="K514" s="305">
        <v>6.0000000000000001E-3</v>
      </c>
      <c r="L514" s="302">
        <v>139.16</v>
      </c>
      <c r="M514" s="305">
        <v>0</v>
      </c>
      <c r="N514" s="302">
        <v>-155.88999999999999</v>
      </c>
      <c r="O514" s="319"/>
    </row>
    <row r="515" spans="1:15" ht="12.75" customHeight="1" x14ac:dyDescent="0.2">
      <c r="A515" s="6">
        <v>3.24</v>
      </c>
      <c r="B515" s="9"/>
      <c r="C515" s="305">
        <v>2.8E-3</v>
      </c>
      <c r="D515" s="302">
        <v>-22.44</v>
      </c>
      <c r="E515" s="305">
        <v>0</v>
      </c>
      <c r="F515" s="302">
        <v>67.62</v>
      </c>
      <c r="G515" s="305">
        <v>1.1000000000000001E-3</v>
      </c>
      <c r="H515" s="302">
        <v>-140.66999999999999</v>
      </c>
      <c r="I515" s="305">
        <v>0</v>
      </c>
      <c r="J515" s="302">
        <v>-18.59</v>
      </c>
      <c r="K515" s="305">
        <v>2.0999999999999999E-3</v>
      </c>
      <c r="L515" s="302">
        <v>-36.15</v>
      </c>
      <c r="M515" s="305">
        <v>0</v>
      </c>
      <c r="N515" s="302">
        <v>-119.08</v>
      </c>
      <c r="O515" s="319"/>
    </row>
    <row r="516" spans="1:15" ht="12.75" customHeight="1" x14ac:dyDescent="0.2">
      <c r="A516" s="6">
        <v>0</v>
      </c>
      <c r="B516" s="9"/>
      <c r="C516" s="305">
        <v>0</v>
      </c>
      <c r="D516" s="302">
        <v>0</v>
      </c>
      <c r="E516" s="305">
        <v>0</v>
      </c>
      <c r="F516" s="302">
        <v>0</v>
      </c>
      <c r="G516" s="305">
        <v>0</v>
      </c>
      <c r="H516" s="302">
        <v>0</v>
      </c>
      <c r="I516" s="305">
        <v>0</v>
      </c>
      <c r="J516" s="302">
        <v>0</v>
      </c>
      <c r="K516" s="305">
        <v>0</v>
      </c>
      <c r="L516" s="302">
        <v>0</v>
      </c>
      <c r="M516" s="305">
        <v>0</v>
      </c>
      <c r="N516" s="302">
        <v>0</v>
      </c>
      <c r="O516" s="319"/>
    </row>
    <row r="517" spans="1:15" ht="12.75" customHeight="1" x14ac:dyDescent="0.2">
      <c r="A517" s="6">
        <v>0</v>
      </c>
      <c r="B517" s="9"/>
      <c r="C517" s="305">
        <v>0</v>
      </c>
      <c r="D517" s="302">
        <v>0</v>
      </c>
      <c r="E517" s="305">
        <v>0</v>
      </c>
      <c r="F517" s="302">
        <v>0</v>
      </c>
      <c r="G517" s="305">
        <v>0</v>
      </c>
      <c r="H517" s="302">
        <v>0</v>
      </c>
      <c r="I517" s="305">
        <v>0</v>
      </c>
      <c r="J517" s="302">
        <v>0</v>
      </c>
      <c r="K517" s="305">
        <v>0</v>
      </c>
      <c r="L517" s="302">
        <v>0</v>
      </c>
      <c r="M517" s="305">
        <v>0</v>
      </c>
      <c r="N517" s="302">
        <v>0</v>
      </c>
      <c r="O517" s="319"/>
    </row>
    <row r="518" spans="1:15" ht="12.75" customHeight="1" x14ac:dyDescent="0.2">
      <c r="A518" s="6">
        <v>0</v>
      </c>
      <c r="B518" s="9"/>
      <c r="C518" s="305">
        <v>0</v>
      </c>
      <c r="D518" s="302">
        <v>0</v>
      </c>
      <c r="E518" s="305">
        <v>0</v>
      </c>
      <c r="F518" s="302">
        <v>0</v>
      </c>
      <c r="G518" s="305">
        <v>0</v>
      </c>
      <c r="H518" s="302">
        <v>0</v>
      </c>
      <c r="I518" s="305">
        <v>0</v>
      </c>
      <c r="J518" s="302">
        <v>0</v>
      </c>
      <c r="K518" s="305">
        <v>0</v>
      </c>
      <c r="L518" s="302">
        <v>0</v>
      </c>
      <c r="M518" s="305">
        <v>0</v>
      </c>
      <c r="N518" s="302">
        <v>0</v>
      </c>
      <c r="O518" s="319"/>
    </row>
    <row r="519" spans="1:15" ht="12.75" customHeight="1" x14ac:dyDescent="0.2">
      <c r="A519" s="6">
        <v>0</v>
      </c>
      <c r="B519" s="9"/>
      <c r="C519" s="305">
        <v>0</v>
      </c>
      <c r="D519" s="302">
        <v>0</v>
      </c>
      <c r="E519" s="305">
        <v>0</v>
      </c>
      <c r="F519" s="302">
        <v>0</v>
      </c>
      <c r="G519" s="305">
        <v>0</v>
      </c>
      <c r="H519" s="302">
        <v>0</v>
      </c>
      <c r="I519" s="305">
        <v>0</v>
      </c>
      <c r="J519" s="302">
        <v>0</v>
      </c>
      <c r="K519" s="305">
        <v>0</v>
      </c>
      <c r="L519" s="302">
        <v>0</v>
      </c>
      <c r="M519" s="305">
        <v>0</v>
      </c>
      <c r="N519" s="302">
        <v>0</v>
      </c>
      <c r="O519" s="319"/>
    </row>
    <row r="520" spans="1:15" ht="12.75" customHeight="1" thickBot="1" x14ac:dyDescent="0.25">
      <c r="A520" s="10">
        <v>0</v>
      </c>
      <c r="B520" s="11"/>
      <c r="C520" s="12">
        <v>0</v>
      </c>
      <c r="D520" s="13">
        <v>0</v>
      </c>
      <c r="E520" s="12">
        <v>0</v>
      </c>
      <c r="F520" s="13">
        <v>0</v>
      </c>
      <c r="G520" s="12">
        <v>0</v>
      </c>
      <c r="H520" s="13">
        <v>0</v>
      </c>
      <c r="I520" s="12">
        <v>0</v>
      </c>
      <c r="J520" s="13">
        <v>0</v>
      </c>
      <c r="K520" s="12">
        <v>0</v>
      </c>
      <c r="L520" s="13">
        <v>0</v>
      </c>
      <c r="M520" s="12">
        <v>0</v>
      </c>
      <c r="N520" s="13">
        <v>0</v>
      </c>
      <c r="O520" s="319"/>
    </row>
  </sheetData>
  <sheetProtection password="F3C4" sheet="1" objects="1" scenarios="1"/>
  <mergeCells count="130">
    <mergeCell ref="A481:N481"/>
    <mergeCell ref="A482:N482"/>
    <mergeCell ref="A483:A484"/>
    <mergeCell ref="B483:B484"/>
    <mergeCell ref="C483:D483"/>
    <mergeCell ref="E483:F483"/>
    <mergeCell ref="G483:H483"/>
    <mergeCell ref="I483:J483"/>
    <mergeCell ref="K483:L483"/>
    <mergeCell ref="M483:N483"/>
    <mergeCell ref="A441:N441"/>
    <mergeCell ref="A442:N442"/>
    <mergeCell ref="A443:A444"/>
    <mergeCell ref="B443:B444"/>
    <mergeCell ref="C443:D443"/>
    <mergeCell ref="E443:F443"/>
    <mergeCell ref="G443:H443"/>
    <mergeCell ref="I443:J443"/>
    <mergeCell ref="K443:L443"/>
    <mergeCell ref="M443:N443"/>
    <mergeCell ref="A401:N401"/>
    <mergeCell ref="A402:N402"/>
    <mergeCell ref="A403:A404"/>
    <mergeCell ref="B403:B404"/>
    <mergeCell ref="C403:D403"/>
    <mergeCell ref="E403:F403"/>
    <mergeCell ref="G403:H403"/>
    <mergeCell ref="I403:J403"/>
    <mergeCell ref="K403:L403"/>
    <mergeCell ref="M403:N403"/>
    <mergeCell ref="A361:N361"/>
    <mergeCell ref="A362:N362"/>
    <mergeCell ref="A363:A364"/>
    <mergeCell ref="B363:B364"/>
    <mergeCell ref="C363:D363"/>
    <mergeCell ref="E363:F363"/>
    <mergeCell ref="G363:H363"/>
    <mergeCell ref="I363:J363"/>
    <mergeCell ref="K363:L363"/>
    <mergeCell ref="M363:N363"/>
    <mergeCell ref="A321:N321"/>
    <mergeCell ref="A322:N322"/>
    <mergeCell ref="A323:A324"/>
    <mergeCell ref="B323:B324"/>
    <mergeCell ref="C323:D323"/>
    <mergeCell ref="E323:F323"/>
    <mergeCell ref="G323:H323"/>
    <mergeCell ref="I323:J323"/>
    <mergeCell ref="K323:L323"/>
    <mergeCell ref="M323:N323"/>
    <mergeCell ref="A281:N281"/>
    <mergeCell ref="A282:N282"/>
    <mergeCell ref="A283:A284"/>
    <mergeCell ref="B283:B284"/>
    <mergeCell ref="C283:D283"/>
    <mergeCell ref="E283:F283"/>
    <mergeCell ref="G283:H283"/>
    <mergeCell ref="I283:J283"/>
    <mergeCell ref="K283:L283"/>
    <mergeCell ref="M283:N283"/>
    <mergeCell ref="A241:N241"/>
    <mergeCell ref="A242:N242"/>
    <mergeCell ref="A243:A244"/>
    <mergeCell ref="B243:B244"/>
    <mergeCell ref="C243:D243"/>
    <mergeCell ref="E243:F243"/>
    <mergeCell ref="G243:H243"/>
    <mergeCell ref="I243:J243"/>
    <mergeCell ref="K243:L243"/>
    <mergeCell ref="M243:N243"/>
    <mergeCell ref="A201:N201"/>
    <mergeCell ref="A202:N202"/>
    <mergeCell ref="A203:A204"/>
    <mergeCell ref="B203:B204"/>
    <mergeCell ref="C203:D203"/>
    <mergeCell ref="E203:F203"/>
    <mergeCell ref="G203:H203"/>
    <mergeCell ref="I203:J203"/>
    <mergeCell ref="K203:L203"/>
    <mergeCell ref="M203:N203"/>
    <mergeCell ref="A161:N161"/>
    <mergeCell ref="A162:N162"/>
    <mergeCell ref="A163:A164"/>
    <mergeCell ref="B163:B164"/>
    <mergeCell ref="C163:D163"/>
    <mergeCell ref="E163:F163"/>
    <mergeCell ref="G163:H163"/>
    <mergeCell ref="I163:J163"/>
    <mergeCell ref="K163:L163"/>
    <mergeCell ref="M163:N163"/>
    <mergeCell ref="A121:N121"/>
    <mergeCell ref="A122:N122"/>
    <mergeCell ref="A123:A124"/>
    <mergeCell ref="B123:B124"/>
    <mergeCell ref="C123:D123"/>
    <mergeCell ref="E123:F123"/>
    <mergeCell ref="G123:H123"/>
    <mergeCell ref="I123:J123"/>
    <mergeCell ref="K123:L123"/>
    <mergeCell ref="M123:N123"/>
    <mergeCell ref="A81:N81"/>
    <mergeCell ref="A82:N82"/>
    <mergeCell ref="A83:A84"/>
    <mergeCell ref="B83:B84"/>
    <mergeCell ref="C83:D83"/>
    <mergeCell ref="E83:F83"/>
    <mergeCell ref="G83:H83"/>
    <mergeCell ref="I83:J83"/>
    <mergeCell ref="K83:L83"/>
    <mergeCell ref="M83:N83"/>
    <mergeCell ref="A41:N41"/>
    <mergeCell ref="A42:N42"/>
    <mergeCell ref="A43:A44"/>
    <mergeCell ref="B43:B44"/>
    <mergeCell ref="C43:D43"/>
    <mergeCell ref="E43:F43"/>
    <mergeCell ref="G43:H43"/>
    <mergeCell ref="I43:J43"/>
    <mergeCell ref="K43:L43"/>
    <mergeCell ref="M43:N43"/>
    <mergeCell ref="A1:N1"/>
    <mergeCell ref="A2:N2"/>
    <mergeCell ref="A3:A4"/>
    <mergeCell ref="B3:B4"/>
    <mergeCell ref="C3:D3"/>
    <mergeCell ref="E3:F3"/>
    <mergeCell ref="G3:H3"/>
    <mergeCell ref="I3:J3"/>
    <mergeCell ref="K3:L3"/>
    <mergeCell ref="M3:N3"/>
  </mergeCells>
  <printOptions horizontalCentered="1"/>
  <pageMargins left="0.75" right="0.75" top="1" bottom="1" header="0.5" footer="0.5"/>
  <pageSetup scale="70" orientation="portrait" r:id="rId1"/>
  <headerFooter alignWithMargins="0">
    <oddHeader>&amp;L&amp;"Arial,Bold"DTCEL Motion RAOs&amp;R&amp;"Arial,Bold"&amp;D</oddHeader>
  </headerFooter>
  <rowBreaks count="4" manualBreakCount="4">
    <brk id="80" max="28" man="1"/>
    <brk id="160" max="28" man="1"/>
    <brk id="240" max="28" man="1"/>
    <brk id="320" max="2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2"/>
  <sheetViews>
    <sheetView workbookViewId="0"/>
  </sheetViews>
  <sheetFormatPr defaultRowHeight="12.75" x14ac:dyDescent="0.2"/>
  <sheetData>
    <row r="1" spans="1:16" x14ac:dyDescent="0.2">
      <c r="A1" s="313" t="s">
        <v>13</v>
      </c>
      <c r="B1" s="341" t="s">
        <v>23</v>
      </c>
      <c r="C1" s="341"/>
      <c r="D1" s="341"/>
      <c r="E1" s="341" t="s">
        <v>24</v>
      </c>
      <c r="F1" s="341"/>
      <c r="G1" s="341"/>
      <c r="K1" s="341"/>
      <c r="L1" s="341"/>
      <c r="M1" s="341"/>
      <c r="N1" s="341"/>
      <c r="O1" s="341"/>
      <c r="P1" s="341"/>
    </row>
    <row r="2" spans="1:16" x14ac:dyDescent="0.2">
      <c r="A2" s="313" t="s">
        <v>25</v>
      </c>
      <c r="B2" s="313" t="s">
        <v>26</v>
      </c>
      <c r="C2" s="313" t="s">
        <v>27</v>
      </c>
      <c r="D2" s="313" t="s">
        <v>28</v>
      </c>
      <c r="E2" s="313" t="s">
        <v>26</v>
      </c>
      <c r="F2" s="313" t="s">
        <v>27</v>
      </c>
      <c r="G2" s="313" t="s">
        <v>28</v>
      </c>
      <c r="I2" s="300" t="s">
        <v>171</v>
      </c>
      <c r="J2" s="300">
        <v>13</v>
      </c>
      <c r="K2" s="299"/>
      <c r="L2" s="299"/>
      <c r="M2" s="299"/>
      <c r="N2" s="299"/>
      <c r="O2" s="299"/>
      <c r="P2" s="299"/>
    </row>
    <row r="3" spans="1:16" x14ac:dyDescent="0.2">
      <c r="A3" s="313" t="s">
        <v>29</v>
      </c>
      <c r="B3" s="313" t="s">
        <v>30</v>
      </c>
      <c r="C3" s="313" t="s">
        <v>30</v>
      </c>
      <c r="D3" s="313" t="s">
        <v>31</v>
      </c>
      <c r="E3" s="313" t="s">
        <v>30</v>
      </c>
      <c r="F3" s="313" t="s">
        <v>30</v>
      </c>
      <c r="G3" s="313" t="s">
        <v>31</v>
      </c>
      <c r="K3" s="299"/>
      <c r="L3" s="299"/>
      <c r="M3" s="299"/>
      <c r="N3" s="299"/>
      <c r="O3" s="299"/>
      <c r="P3" s="299"/>
    </row>
    <row r="4" spans="1:16" x14ac:dyDescent="0.2">
      <c r="A4">
        <v>0</v>
      </c>
      <c r="B4" s="314">
        <v>0.64062672342868532</v>
      </c>
      <c r="C4" s="314">
        <v>-1.7344084028537881E-3</v>
      </c>
      <c r="D4" s="315">
        <v>-0.27334276428975701</v>
      </c>
      <c r="E4" s="316">
        <v>67.593611971093466</v>
      </c>
      <c r="F4" s="316">
        <v>5.6988144134207932</v>
      </c>
      <c r="G4" s="316">
        <v>0</v>
      </c>
      <c r="I4" s="301" t="s">
        <v>172</v>
      </c>
      <c r="J4" s="301">
        <v>4.4482215999999998E-3</v>
      </c>
    </row>
    <row r="5" spans="1:16" x14ac:dyDescent="0.2">
      <c r="A5">
        <v>15</v>
      </c>
      <c r="B5" s="314">
        <v>0.70634905049546237</v>
      </c>
      <c r="C5" s="314">
        <v>0.28270856966516744</v>
      </c>
      <c r="D5" s="314">
        <v>-4.9201697572156258</v>
      </c>
      <c r="E5" s="316">
        <v>68.924194883910275</v>
      </c>
      <c r="F5" s="314">
        <v>80.353283229233185</v>
      </c>
      <c r="G5" s="314">
        <v>-2245.332878887792</v>
      </c>
      <c r="I5" s="301" t="s">
        <v>170</v>
      </c>
      <c r="J5" s="301">
        <v>0.30480000000000002</v>
      </c>
    </row>
    <row r="6" spans="1:16" x14ac:dyDescent="0.2">
      <c r="A6">
        <v>30</v>
      </c>
      <c r="B6" s="314">
        <v>0.75481096843359097</v>
      </c>
      <c r="C6" s="314">
        <v>0.69376336114151527</v>
      </c>
      <c r="D6" s="314">
        <v>-7.6535974001131963</v>
      </c>
      <c r="E6" s="316">
        <v>68.924194883910261</v>
      </c>
      <c r="F6" s="314">
        <v>174.95360249201835</v>
      </c>
      <c r="G6" s="314">
        <v>-3323.0926607539327</v>
      </c>
    </row>
    <row r="7" spans="1:16" x14ac:dyDescent="0.2">
      <c r="A7">
        <v>45</v>
      </c>
      <c r="B7" s="314">
        <v>0.64460989476606589</v>
      </c>
      <c r="C7" s="314">
        <v>1.0857396601864713</v>
      </c>
      <c r="D7" s="314">
        <v>-6.9702404893888037</v>
      </c>
      <c r="E7" s="316">
        <v>53.090258221390336</v>
      </c>
      <c r="F7" s="314">
        <v>257.30147076594881</v>
      </c>
      <c r="G7" s="314">
        <v>-4221.2258123090496</v>
      </c>
    </row>
    <row r="8" spans="1:16" x14ac:dyDescent="0.2">
      <c r="A8">
        <v>60</v>
      </c>
      <c r="B8" s="314">
        <v>0.42155229987276188</v>
      </c>
      <c r="C8" s="314">
        <v>1.3771202718659079</v>
      </c>
      <c r="D8" s="314">
        <v>-5.4668552857951411</v>
      </c>
      <c r="E8" s="316">
        <v>27.143891421462726</v>
      </c>
      <c r="F8" s="314">
        <v>343.06862768793167</v>
      </c>
      <c r="G8" s="314">
        <v>-4490.665757775585</v>
      </c>
    </row>
    <row r="9" spans="1:16" x14ac:dyDescent="0.2">
      <c r="A9">
        <v>75</v>
      </c>
      <c r="B9" s="314">
        <v>0.13376817074702602</v>
      </c>
      <c r="C9" s="314">
        <v>1.5592331541655557</v>
      </c>
      <c r="D9" s="314">
        <v>-1.6400565857385423</v>
      </c>
      <c r="E9" s="316">
        <v>7.1851477292107218</v>
      </c>
      <c r="F9" s="314">
        <v>388.37420227462701</v>
      </c>
      <c r="G9" s="314">
        <v>-2784.2127698208628</v>
      </c>
    </row>
    <row r="10" spans="1:16" x14ac:dyDescent="0.2">
      <c r="A10">
        <v>90</v>
      </c>
      <c r="B10" s="314">
        <v>-0.10223473099276427</v>
      </c>
      <c r="C10" s="314">
        <v>1.645953574308245</v>
      </c>
      <c r="D10" s="314">
        <v>4.6468269929258685</v>
      </c>
      <c r="E10" s="316">
        <v>-12.241362797914563</v>
      </c>
      <c r="F10" s="314">
        <v>414.30380785569167</v>
      </c>
      <c r="G10" s="314">
        <v>-898.13315155511691</v>
      </c>
    </row>
    <row r="11" spans="1:16" x14ac:dyDescent="0.2">
      <c r="A11">
        <v>105</v>
      </c>
      <c r="B11" s="314">
        <v>-0.26089772259841804</v>
      </c>
      <c r="C11" s="314">
        <v>1.6468207785096718</v>
      </c>
      <c r="D11" s="314">
        <v>8.7469684572722262</v>
      </c>
      <c r="E11" s="316">
        <v>-30.869523577349774</v>
      </c>
      <c r="F11" s="314">
        <v>394.35795740871879</v>
      </c>
      <c r="G11" s="314">
        <v>1257.3864121771637</v>
      </c>
    </row>
    <row r="12" spans="1:16" x14ac:dyDescent="0.2">
      <c r="A12">
        <v>120</v>
      </c>
      <c r="B12" s="314">
        <v>-0.43018250443708606</v>
      </c>
      <c r="C12" s="314">
        <v>1.5262793945113338</v>
      </c>
      <c r="D12" s="314">
        <v>10.387025043010768</v>
      </c>
      <c r="E12" s="316">
        <v>-35.526563772208569</v>
      </c>
      <c r="F12" s="314">
        <v>344.77827201195799</v>
      </c>
      <c r="G12" s="314">
        <v>2694.3994546653498</v>
      </c>
    </row>
    <row r="13" spans="1:16" x14ac:dyDescent="0.2">
      <c r="A13">
        <v>135</v>
      </c>
      <c r="B13" s="314">
        <v>-0.5795514295888522</v>
      </c>
      <c r="C13" s="314">
        <v>1.2375003954361778</v>
      </c>
      <c r="D13" s="314">
        <v>11.207053335880039</v>
      </c>
      <c r="E13" s="316">
        <v>-46.237756220383815</v>
      </c>
      <c r="F13" s="314">
        <v>265.2798109447379</v>
      </c>
      <c r="G13" s="314">
        <v>3592.5326062204681</v>
      </c>
    </row>
    <row r="14" spans="1:16" x14ac:dyDescent="0.2">
      <c r="A14">
        <v>150</v>
      </c>
      <c r="B14" s="314">
        <v>-0.68045843680248952</v>
      </c>
      <c r="C14" s="314">
        <v>0.80303109052130384</v>
      </c>
      <c r="D14" s="314">
        <v>8.7469684572722244</v>
      </c>
      <c r="E14" s="316">
        <v>-60.541522533164418</v>
      </c>
      <c r="F14" s="314">
        <v>170.96443240262377</v>
      </c>
      <c r="G14" s="314">
        <v>3502.7192910649555</v>
      </c>
    </row>
    <row r="15" spans="1:16" x14ac:dyDescent="0.2">
      <c r="A15">
        <v>165</v>
      </c>
      <c r="B15" s="314">
        <v>-0.66552154428731292</v>
      </c>
      <c r="C15" s="314">
        <v>0.33820963855648867</v>
      </c>
      <c r="D15" s="314">
        <v>4.5101556107809913</v>
      </c>
      <c r="E15" s="316">
        <v>-63.801450669565568</v>
      </c>
      <c r="F15" s="314">
        <v>74.084587374470317</v>
      </c>
      <c r="G15" s="314">
        <v>1796.2663031102338</v>
      </c>
    </row>
    <row r="16" spans="1:16" x14ac:dyDescent="0.2">
      <c r="A16">
        <v>180</v>
      </c>
      <c r="B16" s="314">
        <v>-0.64195444720781225</v>
      </c>
      <c r="C16" s="314">
        <v>-8.6720420142689415E-3</v>
      </c>
      <c r="D16" s="314">
        <v>0</v>
      </c>
      <c r="E16" s="316">
        <v>-63.468804941361377</v>
      </c>
      <c r="F16" s="314">
        <v>-2.2795257653683172</v>
      </c>
      <c r="G16" s="314">
        <v>89.813315155511702</v>
      </c>
    </row>
    <row r="17" spans="1:1" x14ac:dyDescent="0.2">
      <c r="A17" s="298"/>
    </row>
    <row r="18" spans="1:1" x14ac:dyDescent="0.2">
      <c r="A18" s="298"/>
    </row>
    <row r="19" spans="1:1" x14ac:dyDescent="0.2">
      <c r="A19" s="298"/>
    </row>
    <row r="20" spans="1:1" x14ac:dyDescent="0.2">
      <c r="A20" s="298"/>
    </row>
    <row r="21" spans="1:1" x14ac:dyDescent="0.2">
      <c r="A21" s="298"/>
    </row>
    <row r="22" spans="1:1" x14ac:dyDescent="0.2">
      <c r="A22" s="298"/>
    </row>
  </sheetData>
  <sheetProtection password="F3C4" sheet="1" objects="1" scenarios="1"/>
  <mergeCells count="4">
    <mergeCell ref="B1:D1"/>
    <mergeCell ref="E1:G1"/>
    <mergeCell ref="K1:M1"/>
    <mergeCell ref="N1:P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20"/>
  <sheetViews>
    <sheetView zoomScale="75" zoomScaleNormal="50" zoomScaleSheetLayoutView="55" workbookViewId="0">
      <selection sqref="A1:O1"/>
    </sheetView>
  </sheetViews>
  <sheetFormatPr defaultRowHeight="12.75" customHeight="1" x14ac:dyDescent="0.2"/>
  <cols>
    <col min="1" max="2" width="10.83203125" style="14" customWidth="1"/>
    <col min="3" max="15" width="12.83203125" style="14" customWidth="1"/>
    <col min="16" max="16" width="9.33203125" style="14"/>
    <col min="17" max="18" width="10.83203125" style="14" customWidth="1"/>
    <col min="19" max="19" width="13.6640625" style="14" bestFit="1" customWidth="1"/>
    <col min="20" max="31" width="10.83203125" style="14" customWidth="1"/>
    <col min="32" max="256" width="9.33203125" style="14"/>
    <col min="257" max="258" width="10.83203125" style="14" customWidth="1"/>
    <col min="259" max="271" width="12.83203125" style="14" customWidth="1"/>
    <col min="272" max="272" width="9.33203125" style="14"/>
    <col min="273" max="287" width="10.83203125" style="14" customWidth="1"/>
    <col min="288" max="512" width="9.33203125" style="14"/>
    <col min="513" max="514" width="10.83203125" style="14" customWidth="1"/>
    <col min="515" max="527" width="12.83203125" style="14" customWidth="1"/>
    <col min="528" max="528" width="9.33203125" style="14"/>
    <col min="529" max="543" width="10.83203125" style="14" customWidth="1"/>
    <col min="544" max="768" width="9.33203125" style="14"/>
    <col min="769" max="770" width="10.83203125" style="14" customWidth="1"/>
    <col min="771" max="783" width="12.83203125" style="14" customWidth="1"/>
    <col min="784" max="784" width="9.33203125" style="14"/>
    <col min="785" max="799" width="10.83203125" style="14" customWidth="1"/>
    <col min="800" max="1024" width="9.33203125" style="14"/>
    <col min="1025" max="1026" width="10.83203125" style="14" customWidth="1"/>
    <col min="1027" max="1039" width="12.83203125" style="14" customWidth="1"/>
    <col min="1040" max="1040" width="9.33203125" style="14"/>
    <col min="1041" max="1055" width="10.83203125" style="14" customWidth="1"/>
    <col min="1056" max="1280" width="9.33203125" style="14"/>
    <col min="1281" max="1282" width="10.83203125" style="14" customWidth="1"/>
    <col min="1283" max="1295" width="12.83203125" style="14" customWidth="1"/>
    <col min="1296" max="1296" width="9.33203125" style="14"/>
    <col min="1297" max="1311" width="10.83203125" style="14" customWidth="1"/>
    <col min="1312" max="1536" width="9.33203125" style="14"/>
    <col min="1537" max="1538" width="10.83203125" style="14" customWidth="1"/>
    <col min="1539" max="1551" width="12.83203125" style="14" customWidth="1"/>
    <col min="1552" max="1552" width="9.33203125" style="14"/>
    <col min="1553" max="1567" width="10.83203125" style="14" customWidth="1"/>
    <col min="1568" max="1792" width="9.33203125" style="14"/>
    <col min="1793" max="1794" width="10.83203125" style="14" customWidth="1"/>
    <col min="1795" max="1807" width="12.83203125" style="14" customWidth="1"/>
    <col min="1808" max="1808" width="9.33203125" style="14"/>
    <col min="1809" max="1823" width="10.83203125" style="14" customWidth="1"/>
    <col min="1824" max="2048" width="9.33203125" style="14"/>
    <col min="2049" max="2050" width="10.83203125" style="14" customWidth="1"/>
    <col min="2051" max="2063" width="12.83203125" style="14" customWidth="1"/>
    <col min="2064" max="2064" width="9.33203125" style="14"/>
    <col min="2065" max="2079" width="10.83203125" style="14" customWidth="1"/>
    <col min="2080" max="2304" width="9.33203125" style="14"/>
    <col min="2305" max="2306" width="10.83203125" style="14" customWidth="1"/>
    <col min="2307" max="2319" width="12.83203125" style="14" customWidth="1"/>
    <col min="2320" max="2320" width="9.33203125" style="14"/>
    <col min="2321" max="2335" width="10.83203125" style="14" customWidth="1"/>
    <col min="2336" max="2560" width="9.33203125" style="14"/>
    <col min="2561" max="2562" width="10.83203125" style="14" customWidth="1"/>
    <col min="2563" max="2575" width="12.83203125" style="14" customWidth="1"/>
    <col min="2576" max="2576" width="9.33203125" style="14"/>
    <col min="2577" max="2591" width="10.83203125" style="14" customWidth="1"/>
    <col min="2592" max="2816" width="9.33203125" style="14"/>
    <col min="2817" max="2818" width="10.83203125" style="14" customWidth="1"/>
    <col min="2819" max="2831" width="12.83203125" style="14" customWidth="1"/>
    <col min="2832" max="2832" width="9.33203125" style="14"/>
    <col min="2833" max="2847" width="10.83203125" style="14" customWidth="1"/>
    <col min="2848" max="3072" width="9.33203125" style="14"/>
    <col min="3073" max="3074" width="10.83203125" style="14" customWidth="1"/>
    <col min="3075" max="3087" width="12.83203125" style="14" customWidth="1"/>
    <col min="3088" max="3088" width="9.33203125" style="14"/>
    <col min="3089" max="3103" width="10.83203125" style="14" customWidth="1"/>
    <col min="3104" max="3328" width="9.33203125" style="14"/>
    <col min="3329" max="3330" width="10.83203125" style="14" customWidth="1"/>
    <col min="3331" max="3343" width="12.83203125" style="14" customWidth="1"/>
    <col min="3344" max="3344" width="9.33203125" style="14"/>
    <col min="3345" max="3359" width="10.83203125" style="14" customWidth="1"/>
    <col min="3360" max="3584" width="9.33203125" style="14"/>
    <col min="3585" max="3586" width="10.83203125" style="14" customWidth="1"/>
    <col min="3587" max="3599" width="12.83203125" style="14" customWidth="1"/>
    <col min="3600" max="3600" width="9.33203125" style="14"/>
    <col min="3601" max="3615" width="10.83203125" style="14" customWidth="1"/>
    <col min="3616" max="3840" width="9.33203125" style="14"/>
    <col min="3841" max="3842" width="10.83203125" style="14" customWidth="1"/>
    <col min="3843" max="3855" width="12.83203125" style="14" customWidth="1"/>
    <col min="3856" max="3856" width="9.33203125" style="14"/>
    <col min="3857" max="3871" width="10.83203125" style="14" customWidth="1"/>
    <col min="3872" max="4096" width="9.33203125" style="14"/>
    <col min="4097" max="4098" width="10.83203125" style="14" customWidth="1"/>
    <col min="4099" max="4111" width="12.83203125" style="14" customWidth="1"/>
    <col min="4112" max="4112" width="9.33203125" style="14"/>
    <col min="4113" max="4127" width="10.83203125" style="14" customWidth="1"/>
    <col min="4128" max="4352" width="9.33203125" style="14"/>
    <col min="4353" max="4354" width="10.83203125" style="14" customWidth="1"/>
    <col min="4355" max="4367" width="12.83203125" style="14" customWidth="1"/>
    <col min="4368" max="4368" width="9.33203125" style="14"/>
    <col min="4369" max="4383" width="10.83203125" style="14" customWidth="1"/>
    <col min="4384" max="4608" width="9.33203125" style="14"/>
    <col min="4609" max="4610" width="10.83203125" style="14" customWidth="1"/>
    <col min="4611" max="4623" width="12.83203125" style="14" customWidth="1"/>
    <col min="4624" max="4624" width="9.33203125" style="14"/>
    <col min="4625" max="4639" width="10.83203125" style="14" customWidth="1"/>
    <col min="4640" max="4864" width="9.33203125" style="14"/>
    <col min="4865" max="4866" width="10.83203125" style="14" customWidth="1"/>
    <col min="4867" max="4879" width="12.83203125" style="14" customWidth="1"/>
    <col min="4880" max="4880" width="9.33203125" style="14"/>
    <col min="4881" max="4895" width="10.83203125" style="14" customWidth="1"/>
    <col min="4896" max="5120" width="9.33203125" style="14"/>
    <col min="5121" max="5122" width="10.83203125" style="14" customWidth="1"/>
    <col min="5123" max="5135" width="12.83203125" style="14" customWidth="1"/>
    <col min="5136" max="5136" width="9.33203125" style="14"/>
    <col min="5137" max="5151" width="10.83203125" style="14" customWidth="1"/>
    <col min="5152" max="5376" width="9.33203125" style="14"/>
    <col min="5377" max="5378" width="10.83203125" style="14" customWidth="1"/>
    <col min="5379" max="5391" width="12.83203125" style="14" customWidth="1"/>
    <col min="5392" max="5392" width="9.33203125" style="14"/>
    <col min="5393" max="5407" width="10.83203125" style="14" customWidth="1"/>
    <col min="5408" max="5632" width="9.33203125" style="14"/>
    <col min="5633" max="5634" width="10.83203125" style="14" customWidth="1"/>
    <col min="5635" max="5647" width="12.83203125" style="14" customWidth="1"/>
    <col min="5648" max="5648" width="9.33203125" style="14"/>
    <col min="5649" max="5663" width="10.83203125" style="14" customWidth="1"/>
    <col min="5664" max="5888" width="9.33203125" style="14"/>
    <col min="5889" max="5890" width="10.83203125" style="14" customWidth="1"/>
    <col min="5891" max="5903" width="12.83203125" style="14" customWidth="1"/>
    <col min="5904" max="5904" width="9.33203125" style="14"/>
    <col min="5905" max="5919" width="10.83203125" style="14" customWidth="1"/>
    <col min="5920" max="6144" width="9.33203125" style="14"/>
    <col min="6145" max="6146" width="10.83203125" style="14" customWidth="1"/>
    <col min="6147" max="6159" width="12.83203125" style="14" customWidth="1"/>
    <col min="6160" max="6160" width="9.33203125" style="14"/>
    <col min="6161" max="6175" width="10.83203125" style="14" customWidth="1"/>
    <col min="6176" max="6400" width="9.33203125" style="14"/>
    <col min="6401" max="6402" width="10.83203125" style="14" customWidth="1"/>
    <col min="6403" max="6415" width="12.83203125" style="14" customWidth="1"/>
    <col min="6416" max="6416" width="9.33203125" style="14"/>
    <col min="6417" max="6431" width="10.83203125" style="14" customWidth="1"/>
    <col min="6432" max="6656" width="9.33203125" style="14"/>
    <col min="6657" max="6658" width="10.83203125" style="14" customWidth="1"/>
    <col min="6659" max="6671" width="12.83203125" style="14" customWidth="1"/>
    <col min="6672" max="6672" width="9.33203125" style="14"/>
    <col min="6673" max="6687" width="10.83203125" style="14" customWidth="1"/>
    <col min="6688" max="6912" width="9.33203125" style="14"/>
    <col min="6913" max="6914" width="10.83203125" style="14" customWidth="1"/>
    <col min="6915" max="6927" width="12.83203125" style="14" customWidth="1"/>
    <col min="6928" max="6928" width="9.33203125" style="14"/>
    <col min="6929" max="6943" width="10.83203125" style="14" customWidth="1"/>
    <col min="6944" max="7168" width="9.33203125" style="14"/>
    <col min="7169" max="7170" width="10.83203125" style="14" customWidth="1"/>
    <col min="7171" max="7183" width="12.83203125" style="14" customWidth="1"/>
    <col min="7184" max="7184" width="9.33203125" style="14"/>
    <col min="7185" max="7199" width="10.83203125" style="14" customWidth="1"/>
    <col min="7200" max="7424" width="9.33203125" style="14"/>
    <col min="7425" max="7426" width="10.83203125" style="14" customWidth="1"/>
    <col min="7427" max="7439" width="12.83203125" style="14" customWidth="1"/>
    <col min="7440" max="7440" width="9.33203125" style="14"/>
    <col min="7441" max="7455" width="10.83203125" style="14" customWidth="1"/>
    <col min="7456" max="7680" width="9.33203125" style="14"/>
    <col min="7681" max="7682" width="10.83203125" style="14" customWidth="1"/>
    <col min="7683" max="7695" width="12.83203125" style="14" customWidth="1"/>
    <col min="7696" max="7696" width="9.33203125" style="14"/>
    <col min="7697" max="7711" width="10.83203125" style="14" customWidth="1"/>
    <col min="7712" max="7936" width="9.33203125" style="14"/>
    <col min="7937" max="7938" width="10.83203125" style="14" customWidth="1"/>
    <col min="7939" max="7951" width="12.83203125" style="14" customWidth="1"/>
    <col min="7952" max="7952" width="9.33203125" style="14"/>
    <col min="7953" max="7967" width="10.83203125" style="14" customWidth="1"/>
    <col min="7968" max="8192" width="9.33203125" style="14"/>
    <col min="8193" max="8194" width="10.83203125" style="14" customWidth="1"/>
    <col min="8195" max="8207" width="12.83203125" style="14" customWidth="1"/>
    <col min="8208" max="8208" width="9.33203125" style="14"/>
    <col min="8209" max="8223" width="10.83203125" style="14" customWidth="1"/>
    <col min="8224" max="8448" width="9.33203125" style="14"/>
    <col min="8449" max="8450" width="10.83203125" style="14" customWidth="1"/>
    <col min="8451" max="8463" width="12.83203125" style="14" customWidth="1"/>
    <col min="8464" max="8464" width="9.33203125" style="14"/>
    <col min="8465" max="8479" width="10.83203125" style="14" customWidth="1"/>
    <col min="8480" max="8704" width="9.33203125" style="14"/>
    <col min="8705" max="8706" width="10.83203125" style="14" customWidth="1"/>
    <col min="8707" max="8719" width="12.83203125" style="14" customWidth="1"/>
    <col min="8720" max="8720" width="9.33203125" style="14"/>
    <col min="8721" max="8735" width="10.83203125" style="14" customWidth="1"/>
    <col min="8736" max="8960" width="9.33203125" style="14"/>
    <col min="8961" max="8962" width="10.83203125" style="14" customWidth="1"/>
    <col min="8963" max="8975" width="12.83203125" style="14" customWidth="1"/>
    <col min="8976" max="8976" width="9.33203125" style="14"/>
    <col min="8977" max="8991" width="10.83203125" style="14" customWidth="1"/>
    <col min="8992" max="9216" width="9.33203125" style="14"/>
    <col min="9217" max="9218" width="10.83203125" style="14" customWidth="1"/>
    <col min="9219" max="9231" width="12.83203125" style="14" customWidth="1"/>
    <col min="9232" max="9232" width="9.33203125" style="14"/>
    <col min="9233" max="9247" width="10.83203125" style="14" customWidth="1"/>
    <col min="9248" max="9472" width="9.33203125" style="14"/>
    <col min="9473" max="9474" width="10.83203125" style="14" customWidth="1"/>
    <col min="9475" max="9487" width="12.83203125" style="14" customWidth="1"/>
    <col min="9488" max="9488" width="9.33203125" style="14"/>
    <col min="9489" max="9503" width="10.83203125" style="14" customWidth="1"/>
    <col min="9504" max="9728" width="9.33203125" style="14"/>
    <col min="9729" max="9730" width="10.83203125" style="14" customWidth="1"/>
    <col min="9731" max="9743" width="12.83203125" style="14" customWidth="1"/>
    <col min="9744" max="9744" width="9.33203125" style="14"/>
    <col min="9745" max="9759" width="10.83203125" style="14" customWidth="1"/>
    <col min="9760" max="9984" width="9.33203125" style="14"/>
    <col min="9985" max="9986" width="10.83203125" style="14" customWidth="1"/>
    <col min="9987" max="9999" width="12.83203125" style="14" customWidth="1"/>
    <col min="10000" max="10000" width="9.33203125" style="14"/>
    <col min="10001" max="10015" width="10.83203125" style="14" customWidth="1"/>
    <col min="10016" max="10240" width="9.33203125" style="14"/>
    <col min="10241" max="10242" width="10.83203125" style="14" customWidth="1"/>
    <col min="10243" max="10255" width="12.83203125" style="14" customWidth="1"/>
    <col min="10256" max="10256" width="9.33203125" style="14"/>
    <col min="10257" max="10271" width="10.83203125" style="14" customWidth="1"/>
    <col min="10272" max="10496" width="9.33203125" style="14"/>
    <col min="10497" max="10498" width="10.83203125" style="14" customWidth="1"/>
    <col min="10499" max="10511" width="12.83203125" style="14" customWidth="1"/>
    <col min="10512" max="10512" width="9.33203125" style="14"/>
    <col min="10513" max="10527" width="10.83203125" style="14" customWidth="1"/>
    <col min="10528" max="10752" width="9.33203125" style="14"/>
    <col min="10753" max="10754" width="10.83203125" style="14" customWidth="1"/>
    <col min="10755" max="10767" width="12.83203125" style="14" customWidth="1"/>
    <col min="10768" max="10768" width="9.33203125" style="14"/>
    <col min="10769" max="10783" width="10.83203125" style="14" customWidth="1"/>
    <col min="10784" max="11008" width="9.33203125" style="14"/>
    <col min="11009" max="11010" width="10.83203125" style="14" customWidth="1"/>
    <col min="11011" max="11023" width="12.83203125" style="14" customWidth="1"/>
    <col min="11024" max="11024" width="9.33203125" style="14"/>
    <col min="11025" max="11039" width="10.83203125" style="14" customWidth="1"/>
    <col min="11040" max="11264" width="9.33203125" style="14"/>
    <col min="11265" max="11266" width="10.83203125" style="14" customWidth="1"/>
    <col min="11267" max="11279" width="12.83203125" style="14" customWidth="1"/>
    <col min="11280" max="11280" width="9.33203125" style="14"/>
    <col min="11281" max="11295" width="10.83203125" style="14" customWidth="1"/>
    <col min="11296" max="11520" width="9.33203125" style="14"/>
    <col min="11521" max="11522" width="10.83203125" style="14" customWidth="1"/>
    <col min="11523" max="11535" width="12.83203125" style="14" customWidth="1"/>
    <col min="11536" max="11536" width="9.33203125" style="14"/>
    <col min="11537" max="11551" width="10.83203125" style="14" customWidth="1"/>
    <col min="11552" max="11776" width="9.33203125" style="14"/>
    <col min="11777" max="11778" width="10.83203125" style="14" customWidth="1"/>
    <col min="11779" max="11791" width="12.83203125" style="14" customWidth="1"/>
    <col min="11792" max="11792" width="9.33203125" style="14"/>
    <col min="11793" max="11807" width="10.83203125" style="14" customWidth="1"/>
    <col min="11808" max="12032" width="9.33203125" style="14"/>
    <col min="12033" max="12034" width="10.83203125" style="14" customWidth="1"/>
    <col min="12035" max="12047" width="12.83203125" style="14" customWidth="1"/>
    <col min="12048" max="12048" width="9.33203125" style="14"/>
    <col min="12049" max="12063" width="10.83203125" style="14" customWidth="1"/>
    <col min="12064" max="12288" width="9.33203125" style="14"/>
    <col min="12289" max="12290" width="10.83203125" style="14" customWidth="1"/>
    <col min="12291" max="12303" width="12.83203125" style="14" customWidth="1"/>
    <col min="12304" max="12304" width="9.33203125" style="14"/>
    <col min="12305" max="12319" width="10.83203125" style="14" customWidth="1"/>
    <col min="12320" max="12544" width="9.33203125" style="14"/>
    <col min="12545" max="12546" width="10.83203125" style="14" customWidth="1"/>
    <col min="12547" max="12559" width="12.83203125" style="14" customWidth="1"/>
    <col min="12560" max="12560" width="9.33203125" style="14"/>
    <col min="12561" max="12575" width="10.83203125" style="14" customWidth="1"/>
    <col min="12576" max="12800" width="9.33203125" style="14"/>
    <col min="12801" max="12802" width="10.83203125" style="14" customWidth="1"/>
    <col min="12803" max="12815" width="12.83203125" style="14" customWidth="1"/>
    <col min="12816" max="12816" width="9.33203125" style="14"/>
    <col min="12817" max="12831" width="10.83203125" style="14" customWidth="1"/>
    <col min="12832" max="13056" width="9.33203125" style="14"/>
    <col min="13057" max="13058" width="10.83203125" style="14" customWidth="1"/>
    <col min="13059" max="13071" width="12.83203125" style="14" customWidth="1"/>
    <col min="13072" max="13072" width="9.33203125" style="14"/>
    <col min="13073" max="13087" width="10.83203125" style="14" customWidth="1"/>
    <col min="13088" max="13312" width="9.33203125" style="14"/>
    <col min="13313" max="13314" width="10.83203125" style="14" customWidth="1"/>
    <col min="13315" max="13327" width="12.83203125" style="14" customWidth="1"/>
    <col min="13328" max="13328" width="9.33203125" style="14"/>
    <col min="13329" max="13343" width="10.83203125" style="14" customWidth="1"/>
    <col min="13344" max="13568" width="9.33203125" style="14"/>
    <col min="13569" max="13570" width="10.83203125" style="14" customWidth="1"/>
    <col min="13571" max="13583" width="12.83203125" style="14" customWidth="1"/>
    <col min="13584" max="13584" width="9.33203125" style="14"/>
    <col min="13585" max="13599" width="10.83203125" style="14" customWidth="1"/>
    <col min="13600" max="13824" width="9.33203125" style="14"/>
    <col min="13825" max="13826" width="10.83203125" style="14" customWidth="1"/>
    <col min="13827" max="13839" width="12.83203125" style="14" customWidth="1"/>
    <col min="13840" max="13840" width="9.33203125" style="14"/>
    <col min="13841" max="13855" width="10.83203125" style="14" customWidth="1"/>
    <col min="13856" max="14080" width="9.33203125" style="14"/>
    <col min="14081" max="14082" width="10.83203125" style="14" customWidth="1"/>
    <col min="14083" max="14095" width="12.83203125" style="14" customWidth="1"/>
    <col min="14096" max="14096" width="9.33203125" style="14"/>
    <col min="14097" max="14111" width="10.83203125" style="14" customWidth="1"/>
    <col min="14112" max="14336" width="9.33203125" style="14"/>
    <col min="14337" max="14338" width="10.83203125" style="14" customWidth="1"/>
    <col min="14339" max="14351" width="12.83203125" style="14" customWidth="1"/>
    <col min="14352" max="14352" width="9.33203125" style="14"/>
    <col min="14353" max="14367" width="10.83203125" style="14" customWidth="1"/>
    <col min="14368" max="14592" width="9.33203125" style="14"/>
    <col min="14593" max="14594" width="10.83203125" style="14" customWidth="1"/>
    <col min="14595" max="14607" width="12.83203125" style="14" customWidth="1"/>
    <col min="14608" max="14608" width="9.33203125" style="14"/>
    <col min="14609" max="14623" width="10.83203125" style="14" customWidth="1"/>
    <col min="14624" max="14848" width="9.33203125" style="14"/>
    <col min="14849" max="14850" width="10.83203125" style="14" customWidth="1"/>
    <col min="14851" max="14863" width="12.83203125" style="14" customWidth="1"/>
    <col min="14864" max="14864" width="9.33203125" style="14"/>
    <col min="14865" max="14879" width="10.83203125" style="14" customWidth="1"/>
    <col min="14880" max="15104" width="9.33203125" style="14"/>
    <col min="15105" max="15106" width="10.83203125" style="14" customWidth="1"/>
    <col min="15107" max="15119" width="12.83203125" style="14" customWidth="1"/>
    <col min="15120" max="15120" width="9.33203125" style="14"/>
    <col min="15121" max="15135" width="10.83203125" style="14" customWidth="1"/>
    <col min="15136" max="15360" width="9.33203125" style="14"/>
    <col min="15361" max="15362" width="10.83203125" style="14" customWidth="1"/>
    <col min="15363" max="15375" width="12.83203125" style="14" customWidth="1"/>
    <col min="15376" max="15376" width="9.33203125" style="14"/>
    <col min="15377" max="15391" width="10.83203125" style="14" customWidth="1"/>
    <col min="15392" max="15616" width="9.33203125" style="14"/>
    <col min="15617" max="15618" width="10.83203125" style="14" customWidth="1"/>
    <col min="15619" max="15631" width="12.83203125" style="14" customWidth="1"/>
    <col min="15632" max="15632" width="9.33203125" style="14"/>
    <col min="15633" max="15647" width="10.83203125" style="14" customWidth="1"/>
    <col min="15648" max="15872" width="9.33203125" style="14"/>
    <col min="15873" max="15874" width="10.83203125" style="14" customWidth="1"/>
    <col min="15875" max="15887" width="12.83203125" style="14" customWidth="1"/>
    <col min="15888" max="15888" width="9.33203125" style="14"/>
    <col min="15889" max="15903" width="10.83203125" style="14" customWidth="1"/>
    <col min="15904" max="16128" width="9.33203125" style="14"/>
    <col min="16129" max="16130" width="10.83203125" style="14" customWidth="1"/>
    <col min="16131" max="16143" width="12.83203125" style="14" customWidth="1"/>
    <col min="16144" max="16144" width="9.33203125" style="14"/>
    <col min="16145" max="16159" width="10.83203125" style="14" customWidth="1"/>
    <col min="16160" max="16384" width="9.33203125" style="14"/>
  </cols>
  <sheetData>
    <row r="1" spans="1:31" ht="20.100000000000001" customHeight="1" x14ac:dyDescent="0.2">
      <c r="A1" s="342" t="s">
        <v>175</v>
      </c>
      <c r="B1" s="342"/>
      <c r="C1" s="342"/>
      <c r="D1" s="342"/>
      <c r="E1" s="342"/>
      <c r="F1" s="342"/>
      <c r="G1" s="342"/>
      <c r="H1" s="342"/>
      <c r="I1" s="342"/>
      <c r="J1" s="342"/>
      <c r="K1" s="342"/>
      <c r="L1" s="342"/>
      <c r="M1" s="342"/>
      <c r="N1" s="342"/>
      <c r="O1" s="342"/>
      <c r="P1" s="157" t="s">
        <v>173</v>
      </c>
      <c r="Q1" s="157">
        <v>30</v>
      </c>
    </row>
    <row r="2" spans="1:31" ht="18" customHeight="1" thickBot="1" x14ac:dyDescent="0.25">
      <c r="A2" s="343" t="s">
        <v>16</v>
      </c>
      <c r="B2" s="343"/>
      <c r="C2" s="343"/>
      <c r="D2" s="343"/>
      <c r="E2" s="343"/>
      <c r="F2" s="343"/>
      <c r="G2" s="343"/>
      <c r="H2" s="343"/>
      <c r="I2" s="343"/>
      <c r="J2" s="343"/>
      <c r="K2" s="343"/>
      <c r="L2" s="343"/>
      <c r="M2" s="343"/>
      <c r="N2" s="343"/>
      <c r="O2" s="343"/>
      <c r="P2" s="157" t="s">
        <v>174</v>
      </c>
      <c r="Q2" s="157">
        <v>13</v>
      </c>
    </row>
    <row r="3" spans="1:31" ht="12.75" customHeight="1" x14ac:dyDescent="0.2">
      <c r="A3" s="335" t="s">
        <v>12</v>
      </c>
      <c r="B3" s="337" t="s">
        <v>17</v>
      </c>
      <c r="C3" s="344" t="s">
        <v>2</v>
      </c>
      <c r="D3" s="345"/>
      <c r="E3" s="345"/>
      <c r="F3" s="345"/>
      <c r="G3" s="345"/>
      <c r="H3" s="345"/>
      <c r="I3" s="345"/>
      <c r="J3" s="345"/>
      <c r="K3" s="345"/>
      <c r="L3" s="345"/>
      <c r="M3" s="345"/>
      <c r="N3" s="345"/>
      <c r="O3" s="346"/>
    </row>
    <row r="4" spans="1:31" ht="12.75" customHeight="1" x14ac:dyDescent="0.2">
      <c r="A4" s="336"/>
      <c r="B4" s="338"/>
      <c r="C4" s="347" t="s">
        <v>21</v>
      </c>
      <c r="D4" s="348"/>
      <c r="E4" s="348"/>
      <c r="F4" s="348"/>
      <c r="G4" s="348"/>
      <c r="H4" s="348"/>
      <c r="I4" s="348"/>
      <c r="J4" s="348"/>
      <c r="K4" s="348"/>
      <c r="L4" s="348"/>
      <c r="M4" s="348"/>
      <c r="N4" s="348"/>
      <c r="O4" s="349"/>
    </row>
    <row r="5" spans="1:31" ht="12.75" customHeight="1" thickBot="1" x14ac:dyDescent="0.25">
      <c r="A5" s="2" t="s">
        <v>14</v>
      </c>
      <c r="B5" s="3" t="s">
        <v>18</v>
      </c>
      <c r="C5" s="15">
        <v>0</v>
      </c>
      <c r="D5" s="16">
        <v>15</v>
      </c>
      <c r="E5" s="16">
        <v>30</v>
      </c>
      <c r="F5" s="16">
        <v>45</v>
      </c>
      <c r="G5" s="16">
        <v>60</v>
      </c>
      <c r="H5" s="16">
        <v>75</v>
      </c>
      <c r="I5" s="16">
        <v>90</v>
      </c>
      <c r="J5" s="16">
        <v>105</v>
      </c>
      <c r="K5" s="16">
        <v>120</v>
      </c>
      <c r="L5" s="16">
        <v>135</v>
      </c>
      <c r="M5" s="16">
        <v>150</v>
      </c>
      <c r="N5" s="16">
        <v>165</v>
      </c>
      <c r="O5" s="17">
        <v>180</v>
      </c>
      <c r="S5" s="14">
        <f>C5</f>
        <v>0</v>
      </c>
      <c r="T5" s="14">
        <f t="shared" ref="T5:AE5" si="0">D5</f>
        <v>15</v>
      </c>
      <c r="U5" s="14">
        <f t="shared" si="0"/>
        <v>30</v>
      </c>
      <c r="V5" s="14">
        <f t="shared" si="0"/>
        <v>45</v>
      </c>
      <c r="W5" s="14">
        <f t="shared" si="0"/>
        <v>60</v>
      </c>
      <c r="X5" s="14">
        <f t="shared" si="0"/>
        <v>75</v>
      </c>
      <c r="Y5" s="14">
        <f t="shared" si="0"/>
        <v>90</v>
      </c>
      <c r="Z5" s="14">
        <f t="shared" si="0"/>
        <v>105</v>
      </c>
      <c r="AA5" s="14">
        <f t="shared" si="0"/>
        <v>120</v>
      </c>
      <c r="AB5" s="14">
        <f t="shared" si="0"/>
        <v>135</v>
      </c>
      <c r="AC5" s="14">
        <f t="shared" si="0"/>
        <v>150</v>
      </c>
      <c r="AD5" s="14">
        <f t="shared" si="0"/>
        <v>165</v>
      </c>
      <c r="AE5" s="14">
        <f t="shared" si="0"/>
        <v>180</v>
      </c>
    </row>
    <row r="6" spans="1:31" ht="12.75" customHeight="1" x14ac:dyDescent="0.2">
      <c r="A6" s="6">
        <v>30</v>
      </c>
      <c r="B6" s="306">
        <v>0.20899999999999999</v>
      </c>
      <c r="C6" s="18">
        <v>-1.67E-3</v>
      </c>
      <c r="D6" s="19">
        <v>-9.7499999999999996E-4</v>
      </c>
      <c r="E6" s="19">
        <v>7.0500000000000001E-4</v>
      </c>
      <c r="F6" s="19">
        <v>2.4099999999999998E-3</v>
      </c>
      <c r="G6" s="19">
        <v>3.0899999999999999E-3</v>
      </c>
      <c r="H6" s="19">
        <v>2.2000000000000001E-3</v>
      </c>
      <c r="I6" s="19">
        <v>-1.03E-8</v>
      </c>
      <c r="J6" s="19">
        <v>-2.47E-3</v>
      </c>
      <c r="K6" s="19">
        <v>-4.0800000000000003E-3</v>
      </c>
      <c r="L6" s="19">
        <v>-4.3200000000000001E-3</v>
      </c>
      <c r="M6" s="19">
        <v>-3.4299999999999999E-3</v>
      </c>
      <c r="N6" s="19">
        <v>-2.3E-3</v>
      </c>
      <c r="O6" s="20">
        <v>-1.83E-3</v>
      </c>
      <c r="Q6" s="307">
        <f>A6</f>
        <v>30</v>
      </c>
      <c r="R6" s="308">
        <f>B6</f>
        <v>0.20899999999999999</v>
      </c>
      <c r="S6" s="309">
        <f>C6*1000/9.807/0.4536*0.3048^2</f>
        <v>-3.4876843718691382E-2</v>
      </c>
      <c r="T6" s="309">
        <f t="shared" ref="T6:AE21" si="1">D6*1000/9.807/0.4536*0.3048^2</f>
        <v>-2.0362229117200054E-2</v>
      </c>
      <c r="U6" s="309">
        <f t="shared" si="1"/>
        <v>1.4723457977052349E-2</v>
      </c>
      <c r="V6" s="309">
        <f t="shared" si="1"/>
        <v>5.0331253510207313E-2</v>
      </c>
      <c r="W6" s="309">
        <f t="shared" si="1"/>
        <v>6.4532603048357104E-2</v>
      </c>
      <c r="X6" s="309">
        <f t="shared" si="1"/>
        <v>4.5945542623425775E-2</v>
      </c>
      <c r="Y6" s="309">
        <f t="shared" si="1"/>
        <v>-2.1510867682785701E-7</v>
      </c>
      <c r="Z6" s="309">
        <f t="shared" si="1"/>
        <v>-5.1584313763573475E-2</v>
      </c>
      <c r="AA6" s="309">
        <f t="shared" si="1"/>
        <v>-8.5208097228898702E-2</v>
      </c>
      <c r="AB6" s="309">
        <f t="shared" si="1"/>
        <v>-9.0220338242363335E-2</v>
      </c>
      <c r="AC6" s="309">
        <f t="shared" si="1"/>
        <v>-7.1633277817431992E-2</v>
      </c>
      <c r="AD6" s="309">
        <f t="shared" si="1"/>
        <v>-4.8033976379036024E-2</v>
      </c>
      <c r="AE6" s="309">
        <f t="shared" si="1"/>
        <v>-3.8218337727667799E-2</v>
      </c>
    </row>
    <row r="7" spans="1:31" ht="12.75" customHeight="1" x14ac:dyDescent="0.2">
      <c r="A7" s="6">
        <v>28</v>
      </c>
      <c r="B7" s="306">
        <v>0.224</v>
      </c>
      <c r="C7" s="18">
        <v>-2.2599999999999999E-3</v>
      </c>
      <c r="D7" s="19">
        <v>-6.6699999999999995E-4</v>
      </c>
      <c r="E7" s="19">
        <v>3.2000000000000002E-3</v>
      </c>
      <c r="F7" s="19">
        <v>7.1399999999999996E-3</v>
      </c>
      <c r="G7" s="19">
        <v>8.4399999999999996E-3</v>
      </c>
      <c r="H7" s="19">
        <v>5.8199999999999997E-3</v>
      </c>
      <c r="I7" s="19">
        <v>-5.76E-8</v>
      </c>
      <c r="J7" s="19">
        <v>-6.2700000000000004E-3</v>
      </c>
      <c r="K7" s="19">
        <v>-1.01E-2</v>
      </c>
      <c r="L7" s="19">
        <v>-0.01</v>
      </c>
      <c r="M7" s="19">
        <v>-7.1500000000000001E-3</v>
      </c>
      <c r="N7" s="19">
        <v>-3.8300000000000001E-3</v>
      </c>
      <c r="O7" s="20">
        <v>-2.4099999999999998E-3</v>
      </c>
      <c r="Q7" s="307">
        <f t="shared" ref="Q7:R35" si="2">A7</f>
        <v>28</v>
      </c>
      <c r="R7" s="308">
        <f t="shared" si="2"/>
        <v>0.224</v>
      </c>
      <c r="S7" s="309">
        <f t="shared" ref="S7:AE35" si="3">C7*1000/9.807/0.4536*0.3048^2</f>
        <v>-4.719860287679193E-2</v>
      </c>
      <c r="T7" s="309">
        <f t="shared" si="1"/>
        <v>-1.3929853149920447E-2</v>
      </c>
      <c r="U7" s="309">
        <f t="shared" si="1"/>
        <v>6.68298801795284E-2</v>
      </c>
      <c r="V7" s="309">
        <f t="shared" si="1"/>
        <v>0.14911417015057274</v>
      </c>
      <c r="W7" s="309">
        <f t="shared" si="1"/>
        <v>0.1762638089735061</v>
      </c>
      <c r="X7" s="309">
        <f t="shared" si="1"/>
        <v>0.12154684457651725</v>
      </c>
      <c r="Y7" s="309">
        <f t="shared" si="1"/>
        <v>-1.2029378432315112E-6</v>
      </c>
      <c r="Z7" s="309">
        <f t="shared" si="1"/>
        <v>-0.13094479647676344</v>
      </c>
      <c r="AA7" s="309">
        <f t="shared" si="1"/>
        <v>-0.21093180931663646</v>
      </c>
      <c r="AB7" s="309">
        <f t="shared" si="1"/>
        <v>-0.20884337556102625</v>
      </c>
      <c r="AC7" s="309">
        <f t="shared" si="1"/>
        <v>-0.14932301352613375</v>
      </c>
      <c r="AD7" s="309">
        <f t="shared" si="1"/>
        <v>-7.9987012839873042E-2</v>
      </c>
      <c r="AE7" s="309">
        <f t="shared" si="1"/>
        <v>-5.0331253510207313E-2</v>
      </c>
    </row>
    <row r="8" spans="1:31" ht="12.75" customHeight="1" x14ac:dyDescent="0.2">
      <c r="A8" s="6">
        <v>26</v>
      </c>
      <c r="B8" s="306">
        <v>0.24199999999999999</v>
      </c>
      <c r="C8" s="18">
        <v>-3.1700000000000001E-3</v>
      </c>
      <c r="D8" s="19">
        <v>2.3900000000000002E-3</v>
      </c>
      <c r="E8" s="19">
        <v>1.6E-2</v>
      </c>
      <c r="F8" s="19">
        <v>2.9499999999999998E-2</v>
      </c>
      <c r="G8" s="19">
        <v>3.3399999999999999E-2</v>
      </c>
      <c r="H8" s="19">
        <v>2.2499999999999999E-2</v>
      </c>
      <c r="I8" s="19">
        <v>-4.9500000000000003E-7</v>
      </c>
      <c r="J8" s="19">
        <v>-2.35E-2</v>
      </c>
      <c r="K8" s="19">
        <v>-3.6600000000000001E-2</v>
      </c>
      <c r="L8" s="19">
        <v>-3.49E-2</v>
      </c>
      <c r="M8" s="19">
        <v>-2.2499999999999999E-2</v>
      </c>
      <c r="N8" s="19">
        <v>-9.0200000000000002E-3</v>
      </c>
      <c r="O8" s="20">
        <v>-3.3700000000000002E-3</v>
      </c>
      <c r="Q8" s="307">
        <f t="shared" si="2"/>
        <v>26</v>
      </c>
      <c r="R8" s="308">
        <f t="shared" si="2"/>
        <v>0.24199999999999999</v>
      </c>
      <c r="S8" s="309">
        <f t="shared" si="3"/>
        <v>-6.6203350052845319E-2</v>
      </c>
      <c r="T8" s="309">
        <f t="shared" si="1"/>
        <v>4.9913566759085273E-2</v>
      </c>
      <c r="U8" s="309">
        <f t="shared" si="1"/>
        <v>0.33414940089764195</v>
      </c>
      <c r="V8" s="309">
        <f t="shared" si="1"/>
        <v>0.61608795790502735</v>
      </c>
      <c r="W8" s="309">
        <f t="shared" si="1"/>
        <v>0.6975368743738275</v>
      </c>
      <c r="X8" s="309">
        <f t="shared" si="1"/>
        <v>0.46989759501230904</v>
      </c>
      <c r="Y8" s="309">
        <f t="shared" si="1"/>
        <v>-1.0337747090270798E-5</v>
      </c>
      <c r="Z8" s="309">
        <f t="shared" si="1"/>
        <v>-0.49078193256841157</v>
      </c>
      <c r="AA8" s="309">
        <f t="shared" si="1"/>
        <v>-0.76436675455335601</v>
      </c>
      <c r="AB8" s="309">
        <f t="shared" si="1"/>
        <v>-0.72886338070798151</v>
      </c>
      <c r="AC8" s="309">
        <f t="shared" si="1"/>
        <v>-0.46989759501230904</v>
      </c>
      <c r="AD8" s="309">
        <f t="shared" si="1"/>
        <v>-0.18837672475604564</v>
      </c>
      <c r="AE8" s="309">
        <f t="shared" si="1"/>
        <v>-7.0380217564065845E-2</v>
      </c>
    </row>
    <row r="9" spans="1:31" ht="12.75" customHeight="1" x14ac:dyDescent="0.2">
      <c r="A9" s="6">
        <v>24</v>
      </c>
      <c r="B9" s="306">
        <v>0.26200000000000001</v>
      </c>
      <c r="C9" s="18">
        <v>-4.8599999999999997E-3</v>
      </c>
      <c r="D9" s="19">
        <v>1.49E-2</v>
      </c>
      <c r="E9" s="19">
        <v>6.2799999999999995E-2</v>
      </c>
      <c r="F9" s="19">
        <v>0.11</v>
      </c>
      <c r="G9" s="19">
        <v>0.122</v>
      </c>
      <c r="H9" s="19">
        <v>8.0600000000000005E-2</v>
      </c>
      <c r="I9" s="19">
        <v>-4.1799999999999998E-6</v>
      </c>
      <c r="J9" s="19">
        <v>-8.0299999999999996E-2</v>
      </c>
      <c r="K9" s="19">
        <v>-0.121</v>
      </c>
      <c r="L9" s="19">
        <v>-0.111</v>
      </c>
      <c r="M9" s="19">
        <v>-6.7400000000000002E-2</v>
      </c>
      <c r="N9" s="19">
        <v>-2.3199999999999998E-2</v>
      </c>
      <c r="O9" s="20">
        <v>-5.1399999999999996E-3</v>
      </c>
      <c r="Q9" s="307">
        <f t="shared" si="2"/>
        <v>24</v>
      </c>
      <c r="R9" s="308">
        <f t="shared" si="2"/>
        <v>0.26200000000000001</v>
      </c>
      <c r="S9" s="309">
        <f t="shared" si="3"/>
        <v>-0.10149788052265872</v>
      </c>
      <c r="T9" s="309">
        <f t="shared" si="1"/>
        <v>0.31117662958592907</v>
      </c>
      <c r="U9" s="309">
        <f t="shared" si="1"/>
        <v>1.3115363985232447</v>
      </c>
      <c r="V9" s="309">
        <f t="shared" si="1"/>
        <v>2.2972771311712887</v>
      </c>
      <c r="W9" s="309">
        <f t="shared" si="1"/>
        <v>2.54788918184452</v>
      </c>
      <c r="X9" s="309">
        <f t="shared" si="1"/>
        <v>1.6832776070218716</v>
      </c>
      <c r="Y9" s="309">
        <f t="shared" si="1"/>
        <v>-8.7296530984508951E-5</v>
      </c>
      <c r="Z9" s="309">
        <f t="shared" si="1"/>
        <v>-1.6770123057550406</v>
      </c>
      <c r="AA9" s="309">
        <f t="shared" si="1"/>
        <v>-2.5270048442884172</v>
      </c>
      <c r="AB9" s="309">
        <f t="shared" si="1"/>
        <v>-2.318161468727391</v>
      </c>
      <c r="AC9" s="309">
        <f t="shared" si="1"/>
        <v>-1.4076043512813168</v>
      </c>
      <c r="AD9" s="309">
        <f t="shared" si="1"/>
        <v>-0.48451663130158079</v>
      </c>
      <c r="AE9" s="309">
        <f t="shared" si="1"/>
        <v>-0.10734549503836747</v>
      </c>
    </row>
    <row r="10" spans="1:31" ht="12.75" customHeight="1" x14ac:dyDescent="0.2">
      <c r="A10" s="6">
        <v>22</v>
      </c>
      <c r="B10" s="306">
        <v>0.28599999999999998</v>
      </c>
      <c r="C10" s="18">
        <v>-7.79E-3</v>
      </c>
      <c r="D10" s="19">
        <v>-5.1199999999999998E-4</v>
      </c>
      <c r="E10" s="19">
        <v>1.6899999999999998E-2</v>
      </c>
      <c r="F10" s="19">
        <v>3.3500000000000002E-2</v>
      </c>
      <c r="G10" s="19">
        <v>3.7600000000000001E-2</v>
      </c>
      <c r="H10" s="19">
        <v>2.4299999999999999E-2</v>
      </c>
      <c r="I10" s="19">
        <v>-3.1599999999999998E-6</v>
      </c>
      <c r="J10" s="19">
        <v>-2.1899999999999999E-2</v>
      </c>
      <c r="K10" s="19">
        <v>-3.1399999999999997E-2</v>
      </c>
      <c r="L10" s="19">
        <v>-2.8199999999999999E-2</v>
      </c>
      <c r="M10" s="19">
        <v>-1.9199999999999998E-2</v>
      </c>
      <c r="N10" s="19">
        <v>-1.1299999999999999E-2</v>
      </c>
      <c r="O10" s="20">
        <v>-8.3400000000000002E-3</v>
      </c>
      <c r="Q10" s="307">
        <f t="shared" si="2"/>
        <v>22</v>
      </c>
      <c r="R10" s="308">
        <f t="shared" si="2"/>
        <v>0.28599999999999998</v>
      </c>
      <c r="S10" s="309">
        <f t="shared" si="3"/>
        <v>-0.16268898956203942</v>
      </c>
      <c r="T10" s="309">
        <f t="shared" si="1"/>
        <v>-1.0692780828724543E-2</v>
      </c>
      <c r="U10" s="309">
        <f t="shared" si="1"/>
        <v>0.35294530469813429</v>
      </c>
      <c r="V10" s="309">
        <f t="shared" si="1"/>
        <v>0.69962530812943791</v>
      </c>
      <c r="W10" s="309">
        <f t="shared" si="1"/>
        <v>0.78525109210945865</v>
      </c>
      <c r="X10" s="309">
        <f t="shared" si="1"/>
        <v>0.50748940261329367</v>
      </c>
      <c r="Y10" s="309">
        <f t="shared" si="1"/>
        <v>-6.5994506677284268E-5</v>
      </c>
      <c r="Z10" s="309">
        <f t="shared" si="1"/>
        <v>-0.45736699247864737</v>
      </c>
      <c r="AA10" s="309">
        <f t="shared" si="1"/>
        <v>-0.65576819926162233</v>
      </c>
      <c r="AB10" s="309">
        <f t="shared" si="1"/>
        <v>-0.58893831908209393</v>
      </c>
      <c r="AC10" s="309">
        <f t="shared" si="1"/>
        <v>-0.4009792810771704</v>
      </c>
      <c r="AD10" s="309">
        <f t="shared" si="1"/>
        <v>-0.23599301438395962</v>
      </c>
      <c r="AE10" s="309">
        <f t="shared" si="1"/>
        <v>-0.17417537521789586</v>
      </c>
    </row>
    <row r="11" spans="1:31" ht="12.75" customHeight="1" x14ac:dyDescent="0.2">
      <c r="A11" s="6">
        <v>20</v>
      </c>
      <c r="B11" s="306">
        <v>0.314</v>
      </c>
      <c r="C11" s="18">
        <v>-1.37E-2</v>
      </c>
      <c r="D11" s="19">
        <v>-8.9800000000000001E-3</v>
      </c>
      <c r="E11" s="19">
        <v>2.0699999999999998E-3</v>
      </c>
      <c r="F11" s="19">
        <v>1.21E-2</v>
      </c>
      <c r="G11" s="19">
        <v>1.4800000000000001E-2</v>
      </c>
      <c r="H11" s="19">
        <v>9.0900000000000009E-3</v>
      </c>
      <c r="I11" s="19">
        <v>-3.05E-6</v>
      </c>
      <c r="J11" s="19">
        <v>-6.1999999999999998E-3</v>
      </c>
      <c r="K11" s="19">
        <v>-7.7000000000000002E-3</v>
      </c>
      <c r="L11" s="19">
        <v>-7.9600000000000001E-3</v>
      </c>
      <c r="M11" s="19">
        <v>-9.8700000000000003E-3</v>
      </c>
      <c r="N11" s="19">
        <v>-1.3100000000000001E-2</v>
      </c>
      <c r="O11" s="20">
        <v>-1.47E-2</v>
      </c>
      <c r="Q11" s="307">
        <f t="shared" si="2"/>
        <v>20</v>
      </c>
      <c r="R11" s="308">
        <f t="shared" si="2"/>
        <v>0.314</v>
      </c>
      <c r="S11" s="309">
        <f t="shared" si="3"/>
        <v>-0.286115424518606</v>
      </c>
      <c r="T11" s="309">
        <f t="shared" si="1"/>
        <v>-0.18754135125380156</v>
      </c>
      <c r="U11" s="309">
        <f t="shared" si="1"/>
        <v>4.3230578741132425E-2</v>
      </c>
      <c r="V11" s="309">
        <f t="shared" si="1"/>
        <v>0.25270048442884174</v>
      </c>
      <c r="W11" s="309">
        <f t="shared" si="1"/>
        <v>0.30908819583031877</v>
      </c>
      <c r="X11" s="309">
        <f t="shared" si="1"/>
        <v>0.1898386283849729</v>
      </c>
      <c r="Y11" s="309">
        <f t="shared" si="1"/>
        <v>-6.3697229546113004E-5</v>
      </c>
      <c r="Z11" s="309">
        <f t="shared" si="1"/>
        <v>-0.12948289284783626</v>
      </c>
      <c r="AA11" s="309">
        <f t="shared" si="1"/>
        <v>-0.16080939918199019</v>
      </c>
      <c r="AB11" s="309">
        <f t="shared" si="1"/>
        <v>-0.16623932694657687</v>
      </c>
      <c r="AC11" s="309">
        <f t="shared" si="1"/>
        <v>-0.20612841167873291</v>
      </c>
      <c r="AD11" s="309">
        <f t="shared" si="1"/>
        <v>-0.27358482198494438</v>
      </c>
      <c r="AE11" s="309">
        <f t="shared" si="1"/>
        <v>-0.30699976207470853</v>
      </c>
    </row>
    <row r="12" spans="1:31" ht="12.75" customHeight="1" x14ac:dyDescent="0.2">
      <c r="A12" s="6">
        <v>19</v>
      </c>
      <c r="B12" s="306">
        <v>0.33100000000000002</v>
      </c>
      <c r="C12" s="18">
        <v>-1.8599999999999998E-2</v>
      </c>
      <c r="D12" s="19">
        <v>-1.3599999999999999E-2</v>
      </c>
      <c r="E12" s="19">
        <v>-2.0200000000000001E-3</v>
      </c>
      <c r="F12" s="19">
        <v>8.4399999999999996E-3</v>
      </c>
      <c r="G12" s="19">
        <v>1.14E-2</v>
      </c>
      <c r="H12" s="19">
        <v>6.6800000000000002E-3</v>
      </c>
      <c r="I12" s="19">
        <v>-3.4199999999999999E-6</v>
      </c>
      <c r="J12" s="19">
        <v>-3.2499999999999999E-3</v>
      </c>
      <c r="K12" s="19">
        <v>-3.3300000000000001E-3</v>
      </c>
      <c r="L12" s="19">
        <v>-4.8700000000000002E-3</v>
      </c>
      <c r="M12" s="19">
        <v>-1.04E-2</v>
      </c>
      <c r="N12" s="19">
        <v>-1.7000000000000001E-2</v>
      </c>
      <c r="O12" s="20">
        <v>-1.9900000000000001E-2</v>
      </c>
      <c r="Q12" s="307">
        <f t="shared" si="2"/>
        <v>19</v>
      </c>
      <c r="R12" s="308">
        <f t="shared" si="2"/>
        <v>0.33100000000000002</v>
      </c>
      <c r="S12" s="309">
        <f t="shared" si="3"/>
        <v>-0.38844867854350873</v>
      </c>
      <c r="T12" s="309">
        <f t="shared" si="1"/>
        <v>-0.2840269907629957</v>
      </c>
      <c r="U12" s="309">
        <f t="shared" si="1"/>
        <v>-4.2186361863327297E-2</v>
      </c>
      <c r="V12" s="309">
        <f t="shared" si="1"/>
        <v>0.1762638089735061</v>
      </c>
      <c r="W12" s="309">
        <f t="shared" si="1"/>
        <v>0.23808144813956991</v>
      </c>
      <c r="X12" s="309">
        <f t="shared" si="1"/>
        <v>0.13950737487476553</v>
      </c>
      <c r="Y12" s="309">
        <f t="shared" si="1"/>
        <v>-7.1424434441870959E-5</v>
      </c>
      <c r="Z12" s="309">
        <f t="shared" si="1"/>
        <v>-6.7874097057333521E-2</v>
      </c>
      <c r="AA12" s="309">
        <f t="shared" si="1"/>
        <v>-6.9544844061821737E-2</v>
      </c>
      <c r="AB12" s="309">
        <f t="shared" si="1"/>
        <v>-0.10170672389821978</v>
      </c>
      <c r="AC12" s="309">
        <f t="shared" si="1"/>
        <v>-0.21719711058346725</v>
      </c>
      <c r="AD12" s="309">
        <f t="shared" si="1"/>
        <v>-0.35503373845374459</v>
      </c>
      <c r="AE12" s="309">
        <f t="shared" si="1"/>
        <v>-0.4155983173664422</v>
      </c>
    </row>
    <row r="13" spans="1:31" ht="12.75" customHeight="1" x14ac:dyDescent="0.2">
      <c r="A13" s="6">
        <v>18</v>
      </c>
      <c r="B13" s="306">
        <v>0.34899999999999998</v>
      </c>
      <c r="C13" s="18">
        <v>-2.5700000000000001E-2</v>
      </c>
      <c r="D13" s="19">
        <v>-1.9800000000000002E-2</v>
      </c>
      <c r="E13" s="19">
        <v>-5.9899999999999997E-3</v>
      </c>
      <c r="F13" s="19">
        <v>6.4099999999999999E-3</v>
      </c>
      <c r="G13" s="19">
        <v>1.01E-2</v>
      </c>
      <c r="H13" s="19">
        <v>5.7000000000000002E-3</v>
      </c>
      <c r="I13" s="19">
        <v>-3.8E-6</v>
      </c>
      <c r="J13" s="19">
        <v>-1.42E-3</v>
      </c>
      <c r="K13" s="19">
        <v>-5.9100000000000005E-4</v>
      </c>
      <c r="L13" s="19">
        <v>-3.7499999999999999E-3</v>
      </c>
      <c r="M13" s="19">
        <v>-1.3100000000000001E-2</v>
      </c>
      <c r="N13" s="19">
        <v>-2.3199999999999998E-2</v>
      </c>
      <c r="O13" s="20">
        <v>-2.75E-2</v>
      </c>
      <c r="Q13" s="307">
        <f t="shared" si="2"/>
        <v>18</v>
      </c>
      <c r="R13" s="308">
        <f t="shared" si="2"/>
        <v>0.34899999999999998</v>
      </c>
      <c r="S13" s="309">
        <f t="shared" si="3"/>
        <v>-0.53672747519183739</v>
      </c>
      <c r="T13" s="309">
        <f t="shared" si="1"/>
        <v>-0.41350988361083196</v>
      </c>
      <c r="U13" s="309">
        <f t="shared" si="1"/>
        <v>-0.12509718196105468</v>
      </c>
      <c r="V13" s="309">
        <f t="shared" si="1"/>
        <v>0.13386860373461781</v>
      </c>
      <c r="W13" s="309">
        <f t="shared" si="1"/>
        <v>0.21093180931663646</v>
      </c>
      <c r="X13" s="309">
        <f t="shared" si="1"/>
        <v>0.11904072406978496</v>
      </c>
      <c r="Y13" s="309">
        <f t="shared" si="1"/>
        <v>-7.9360482713189976E-5</v>
      </c>
      <c r="Z13" s="309">
        <f t="shared" si="1"/>
        <v>-2.9655759329665722E-2</v>
      </c>
      <c r="AA13" s="309">
        <f t="shared" si="1"/>
        <v>-1.2342643495656653E-2</v>
      </c>
      <c r="AB13" s="309">
        <f t="shared" si="1"/>
        <v>-7.8316265835384841E-2</v>
      </c>
      <c r="AC13" s="309">
        <f t="shared" si="1"/>
        <v>-0.27358482198494438</v>
      </c>
      <c r="AD13" s="309">
        <f t="shared" si="1"/>
        <v>-0.48451663130158079</v>
      </c>
      <c r="AE13" s="309">
        <f t="shared" si="1"/>
        <v>-0.57431928279282218</v>
      </c>
    </row>
    <row r="14" spans="1:31" ht="12.75" customHeight="1" x14ac:dyDescent="0.2">
      <c r="A14" s="6">
        <v>17</v>
      </c>
      <c r="B14" s="306">
        <v>0.37</v>
      </c>
      <c r="C14" s="18">
        <v>-3.5900000000000001E-2</v>
      </c>
      <c r="D14" s="19">
        <v>-2.8199999999999999E-2</v>
      </c>
      <c r="E14" s="19">
        <v>-1.0500000000000001E-2</v>
      </c>
      <c r="F14" s="19">
        <v>5.5900000000000004E-3</v>
      </c>
      <c r="G14" s="19">
        <v>1.0800000000000001E-2</v>
      </c>
      <c r="H14" s="19">
        <v>5.9199999999999999E-3</v>
      </c>
      <c r="I14" s="19">
        <v>-4.1799999999999998E-6</v>
      </c>
      <c r="J14" s="19">
        <v>-3.3199999999999999E-4</v>
      </c>
      <c r="K14" s="19">
        <v>9.4399999999999996E-4</v>
      </c>
      <c r="L14" s="19">
        <v>-4.8500000000000001E-3</v>
      </c>
      <c r="M14" s="19">
        <v>-1.8599999999999998E-2</v>
      </c>
      <c r="N14" s="19">
        <v>-3.2899999999999999E-2</v>
      </c>
      <c r="O14" s="20">
        <v>-3.8600000000000002E-2</v>
      </c>
      <c r="Q14" s="307">
        <f t="shared" si="2"/>
        <v>17</v>
      </c>
      <c r="R14" s="308">
        <f t="shared" si="2"/>
        <v>0.37</v>
      </c>
      <c r="S14" s="309">
        <f t="shared" si="3"/>
        <v>-0.74974771826408415</v>
      </c>
      <c r="T14" s="309">
        <f t="shared" si="1"/>
        <v>-0.58893831908209393</v>
      </c>
      <c r="U14" s="309">
        <f t="shared" si="1"/>
        <v>-0.21928554433907751</v>
      </c>
      <c r="V14" s="309">
        <f t="shared" si="1"/>
        <v>0.11674344693861367</v>
      </c>
      <c r="W14" s="309">
        <f t="shared" si="1"/>
        <v>0.22555084560590835</v>
      </c>
      <c r="X14" s="309">
        <f t="shared" si="1"/>
        <v>0.12363527833212754</v>
      </c>
      <c r="Y14" s="309">
        <f t="shared" si="1"/>
        <v>-8.7296530984508951E-5</v>
      </c>
      <c r="Z14" s="309">
        <f t="shared" si="1"/>
        <v>-6.9336000686260708E-3</v>
      </c>
      <c r="AA14" s="309">
        <f t="shared" si="1"/>
        <v>1.9714814652960874E-2</v>
      </c>
      <c r="AB14" s="309">
        <f t="shared" si="1"/>
        <v>-0.10128903714709772</v>
      </c>
      <c r="AC14" s="309">
        <f t="shared" si="1"/>
        <v>-0.38844867854350873</v>
      </c>
      <c r="AD14" s="309">
        <f t="shared" si="1"/>
        <v>-0.68709470559577623</v>
      </c>
      <c r="AE14" s="309">
        <f t="shared" si="1"/>
        <v>-0.80613542966556129</v>
      </c>
    </row>
    <row r="15" spans="1:31" ht="12.75" customHeight="1" x14ac:dyDescent="0.2">
      <c r="A15" s="6">
        <v>16</v>
      </c>
      <c r="B15" s="306">
        <v>0.39300000000000002</v>
      </c>
      <c r="C15" s="18">
        <v>-4.7800000000000002E-2</v>
      </c>
      <c r="D15" s="19">
        <v>-3.78E-2</v>
      </c>
      <c r="E15" s="19">
        <v>-1.44E-2</v>
      </c>
      <c r="F15" s="19">
        <v>7.0400000000000003E-3</v>
      </c>
      <c r="G15" s="19">
        <v>1.43E-2</v>
      </c>
      <c r="H15" s="19">
        <v>7.7600000000000004E-3</v>
      </c>
      <c r="I15" s="19">
        <v>-3.67E-6</v>
      </c>
      <c r="J15" s="19">
        <v>-2.4499999999999999E-4</v>
      </c>
      <c r="K15" s="19">
        <v>5.5099999999999995E-4</v>
      </c>
      <c r="L15" s="19">
        <v>-9.1400000000000006E-3</v>
      </c>
      <c r="M15" s="19">
        <v>-2.9399999999999999E-2</v>
      </c>
      <c r="N15" s="19">
        <v>-4.8800000000000003E-2</v>
      </c>
      <c r="O15" s="20">
        <v>-5.6399999999999999E-2</v>
      </c>
      <c r="Q15" s="307">
        <f t="shared" si="2"/>
        <v>16</v>
      </c>
      <c r="R15" s="308">
        <f t="shared" si="2"/>
        <v>0.39300000000000002</v>
      </c>
      <c r="S15" s="309">
        <f t="shared" si="3"/>
        <v>-0.99827133518170541</v>
      </c>
      <c r="T15" s="309">
        <f t="shared" si="1"/>
        <v>-0.78942795962067902</v>
      </c>
      <c r="U15" s="309">
        <f t="shared" si="1"/>
        <v>-0.3007344608078778</v>
      </c>
      <c r="V15" s="309">
        <f t="shared" si="1"/>
        <v>0.14702573639496247</v>
      </c>
      <c r="W15" s="309">
        <f t="shared" si="1"/>
        <v>0.2986460270522675</v>
      </c>
      <c r="X15" s="309">
        <f t="shared" si="1"/>
        <v>0.16206245943535638</v>
      </c>
      <c r="Y15" s="309">
        <f t="shared" si="1"/>
        <v>-7.664551883089663E-5</v>
      </c>
      <c r="Z15" s="309">
        <f t="shared" si="1"/>
        <v>-5.1166627012451428E-3</v>
      </c>
      <c r="AA15" s="309">
        <f t="shared" si="1"/>
        <v>1.1507269993412544E-2</v>
      </c>
      <c r="AB15" s="309">
        <f t="shared" si="1"/>
        <v>-0.19088284526277796</v>
      </c>
      <c r="AC15" s="309">
        <f t="shared" si="1"/>
        <v>-0.61399952414941705</v>
      </c>
      <c r="AD15" s="309">
        <f t="shared" si="1"/>
        <v>-1.0191556727378079</v>
      </c>
      <c r="AE15" s="309">
        <f t="shared" si="1"/>
        <v>-1.1778766381641879</v>
      </c>
    </row>
    <row r="16" spans="1:31" ht="12.75" customHeight="1" x14ac:dyDescent="0.2">
      <c r="A16" s="6">
        <v>15</v>
      </c>
      <c r="B16" s="306">
        <v>0.41899999999999998</v>
      </c>
      <c r="C16" s="18">
        <v>-4.8899999999999999E-2</v>
      </c>
      <c r="D16" s="19">
        <v>-3.73E-2</v>
      </c>
      <c r="E16" s="19">
        <v>-0.01</v>
      </c>
      <c r="F16" s="19">
        <v>1.5800000000000002E-2</v>
      </c>
      <c r="G16" s="19">
        <v>2.3699999999999999E-2</v>
      </c>
      <c r="H16" s="19">
        <v>1.2999999999999999E-2</v>
      </c>
      <c r="I16" s="19">
        <v>-2.2400000000000002E-6</v>
      </c>
      <c r="J16" s="19">
        <v>-2.47E-3</v>
      </c>
      <c r="K16" s="19">
        <v>-4.4099999999999999E-3</v>
      </c>
      <c r="L16" s="19">
        <v>-2.23E-2</v>
      </c>
      <c r="M16" s="19">
        <v>-5.45E-2</v>
      </c>
      <c r="N16" s="19">
        <v>-8.3000000000000004E-2</v>
      </c>
      <c r="O16" s="20">
        <v>-9.3899999999999997E-2</v>
      </c>
      <c r="Q16" s="307">
        <f t="shared" si="2"/>
        <v>15</v>
      </c>
      <c r="R16" s="308">
        <f t="shared" si="2"/>
        <v>0.41899999999999998</v>
      </c>
      <c r="S16" s="309">
        <f t="shared" si="3"/>
        <v>-1.0212441064934181</v>
      </c>
      <c r="T16" s="309">
        <f t="shared" si="1"/>
        <v>-0.77898579084262776</v>
      </c>
      <c r="U16" s="309">
        <f t="shared" si="1"/>
        <v>-0.20884337556102625</v>
      </c>
      <c r="V16" s="309">
        <f t="shared" si="1"/>
        <v>0.32997253338642146</v>
      </c>
      <c r="W16" s="309">
        <f t="shared" si="1"/>
        <v>0.49495880007963211</v>
      </c>
      <c r="X16" s="309">
        <f t="shared" si="1"/>
        <v>0.27149638822933408</v>
      </c>
      <c r="Y16" s="309">
        <f t="shared" si="1"/>
        <v>-4.6780916125669876E-5</v>
      </c>
      <c r="Z16" s="309">
        <f t="shared" si="1"/>
        <v>-5.1584313763573475E-2</v>
      </c>
      <c r="AA16" s="309">
        <f t="shared" si="1"/>
        <v>-9.2099928622412564E-2</v>
      </c>
      <c r="AB16" s="309">
        <f t="shared" si="1"/>
        <v>-0.46572072750108851</v>
      </c>
      <c r="AC16" s="309">
        <f t="shared" si="1"/>
        <v>-1.138196396807593</v>
      </c>
      <c r="AD16" s="309">
        <f t="shared" si="1"/>
        <v>-1.7334000171565176</v>
      </c>
      <c r="AE16" s="309">
        <f t="shared" si="1"/>
        <v>-1.9610392965180359</v>
      </c>
    </row>
    <row r="17" spans="1:31" ht="12.75" customHeight="1" x14ac:dyDescent="0.2">
      <c r="A17" s="6">
        <v>14</v>
      </c>
      <c r="B17" s="306">
        <v>0.44900000000000001</v>
      </c>
      <c r="C17" s="18">
        <v>3.0200000000000001E-2</v>
      </c>
      <c r="D17" s="19">
        <v>3.49E-2</v>
      </c>
      <c r="E17" s="19">
        <v>4.6399999999999997E-2</v>
      </c>
      <c r="F17" s="19">
        <v>5.6099999999999997E-2</v>
      </c>
      <c r="G17" s="19">
        <v>5.0799999999999998E-2</v>
      </c>
      <c r="H17" s="19">
        <v>2.6100000000000002E-2</v>
      </c>
      <c r="I17" s="19">
        <v>-1.3200000000000001E-5</v>
      </c>
      <c r="J17" s="19">
        <v>-1.0999999999999999E-2</v>
      </c>
      <c r="K17" s="19">
        <v>-2.4799999999999999E-2</v>
      </c>
      <c r="L17" s="19">
        <v>-6.9000000000000006E-2</v>
      </c>
      <c r="M17" s="19">
        <v>-0.13600000000000001</v>
      </c>
      <c r="N17" s="19">
        <v>-0.192</v>
      </c>
      <c r="O17" s="20">
        <v>-0.21299999999999999</v>
      </c>
      <c r="Q17" s="307">
        <f t="shared" si="2"/>
        <v>14</v>
      </c>
      <c r="R17" s="308">
        <f t="shared" si="2"/>
        <v>0.44900000000000001</v>
      </c>
      <c r="S17" s="309">
        <f t="shared" si="3"/>
        <v>0.63070699419429932</v>
      </c>
      <c r="T17" s="309">
        <f t="shared" si="1"/>
        <v>0.72886338070798151</v>
      </c>
      <c r="U17" s="309">
        <f t="shared" si="1"/>
        <v>0.96903326260316158</v>
      </c>
      <c r="V17" s="309">
        <f t="shared" si="1"/>
        <v>1.1716113368973569</v>
      </c>
      <c r="W17" s="309">
        <f t="shared" si="1"/>
        <v>1.0609243478500132</v>
      </c>
      <c r="X17" s="309">
        <f t="shared" si="1"/>
        <v>0.54508121021427847</v>
      </c>
      <c r="Y17" s="309">
        <f t="shared" si="1"/>
        <v>-2.7567325574055459E-4</v>
      </c>
      <c r="Z17" s="309">
        <f t="shared" si="1"/>
        <v>-0.22972771311712886</v>
      </c>
      <c r="AA17" s="309">
        <f t="shared" si="1"/>
        <v>-0.51793157139134505</v>
      </c>
      <c r="AB17" s="309">
        <f t="shared" si="1"/>
        <v>-1.4410192913710809</v>
      </c>
      <c r="AC17" s="309">
        <f t="shared" si="1"/>
        <v>-2.8402699076299567</v>
      </c>
      <c r="AD17" s="309">
        <f t="shared" si="1"/>
        <v>-4.0097928107717031</v>
      </c>
      <c r="AE17" s="309">
        <f t="shared" si="1"/>
        <v>-4.4483638994498582</v>
      </c>
    </row>
    <row r="18" spans="1:31" ht="12.75" customHeight="1" x14ac:dyDescent="0.2">
      <c r="A18" s="6">
        <v>13</v>
      </c>
      <c r="B18" s="306">
        <v>0.48299999999999998</v>
      </c>
      <c r="C18" s="18">
        <v>0.51800000000000002</v>
      </c>
      <c r="D18" s="19">
        <v>0.47599999999999998</v>
      </c>
      <c r="E18" s="19">
        <v>0.371</v>
      </c>
      <c r="F18" s="19">
        <v>0.251</v>
      </c>
      <c r="G18" s="19">
        <v>0.15</v>
      </c>
      <c r="H18" s="19">
        <v>6.5699999999999995E-2</v>
      </c>
      <c r="I18" s="19">
        <v>-1.7100000000000001E-4</v>
      </c>
      <c r="J18" s="19">
        <v>-4.2999999999999997E-2</v>
      </c>
      <c r="K18" s="19">
        <v>-0.113</v>
      </c>
      <c r="L18" s="19">
        <v>-0.26800000000000002</v>
      </c>
      <c r="M18" s="19">
        <v>-0.47699999999999998</v>
      </c>
      <c r="N18" s="19">
        <v>-0.64500000000000002</v>
      </c>
      <c r="O18" s="20">
        <v>-0.70599999999999996</v>
      </c>
      <c r="Q18" s="307">
        <f t="shared" si="2"/>
        <v>13</v>
      </c>
      <c r="R18" s="308">
        <f t="shared" si="2"/>
        <v>0.48299999999999998</v>
      </c>
      <c r="S18" s="309">
        <f t="shared" si="3"/>
        <v>10.818086854061159</v>
      </c>
      <c r="T18" s="309">
        <f t="shared" si="1"/>
        <v>9.9409446767048468</v>
      </c>
      <c r="U18" s="309">
        <f t="shared" si="1"/>
        <v>7.7480892333140723</v>
      </c>
      <c r="V18" s="309">
        <f t="shared" si="1"/>
        <v>5.2419687265817583</v>
      </c>
      <c r="W18" s="309">
        <f t="shared" si="1"/>
        <v>3.1326506334153934</v>
      </c>
      <c r="X18" s="309">
        <f t="shared" si="1"/>
        <v>1.3721009774359421</v>
      </c>
      <c r="Y18" s="309">
        <f t="shared" si="1"/>
        <v>-3.5712217220935489E-3</v>
      </c>
      <c r="Z18" s="309">
        <f t="shared" si="1"/>
        <v>-0.89802651491241281</v>
      </c>
      <c r="AA18" s="309">
        <f t="shared" si="1"/>
        <v>-2.3599301438395965</v>
      </c>
      <c r="AB18" s="309">
        <f t="shared" si="1"/>
        <v>-5.5970024650355032</v>
      </c>
      <c r="AC18" s="309">
        <f t="shared" si="1"/>
        <v>-9.9618290142609514</v>
      </c>
      <c r="AD18" s="309">
        <f t="shared" si="1"/>
        <v>-13.470397723686188</v>
      </c>
      <c r="AE18" s="309">
        <f t="shared" si="1"/>
        <v>-14.744342314608453</v>
      </c>
    </row>
    <row r="19" spans="1:31" ht="12.75" customHeight="1" x14ac:dyDescent="0.2">
      <c r="A19" s="6">
        <v>12</v>
      </c>
      <c r="B19" s="306">
        <v>0.52400000000000002</v>
      </c>
      <c r="C19" s="18">
        <v>2.73</v>
      </c>
      <c r="D19" s="19">
        <v>2.5</v>
      </c>
      <c r="E19" s="19">
        <v>1.92</v>
      </c>
      <c r="F19" s="19">
        <v>1.2</v>
      </c>
      <c r="G19" s="19">
        <v>0.60299999999999998</v>
      </c>
      <c r="H19" s="19">
        <v>0.22800000000000001</v>
      </c>
      <c r="I19" s="19">
        <v>-1.2800000000000001E-3</v>
      </c>
      <c r="J19" s="19">
        <v>-0.192</v>
      </c>
      <c r="K19" s="19">
        <v>-0.53800000000000003</v>
      </c>
      <c r="L19" s="19">
        <v>-1.19</v>
      </c>
      <c r="M19" s="19">
        <v>-1.97</v>
      </c>
      <c r="N19" s="19">
        <v>-2.5499999999999998</v>
      </c>
      <c r="O19" s="20">
        <v>-2.76</v>
      </c>
      <c r="Q19" s="307">
        <f t="shared" si="2"/>
        <v>12</v>
      </c>
      <c r="R19" s="308">
        <f t="shared" si="2"/>
        <v>0.52400000000000002</v>
      </c>
      <c r="S19" s="309">
        <f t="shared" si="3"/>
        <v>57.01424152816017</v>
      </c>
      <c r="T19" s="309">
        <f t="shared" si="1"/>
        <v>52.210843890256555</v>
      </c>
      <c r="U19" s="309">
        <f t="shared" si="1"/>
        <v>40.097928107717038</v>
      </c>
      <c r="V19" s="309">
        <f t="shared" si="1"/>
        <v>25.061205067323147</v>
      </c>
      <c r="W19" s="309">
        <f t="shared" si="1"/>
        <v>12.593255546329882</v>
      </c>
      <c r="X19" s="309">
        <f t="shared" si="1"/>
        <v>4.7616289627913977</v>
      </c>
      <c r="Y19" s="309">
        <f t="shared" si="1"/>
        <v>-2.6731952071811359E-2</v>
      </c>
      <c r="Z19" s="309">
        <f t="shared" si="1"/>
        <v>-4.0097928107717031</v>
      </c>
      <c r="AA19" s="309">
        <f t="shared" si="1"/>
        <v>-11.23577360518321</v>
      </c>
      <c r="AB19" s="309">
        <f t="shared" si="1"/>
        <v>-24.85236169176212</v>
      </c>
      <c r="AC19" s="309">
        <f t="shared" si="1"/>
        <v>-41.142144985522172</v>
      </c>
      <c r="AD19" s="309">
        <f t="shared" si="1"/>
        <v>-53.255060768061689</v>
      </c>
      <c r="AE19" s="309">
        <f t="shared" si="1"/>
        <v>-57.640771654843235</v>
      </c>
    </row>
    <row r="20" spans="1:31" ht="12.75" customHeight="1" x14ac:dyDescent="0.2">
      <c r="A20" s="6">
        <v>11</v>
      </c>
      <c r="B20" s="306">
        <v>0.57099999999999995</v>
      </c>
      <c r="C20" s="18">
        <v>10.5</v>
      </c>
      <c r="D20" s="19">
        <v>9.83</v>
      </c>
      <c r="E20" s="19">
        <v>8.0299999999999994</v>
      </c>
      <c r="F20" s="19">
        <v>5.47</v>
      </c>
      <c r="G20" s="19">
        <v>3</v>
      </c>
      <c r="H20" s="19">
        <v>1.21</v>
      </c>
      <c r="I20" s="19">
        <v>-2.7299999999999998E-3</v>
      </c>
      <c r="J20" s="19">
        <v>-1.1100000000000001</v>
      </c>
      <c r="K20" s="19">
        <v>-2.79</v>
      </c>
      <c r="L20" s="19">
        <v>-5.25</v>
      </c>
      <c r="M20" s="19">
        <v>-7.73</v>
      </c>
      <c r="N20" s="19">
        <v>-9.33</v>
      </c>
      <c r="O20" s="20">
        <v>-9.84</v>
      </c>
      <c r="Q20" s="307">
        <f t="shared" si="2"/>
        <v>11</v>
      </c>
      <c r="R20" s="308">
        <f t="shared" si="2"/>
        <v>0.57099999999999995</v>
      </c>
      <c r="S20" s="309">
        <f t="shared" si="3"/>
        <v>219.28554433907752</v>
      </c>
      <c r="T20" s="309">
        <f t="shared" si="1"/>
        <v>205.29303817648878</v>
      </c>
      <c r="U20" s="309">
        <f t="shared" si="1"/>
        <v>167.70123057550407</v>
      </c>
      <c r="V20" s="309">
        <f t="shared" si="1"/>
        <v>114.23732643188134</v>
      </c>
      <c r="W20" s="309">
        <f t="shared" si="1"/>
        <v>62.653012668307873</v>
      </c>
      <c r="X20" s="309">
        <f t="shared" si="1"/>
        <v>25.270048442884171</v>
      </c>
      <c r="Y20" s="309">
        <f t="shared" si="1"/>
        <v>-5.7014241528160155E-2</v>
      </c>
      <c r="Z20" s="309">
        <f t="shared" si="1"/>
        <v>-23.181614687273907</v>
      </c>
      <c r="AA20" s="309">
        <f t="shared" si="1"/>
        <v>-58.267301781526321</v>
      </c>
      <c r="AB20" s="309">
        <f t="shared" si="1"/>
        <v>-109.64277216953876</v>
      </c>
      <c r="AC20" s="309">
        <f t="shared" si="1"/>
        <v>-161.43592930867328</v>
      </c>
      <c r="AD20" s="309">
        <f t="shared" si="1"/>
        <v>-194.85086939843745</v>
      </c>
      <c r="AE20" s="309">
        <f t="shared" si="1"/>
        <v>-205.50188155204981</v>
      </c>
    </row>
    <row r="21" spans="1:31" ht="12.75" customHeight="1" x14ac:dyDescent="0.2">
      <c r="A21" s="6">
        <v>10</v>
      </c>
      <c r="B21" s="306">
        <v>0.628</v>
      </c>
      <c r="C21" s="18">
        <v>30.8</v>
      </c>
      <c r="D21" s="19">
        <v>29.2</v>
      </c>
      <c r="E21" s="19">
        <v>25.7</v>
      </c>
      <c r="F21" s="19">
        <v>22.1</v>
      </c>
      <c r="G21" s="19">
        <v>18.3</v>
      </c>
      <c r="H21" s="19">
        <v>11.3</v>
      </c>
      <c r="I21" s="19">
        <v>0.155</v>
      </c>
      <c r="J21" s="19">
        <v>-10.4</v>
      </c>
      <c r="K21" s="19">
        <v>-16.600000000000001</v>
      </c>
      <c r="L21" s="19">
        <v>-20.399999999999999</v>
      </c>
      <c r="M21" s="19">
        <v>-24.2</v>
      </c>
      <c r="N21" s="19">
        <v>-27.4</v>
      </c>
      <c r="O21" s="20">
        <v>-28.7</v>
      </c>
      <c r="Q21" s="307">
        <f t="shared" si="2"/>
        <v>10</v>
      </c>
      <c r="R21" s="308">
        <f t="shared" si="2"/>
        <v>0.628</v>
      </c>
      <c r="S21" s="309">
        <f t="shared" si="3"/>
        <v>643.23759672796075</v>
      </c>
      <c r="T21" s="309">
        <f t="shared" si="1"/>
        <v>609.82265663819646</v>
      </c>
      <c r="U21" s="309">
        <f t="shared" si="1"/>
        <v>536.72747519183736</v>
      </c>
      <c r="V21" s="309">
        <f t="shared" si="1"/>
        <v>461.54385998986794</v>
      </c>
      <c r="W21" s="309">
        <f t="shared" si="1"/>
        <v>382.18337727667796</v>
      </c>
      <c r="X21" s="309">
        <f t="shared" si="1"/>
        <v>235.99301438395963</v>
      </c>
      <c r="Y21" s="309">
        <f t="shared" si="1"/>
        <v>3.2370723211959067</v>
      </c>
      <c r="Z21" s="309">
        <f t="shared" si="1"/>
        <v>-217.19711058346726</v>
      </c>
      <c r="AA21" s="309">
        <f t="shared" si="1"/>
        <v>-346.68000343130353</v>
      </c>
      <c r="AB21" s="309">
        <f t="shared" si="1"/>
        <v>-426.04048614449351</v>
      </c>
      <c r="AC21" s="309">
        <f t="shared" si="1"/>
        <v>-505.40096885768344</v>
      </c>
      <c r="AD21" s="309">
        <f t="shared" si="1"/>
        <v>-572.2308490372119</v>
      </c>
      <c r="AE21" s="309">
        <f t="shared" si="1"/>
        <v>-599.38048786014519</v>
      </c>
    </row>
    <row r="22" spans="1:31" ht="12.75" customHeight="1" x14ac:dyDescent="0.2">
      <c r="A22" s="6">
        <v>9.5</v>
      </c>
      <c r="B22" s="306">
        <v>0.66100000000000003</v>
      </c>
      <c r="C22" s="18">
        <v>72.5</v>
      </c>
      <c r="D22" s="19">
        <v>63.2</v>
      </c>
      <c r="E22" s="19">
        <v>45.8</v>
      </c>
      <c r="F22" s="19">
        <v>42.4</v>
      </c>
      <c r="G22" s="19">
        <v>55.9</v>
      </c>
      <c r="H22" s="19">
        <v>49.7</v>
      </c>
      <c r="I22" s="19">
        <v>0.88900000000000001</v>
      </c>
      <c r="J22" s="19">
        <v>-45.5</v>
      </c>
      <c r="K22" s="19">
        <v>-49.6</v>
      </c>
      <c r="L22" s="19">
        <v>-37.9</v>
      </c>
      <c r="M22" s="19">
        <v>-44.3</v>
      </c>
      <c r="N22" s="19">
        <v>-63.1</v>
      </c>
      <c r="O22" s="20">
        <v>-72.599999999999994</v>
      </c>
      <c r="Q22" s="307">
        <f t="shared" si="2"/>
        <v>9.5</v>
      </c>
      <c r="R22" s="308">
        <f t="shared" si="2"/>
        <v>0.66100000000000003</v>
      </c>
      <c r="S22" s="309">
        <f t="shared" si="3"/>
        <v>1514.1144728174402</v>
      </c>
      <c r="T22" s="309">
        <f t="shared" si="3"/>
        <v>1319.8901335456858</v>
      </c>
      <c r="U22" s="309">
        <f t="shared" si="3"/>
        <v>956.50266006950017</v>
      </c>
      <c r="V22" s="309">
        <f t="shared" si="3"/>
        <v>885.49591237875109</v>
      </c>
      <c r="W22" s="309">
        <f t="shared" si="3"/>
        <v>1167.4344693861367</v>
      </c>
      <c r="X22" s="309">
        <f t="shared" si="3"/>
        <v>1037.9515765383003</v>
      </c>
      <c r="Y22" s="309">
        <f t="shared" si="3"/>
        <v>18.566176087375233</v>
      </c>
      <c r="Z22" s="309">
        <f t="shared" si="3"/>
        <v>-950.23735880266929</v>
      </c>
      <c r="AA22" s="309">
        <f t="shared" si="3"/>
        <v>-1035.8631427826901</v>
      </c>
      <c r="AB22" s="309">
        <f t="shared" si="3"/>
        <v>-791.51639337628944</v>
      </c>
      <c r="AC22" s="309">
        <f t="shared" si="3"/>
        <v>-925.17615373534613</v>
      </c>
      <c r="AD22" s="309">
        <f t="shared" si="3"/>
        <v>-1317.8016997900754</v>
      </c>
      <c r="AE22" s="309">
        <f t="shared" si="3"/>
        <v>-1516.2029065730505</v>
      </c>
    </row>
    <row r="23" spans="1:31" ht="12.75" customHeight="1" x14ac:dyDescent="0.2">
      <c r="A23" s="6">
        <v>9</v>
      </c>
      <c r="B23" s="306">
        <v>0.69799999999999995</v>
      </c>
      <c r="C23" s="18">
        <v>196</v>
      </c>
      <c r="D23" s="19">
        <v>165</v>
      </c>
      <c r="E23" s="19">
        <v>99.5</v>
      </c>
      <c r="F23" s="19">
        <v>69.400000000000006</v>
      </c>
      <c r="G23" s="19">
        <v>113</v>
      </c>
      <c r="H23" s="19">
        <v>126</v>
      </c>
      <c r="I23" s="19">
        <v>-5.2999999999999999E-2</v>
      </c>
      <c r="J23" s="19">
        <v>-122</v>
      </c>
      <c r="K23" s="19">
        <v>-105</v>
      </c>
      <c r="L23" s="19">
        <v>-64.099999999999994</v>
      </c>
      <c r="M23" s="19">
        <v>-104</v>
      </c>
      <c r="N23" s="19">
        <v>-178</v>
      </c>
      <c r="O23" s="20">
        <v>-212</v>
      </c>
      <c r="Q23" s="307">
        <f t="shared" si="2"/>
        <v>9</v>
      </c>
      <c r="R23" s="308">
        <f t="shared" si="2"/>
        <v>0.69799999999999995</v>
      </c>
      <c r="S23" s="309">
        <f t="shared" si="3"/>
        <v>4093.330160996114</v>
      </c>
      <c r="T23" s="309">
        <f t="shared" si="3"/>
        <v>3445.9156967569329</v>
      </c>
      <c r="U23" s="309">
        <f t="shared" si="3"/>
        <v>2077.9915868322109</v>
      </c>
      <c r="V23" s="309">
        <f t="shared" si="3"/>
        <v>1449.373026393522</v>
      </c>
      <c r="W23" s="309">
        <f t="shared" si="3"/>
        <v>2359.930143839596</v>
      </c>
      <c r="X23" s="309">
        <f t="shared" si="3"/>
        <v>2631.4265320689306</v>
      </c>
      <c r="Y23" s="309">
        <f t="shared" si="3"/>
        <v>-1.1068698904734389</v>
      </c>
      <c r="Z23" s="309">
        <f t="shared" si="3"/>
        <v>-2547.88918184452</v>
      </c>
      <c r="AA23" s="309">
        <f t="shared" si="3"/>
        <v>-2192.8554433907752</v>
      </c>
      <c r="AB23" s="309">
        <f t="shared" si="3"/>
        <v>-1338.686037346178</v>
      </c>
      <c r="AC23" s="309">
        <f t="shared" si="3"/>
        <v>-2171.9711058346729</v>
      </c>
      <c r="AD23" s="309">
        <f t="shared" si="3"/>
        <v>-3717.412084986267</v>
      </c>
      <c r="AE23" s="309">
        <f t="shared" si="3"/>
        <v>-4427.479561893756</v>
      </c>
    </row>
    <row r="24" spans="1:31" ht="12.75" customHeight="1" x14ac:dyDescent="0.2">
      <c r="A24" s="6">
        <v>8.5</v>
      </c>
      <c r="B24" s="306">
        <v>0.73899999999999999</v>
      </c>
      <c r="C24" s="18">
        <v>154</v>
      </c>
      <c r="D24" s="19">
        <v>139</v>
      </c>
      <c r="E24" s="19">
        <v>109</v>
      </c>
      <c r="F24" s="19">
        <v>96.9</v>
      </c>
      <c r="G24" s="19">
        <v>110</v>
      </c>
      <c r="H24" s="19">
        <v>89.7</v>
      </c>
      <c r="I24" s="19">
        <v>-5.98</v>
      </c>
      <c r="J24" s="19">
        <v>-95.3</v>
      </c>
      <c r="K24" s="19">
        <v>-106</v>
      </c>
      <c r="L24" s="19">
        <v>-92.4</v>
      </c>
      <c r="M24" s="19">
        <v>-113</v>
      </c>
      <c r="N24" s="19">
        <v>-152</v>
      </c>
      <c r="O24" s="20">
        <v>-170</v>
      </c>
      <c r="Q24" s="307">
        <f t="shared" si="2"/>
        <v>8.5</v>
      </c>
      <c r="R24" s="308">
        <f t="shared" si="2"/>
        <v>0.73899999999999999</v>
      </c>
      <c r="S24" s="309">
        <f t="shared" si="3"/>
        <v>3216.1879836398034</v>
      </c>
      <c r="T24" s="309">
        <f t="shared" si="3"/>
        <v>2902.9229202982647</v>
      </c>
      <c r="U24" s="309">
        <f t="shared" si="3"/>
        <v>2276.3927936151858</v>
      </c>
      <c r="V24" s="309">
        <f t="shared" si="3"/>
        <v>2023.6923091863441</v>
      </c>
      <c r="W24" s="309">
        <f t="shared" si="3"/>
        <v>2297.2771311712886</v>
      </c>
      <c r="X24" s="309">
        <f t="shared" si="3"/>
        <v>1873.3250787824056</v>
      </c>
      <c r="Y24" s="309">
        <f t="shared" si="3"/>
        <v>-124.88833858549367</v>
      </c>
      <c r="Z24" s="309">
        <f t="shared" si="3"/>
        <v>-1990.2773690965796</v>
      </c>
      <c r="AA24" s="309">
        <f t="shared" si="3"/>
        <v>-2213.739780946878</v>
      </c>
      <c r="AB24" s="309">
        <f t="shared" si="3"/>
        <v>-1929.7127901838824</v>
      </c>
      <c r="AC24" s="309">
        <f t="shared" si="3"/>
        <v>-2359.930143839596</v>
      </c>
      <c r="AD24" s="309">
        <f t="shared" si="3"/>
        <v>-3174.4193085275988</v>
      </c>
      <c r="AE24" s="309">
        <f t="shared" si="3"/>
        <v>-3550.3373845374458</v>
      </c>
    </row>
    <row r="25" spans="1:31" ht="12.75" customHeight="1" x14ac:dyDescent="0.2">
      <c r="A25" s="6">
        <v>8</v>
      </c>
      <c r="B25" s="306">
        <v>0.78500000000000003</v>
      </c>
      <c r="C25" s="18">
        <v>157</v>
      </c>
      <c r="D25" s="19">
        <v>136</v>
      </c>
      <c r="E25" s="19">
        <v>103</v>
      </c>
      <c r="F25" s="19">
        <v>125</v>
      </c>
      <c r="G25" s="19">
        <v>161</v>
      </c>
      <c r="H25" s="19">
        <v>84.6</v>
      </c>
      <c r="I25" s="19">
        <v>-23.2</v>
      </c>
      <c r="J25" s="19">
        <v>-91.9</v>
      </c>
      <c r="K25" s="19">
        <v>-141</v>
      </c>
      <c r="L25" s="19">
        <v>-125</v>
      </c>
      <c r="M25" s="19">
        <v>-114</v>
      </c>
      <c r="N25" s="19">
        <v>-141</v>
      </c>
      <c r="O25" s="20">
        <v>-159</v>
      </c>
      <c r="Q25" s="307">
        <f t="shared" si="2"/>
        <v>8</v>
      </c>
      <c r="R25" s="308">
        <f t="shared" si="2"/>
        <v>0.78500000000000003</v>
      </c>
      <c r="S25" s="309">
        <f t="shared" si="3"/>
        <v>3278.8409963081117</v>
      </c>
      <c r="T25" s="309">
        <f t="shared" si="3"/>
        <v>2840.2699076299564</v>
      </c>
      <c r="U25" s="309">
        <f t="shared" si="3"/>
        <v>2151.0867682785702</v>
      </c>
      <c r="V25" s="309">
        <f t="shared" si="3"/>
        <v>2610.5421945128282</v>
      </c>
      <c r="W25" s="309">
        <f t="shared" si="3"/>
        <v>3362.3783465325218</v>
      </c>
      <c r="X25" s="309">
        <f t="shared" si="3"/>
        <v>1766.8149572462819</v>
      </c>
      <c r="Y25" s="309">
        <f t="shared" si="3"/>
        <v>-484.51663130158079</v>
      </c>
      <c r="Z25" s="309">
        <f t="shared" si="3"/>
        <v>-1919.2706214058312</v>
      </c>
      <c r="AA25" s="309">
        <f t="shared" si="3"/>
        <v>-2944.6915954104697</v>
      </c>
      <c r="AB25" s="309">
        <f t="shared" si="3"/>
        <v>-2610.5421945128282</v>
      </c>
      <c r="AC25" s="309">
        <f t="shared" si="3"/>
        <v>-2380.8144813956992</v>
      </c>
      <c r="AD25" s="309">
        <f t="shared" si="3"/>
        <v>-2944.6915954104697</v>
      </c>
      <c r="AE25" s="309">
        <f t="shared" si="3"/>
        <v>-3320.6096714203168</v>
      </c>
    </row>
    <row r="26" spans="1:31" ht="12.75" customHeight="1" x14ac:dyDescent="0.2">
      <c r="A26" s="6">
        <v>7.5</v>
      </c>
      <c r="B26" s="306">
        <v>0.83799999999999997</v>
      </c>
      <c r="C26" s="18">
        <v>258</v>
      </c>
      <c r="D26" s="19">
        <v>229</v>
      </c>
      <c r="E26" s="19">
        <v>151</v>
      </c>
      <c r="F26" s="19">
        <v>101</v>
      </c>
      <c r="G26" s="19">
        <v>129</v>
      </c>
      <c r="H26" s="19">
        <v>22.5</v>
      </c>
      <c r="I26" s="19">
        <v>-60.6</v>
      </c>
      <c r="J26" s="19">
        <v>-28</v>
      </c>
      <c r="K26" s="19">
        <v>-104</v>
      </c>
      <c r="L26" s="19">
        <v>-138</v>
      </c>
      <c r="M26" s="19">
        <v>-156</v>
      </c>
      <c r="N26" s="19">
        <v>-187</v>
      </c>
      <c r="O26" s="20">
        <v>-202</v>
      </c>
      <c r="Q26" s="307">
        <f t="shared" si="2"/>
        <v>7.5</v>
      </c>
      <c r="R26" s="308">
        <f t="shared" si="2"/>
        <v>0.83799999999999997</v>
      </c>
      <c r="S26" s="309">
        <f t="shared" si="3"/>
        <v>5388.1590894744759</v>
      </c>
      <c r="T26" s="309">
        <f t="shared" si="3"/>
        <v>4782.5133003475003</v>
      </c>
      <c r="U26" s="309">
        <f t="shared" si="3"/>
        <v>3153.534970971496</v>
      </c>
      <c r="V26" s="309">
        <f t="shared" si="3"/>
        <v>2109.3180931663646</v>
      </c>
      <c r="W26" s="309">
        <f t="shared" si="3"/>
        <v>2694.0795447372379</v>
      </c>
      <c r="X26" s="309">
        <f t="shared" si="3"/>
        <v>469.89759501230895</v>
      </c>
      <c r="Y26" s="309">
        <f t="shared" si="3"/>
        <v>-1265.5908558998187</v>
      </c>
      <c r="Z26" s="309">
        <f t="shared" si="3"/>
        <v>-584.76145157087342</v>
      </c>
      <c r="AA26" s="309">
        <f t="shared" si="3"/>
        <v>-2171.9711058346729</v>
      </c>
      <c r="AB26" s="309">
        <f t="shared" si="3"/>
        <v>-2882.0385827421619</v>
      </c>
      <c r="AC26" s="309">
        <f t="shared" si="3"/>
        <v>-3257.9566587520089</v>
      </c>
      <c r="AD26" s="309">
        <f t="shared" si="3"/>
        <v>-3905.3711229911905</v>
      </c>
      <c r="AE26" s="309">
        <f t="shared" si="3"/>
        <v>-4218.6361863327293</v>
      </c>
    </row>
    <row r="27" spans="1:31" ht="12.75" customHeight="1" x14ac:dyDescent="0.2">
      <c r="A27" s="6">
        <v>7</v>
      </c>
      <c r="B27" s="306">
        <v>0.89800000000000002</v>
      </c>
      <c r="C27" s="18">
        <v>207</v>
      </c>
      <c r="D27" s="19">
        <v>241</v>
      </c>
      <c r="E27" s="19">
        <v>259</v>
      </c>
      <c r="F27" s="19">
        <v>150</v>
      </c>
      <c r="G27" s="19">
        <v>62</v>
      </c>
      <c r="H27" s="19">
        <v>-37.700000000000003</v>
      </c>
      <c r="I27" s="19">
        <v>-65.8</v>
      </c>
      <c r="J27" s="19">
        <v>26.3</v>
      </c>
      <c r="K27" s="19">
        <v>-68.099999999999994</v>
      </c>
      <c r="L27" s="19">
        <v>-169</v>
      </c>
      <c r="M27" s="19">
        <v>-219</v>
      </c>
      <c r="N27" s="19">
        <v>-193</v>
      </c>
      <c r="O27" s="20">
        <v>-167</v>
      </c>
      <c r="Q27" s="307">
        <f t="shared" si="2"/>
        <v>7</v>
      </c>
      <c r="R27" s="308">
        <f t="shared" si="2"/>
        <v>0.89800000000000002</v>
      </c>
      <c r="S27" s="309">
        <f t="shared" si="3"/>
        <v>4323.0578741132431</v>
      </c>
      <c r="T27" s="309">
        <f t="shared" si="3"/>
        <v>5033.1253510207316</v>
      </c>
      <c r="U27" s="309">
        <f t="shared" si="3"/>
        <v>5409.0434270305786</v>
      </c>
      <c r="V27" s="309">
        <f t="shared" si="3"/>
        <v>3132.6506334153933</v>
      </c>
      <c r="W27" s="309">
        <f t="shared" si="3"/>
        <v>1294.8289284783625</v>
      </c>
      <c r="X27" s="309">
        <f t="shared" si="3"/>
        <v>-787.33952586506882</v>
      </c>
      <c r="Y27" s="309">
        <f t="shared" si="3"/>
        <v>-1374.1894111915524</v>
      </c>
      <c r="Z27" s="309">
        <f t="shared" si="3"/>
        <v>549.25807772549899</v>
      </c>
      <c r="AA27" s="309">
        <f t="shared" si="3"/>
        <v>-1422.2233875705886</v>
      </c>
      <c r="AB27" s="309">
        <f t="shared" si="3"/>
        <v>-3529.453046981343</v>
      </c>
      <c r="AC27" s="309">
        <f t="shared" si="3"/>
        <v>-4573.6699247864735</v>
      </c>
      <c r="AD27" s="309">
        <f t="shared" si="3"/>
        <v>-4030.6771483278058</v>
      </c>
      <c r="AE27" s="309">
        <f t="shared" si="3"/>
        <v>-3487.6843718691384</v>
      </c>
    </row>
    <row r="28" spans="1:31" ht="12.75" customHeight="1" x14ac:dyDescent="0.2">
      <c r="A28" s="6">
        <v>6.5</v>
      </c>
      <c r="B28" s="306">
        <v>0.96699999999999997</v>
      </c>
      <c r="C28" s="18">
        <v>110</v>
      </c>
      <c r="D28" s="19">
        <v>155</v>
      </c>
      <c r="E28" s="19">
        <v>248</v>
      </c>
      <c r="F28" s="19">
        <v>201</v>
      </c>
      <c r="G28" s="19">
        <v>52.6</v>
      </c>
      <c r="H28" s="19">
        <v>-33.200000000000003</v>
      </c>
      <c r="I28" s="19">
        <v>-54</v>
      </c>
      <c r="J28" s="19">
        <v>25.5</v>
      </c>
      <c r="K28" s="19">
        <v>-59.4</v>
      </c>
      <c r="L28" s="19">
        <v>-149</v>
      </c>
      <c r="M28" s="19">
        <v>-199</v>
      </c>
      <c r="N28" s="19">
        <v>-163</v>
      </c>
      <c r="O28" s="20">
        <v>-137</v>
      </c>
      <c r="Q28" s="307">
        <f t="shared" si="2"/>
        <v>6.5</v>
      </c>
      <c r="R28" s="308">
        <f t="shared" si="2"/>
        <v>0.96699999999999997</v>
      </c>
      <c r="S28" s="309">
        <f t="shared" si="3"/>
        <v>2297.2771311712886</v>
      </c>
      <c r="T28" s="309">
        <f t="shared" si="3"/>
        <v>3237.0723211959062</v>
      </c>
      <c r="U28" s="309">
        <f t="shared" si="3"/>
        <v>5179.3157139134501</v>
      </c>
      <c r="V28" s="309">
        <f t="shared" si="3"/>
        <v>4197.7518487766274</v>
      </c>
      <c r="W28" s="309">
        <f t="shared" si="3"/>
        <v>1098.516155450998</v>
      </c>
      <c r="X28" s="309">
        <f t="shared" si="3"/>
        <v>-693.36000686260707</v>
      </c>
      <c r="Y28" s="309">
        <f t="shared" si="3"/>
        <v>-1127.7542280295418</v>
      </c>
      <c r="Z28" s="309">
        <f t="shared" si="3"/>
        <v>532.55060768061685</v>
      </c>
      <c r="AA28" s="309">
        <f t="shared" si="3"/>
        <v>-1240.5296508324957</v>
      </c>
      <c r="AB28" s="309">
        <f t="shared" si="3"/>
        <v>-3111.7662958592909</v>
      </c>
      <c r="AC28" s="309">
        <f t="shared" si="3"/>
        <v>-4155.9831736644219</v>
      </c>
      <c r="AD28" s="309">
        <f t="shared" si="3"/>
        <v>-3404.1470216447278</v>
      </c>
      <c r="AE28" s="309">
        <f t="shared" si="3"/>
        <v>-2861.1542451860591</v>
      </c>
    </row>
    <row r="29" spans="1:31" ht="12.75" customHeight="1" x14ac:dyDescent="0.2">
      <c r="A29" s="6">
        <v>6</v>
      </c>
      <c r="B29" s="306">
        <v>1.0469999999999999</v>
      </c>
      <c r="C29" s="18">
        <v>155</v>
      </c>
      <c r="D29" s="19">
        <v>175</v>
      </c>
      <c r="E29" s="19">
        <v>170</v>
      </c>
      <c r="F29" s="19">
        <v>87.8</v>
      </c>
      <c r="G29" s="19">
        <v>64.900000000000006</v>
      </c>
      <c r="H29" s="19">
        <v>87.9</v>
      </c>
      <c r="I29" s="19">
        <v>-19.899999999999999</v>
      </c>
      <c r="J29" s="19">
        <v>-107</v>
      </c>
      <c r="K29" s="19">
        <v>-76.2</v>
      </c>
      <c r="L29" s="19">
        <v>-64</v>
      </c>
      <c r="M29" s="19">
        <v>-147</v>
      </c>
      <c r="N29" s="19">
        <v>-171</v>
      </c>
      <c r="O29" s="20">
        <v>-163</v>
      </c>
      <c r="Q29" s="307">
        <f t="shared" si="2"/>
        <v>6</v>
      </c>
      <c r="R29" s="308">
        <f t="shared" si="2"/>
        <v>1.0469999999999999</v>
      </c>
      <c r="S29" s="309">
        <f t="shared" si="3"/>
        <v>3237.0723211959062</v>
      </c>
      <c r="T29" s="309">
        <f t="shared" si="3"/>
        <v>3654.7590723179592</v>
      </c>
      <c r="U29" s="309">
        <f t="shared" si="3"/>
        <v>3550.3373845374458</v>
      </c>
      <c r="V29" s="309">
        <f t="shared" si="3"/>
        <v>1833.6448374258105</v>
      </c>
      <c r="W29" s="309">
        <f t="shared" si="3"/>
        <v>1355.3935073910604</v>
      </c>
      <c r="X29" s="309">
        <f t="shared" si="3"/>
        <v>1835.7332711814204</v>
      </c>
      <c r="Y29" s="309">
        <f t="shared" si="3"/>
        <v>-415.59831736644213</v>
      </c>
      <c r="Z29" s="309">
        <f t="shared" si="3"/>
        <v>-2234.6241185029803</v>
      </c>
      <c r="AA29" s="309">
        <f t="shared" si="3"/>
        <v>-1591.3865217750197</v>
      </c>
      <c r="AB29" s="309">
        <f t="shared" si="3"/>
        <v>-1336.5976035905678</v>
      </c>
      <c r="AC29" s="309">
        <f t="shared" si="3"/>
        <v>-3069.9976207470854</v>
      </c>
      <c r="AD29" s="309">
        <f t="shared" si="3"/>
        <v>-3571.2217220935481</v>
      </c>
      <c r="AE29" s="309">
        <f t="shared" si="3"/>
        <v>-3404.1470216447278</v>
      </c>
    </row>
    <row r="30" spans="1:31" ht="12.75" customHeight="1" x14ac:dyDescent="0.2">
      <c r="A30" s="6">
        <v>5.5</v>
      </c>
      <c r="B30" s="306">
        <v>1.1419999999999999</v>
      </c>
      <c r="C30" s="18">
        <v>143</v>
      </c>
      <c r="D30" s="19">
        <v>172</v>
      </c>
      <c r="E30" s="19">
        <v>144</v>
      </c>
      <c r="F30" s="19">
        <v>60.4</v>
      </c>
      <c r="G30" s="19">
        <v>34.6</v>
      </c>
      <c r="H30" s="19">
        <v>94.5</v>
      </c>
      <c r="I30" s="19">
        <v>-15.5</v>
      </c>
      <c r="J30" s="19">
        <v>-132</v>
      </c>
      <c r="K30" s="19">
        <v>-48.7</v>
      </c>
      <c r="L30" s="19">
        <v>-62</v>
      </c>
      <c r="M30" s="19">
        <v>-121</v>
      </c>
      <c r="N30" s="19">
        <v>-140</v>
      </c>
      <c r="O30" s="20">
        <v>-124</v>
      </c>
      <c r="Q30" s="307">
        <f t="shared" si="2"/>
        <v>5.5</v>
      </c>
      <c r="R30" s="308">
        <f t="shared" si="2"/>
        <v>1.1419999999999999</v>
      </c>
      <c r="S30" s="309">
        <f t="shared" si="3"/>
        <v>2986.4602705226748</v>
      </c>
      <c r="T30" s="309">
        <f t="shared" si="3"/>
        <v>3592.1060596496513</v>
      </c>
      <c r="U30" s="309">
        <f t="shared" si="3"/>
        <v>3007.3446080787776</v>
      </c>
      <c r="V30" s="309">
        <f t="shared" si="3"/>
        <v>1261.4139883885985</v>
      </c>
      <c r="W30" s="309">
        <f t="shared" si="3"/>
        <v>722.59807944115073</v>
      </c>
      <c r="X30" s="309">
        <f t="shared" si="3"/>
        <v>1973.569899051698</v>
      </c>
      <c r="Y30" s="309">
        <f t="shared" si="3"/>
        <v>-323.70723211959063</v>
      </c>
      <c r="Z30" s="309">
        <f t="shared" si="3"/>
        <v>-2756.7325574055462</v>
      </c>
      <c r="AA30" s="309">
        <f t="shared" si="3"/>
        <v>-1017.0672389821978</v>
      </c>
      <c r="AB30" s="309">
        <f t="shared" si="3"/>
        <v>-1294.8289284783625</v>
      </c>
      <c r="AC30" s="309">
        <f t="shared" si="3"/>
        <v>-2527.0048442884172</v>
      </c>
      <c r="AD30" s="309">
        <f t="shared" si="3"/>
        <v>-2923.807257854367</v>
      </c>
      <c r="AE30" s="309">
        <f t="shared" si="3"/>
        <v>-2589.657856956725</v>
      </c>
    </row>
    <row r="31" spans="1:31" ht="12.75" customHeight="1" x14ac:dyDescent="0.2">
      <c r="A31" s="6">
        <v>5</v>
      </c>
      <c r="B31" s="306">
        <v>1.2569999999999999</v>
      </c>
      <c r="C31" s="18">
        <v>125</v>
      </c>
      <c r="D31" s="19">
        <v>129</v>
      </c>
      <c r="E31" s="19">
        <v>96.4</v>
      </c>
      <c r="F31" s="19">
        <v>96.2</v>
      </c>
      <c r="G31" s="19">
        <v>121</v>
      </c>
      <c r="H31" s="19">
        <v>29.5</v>
      </c>
      <c r="I31" s="19">
        <v>-18.899999999999999</v>
      </c>
      <c r="J31" s="19">
        <v>-43.5</v>
      </c>
      <c r="K31" s="19">
        <v>-130</v>
      </c>
      <c r="L31" s="19">
        <v>-94.7</v>
      </c>
      <c r="M31" s="19">
        <v>-77.099999999999994</v>
      </c>
      <c r="N31" s="19">
        <v>-115</v>
      </c>
      <c r="O31" s="20">
        <v>-121</v>
      </c>
      <c r="Q31" s="307">
        <f t="shared" si="2"/>
        <v>5</v>
      </c>
      <c r="R31" s="308">
        <f t="shared" si="2"/>
        <v>1.2569999999999999</v>
      </c>
      <c r="S31" s="309">
        <f t="shared" si="3"/>
        <v>2610.5421945128282</v>
      </c>
      <c r="T31" s="309">
        <f t="shared" si="3"/>
        <v>2694.0795447372379</v>
      </c>
      <c r="U31" s="309">
        <f t="shared" si="3"/>
        <v>2013.250140408293</v>
      </c>
      <c r="V31" s="309">
        <f t="shared" si="3"/>
        <v>2009.0732728970722</v>
      </c>
      <c r="W31" s="309">
        <f t="shared" si="3"/>
        <v>2527.0048442884172</v>
      </c>
      <c r="X31" s="309">
        <f t="shared" si="3"/>
        <v>616.08795790502734</v>
      </c>
      <c r="Y31" s="309">
        <f t="shared" si="3"/>
        <v>-394.71397981033959</v>
      </c>
      <c r="Z31" s="309">
        <f t="shared" si="3"/>
        <v>-908.4686836904641</v>
      </c>
      <c r="AA31" s="309">
        <f t="shared" si="3"/>
        <v>-2714.9638822933407</v>
      </c>
      <c r="AB31" s="309">
        <f t="shared" si="3"/>
        <v>-1977.7467665629181</v>
      </c>
      <c r="AC31" s="309">
        <f t="shared" si="3"/>
        <v>-1610.1824255755123</v>
      </c>
      <c r="AD31" s="309">
        <f t="shared" si="3"/>
        <v>-2401.6988189518015</v>
      </c>
      <c r="AE31" s="309">
        <f t="shared" si="3"/>
        <v>-2527.0048442884172</v>
      </c>
    </row>
    <row r="32" spans="1:31" ht="12.75" customHeight="1" x14ac:dyDescent="0.2">
      <c r="A32" s="6">
        <v>4.5</v>
      </c>
      <c r="B32" s="306">
        <v>1.3959999999999999</v>
      </c>
      <c r="C32" s="18">
        <v>131</v>
      </c>
      <c r="D32" s="19">
        <v>118</v>
      </c>
      <c r="E32" s="19">
        <v>100</v>
      </c>
      <c r="F32" s="19">
        <v>139</v>
      </c>
      <c r="G32" s="19">
        <v>64.2</v>
      </c>
      <c r="H32" s="19">
        <v>15.1</v>
      </c>
      <c r="I32" s="19">
        <v>-40.299999999999997</v>
      </c>
      <c r="J32" s="19">
        <v>-60.8</v>
      </c>
      <c r="K32" s="19">
        <v>-82.9</v>
      </c>
      <c r="L32" s="19">
        <v>-133</v>
      </c>
      <c r="M32" s="19">
        <v>-82.8</v>
      </c>
      <c r="N32" s="19">
        <v>-77.3</v>
      </c>
      <c r="O32" s="20">
        <v>-90.9</v>
      </c>
      <c r="Q32" s="307">
        <f t="shared" si="2"/>
        <v>4.5</v>
      </c>
      <c r="R32" s="308">
        <f t="shared" si="2"/>
        <v>1.3959999999999999</v>
      </c>
      <c r="S32" s="309">
        <f t="shared" si="3"/>
        <v>2735.8482198494435</v>
      </c>
      <c r="T32" s="309">
        <f t="shared" si="3"/>
        <v>2464.3518316201094</v>
      </c>
      <c r="U32" s="309">
        <f t="shared" si="3"/>
        <v>2088.4337556102623</v>
      </c>
      <c r="V32" s="309">
        <f t="shared" si="3"/>
        <v>2902.9229202982647</v>
      </c>
      <c r="W32" s="309">
        <f t="shared" si="3"/>
        <v>1340.7744711017883</v>
      </c>
      <c r="X32" s="309">
        <f t="shared" si="3"/>
        <v>315.35349709714961</v>
      </c>
      <c r="Y32" s="309">
        <f t="shared" si="3"/>
        <v>-841.63880351093565</v>
      </c>
      <c r="Z32" s="309">
        <f t="shared" si="3"/>
        <v>-1269.7677234110395</v>
      </c>
      <c r="AA32" s="309">
        <f t="shared" si="3"/>
        <v>-1731.3115834009075</v>
      </c>
      <c r="AB32" s="309">
        <f t="shared" si="3"/>
        <v>-2777.616894961649</v>
      </c>
      <c r="AC32" s="309">
        <f t="shared" si="3"/>
        <v>-1729.2231496452973</v>
      </c>
      <c r="AD32" s="309">
        <f t="shared" si="3"/>
        <v>-1614.3592930867328</v>
      </c>
      <c r="AE32" s="309">
        <f t="shared" si="3"/>
        <v>-1898.386283849728</v>
      </c>
    </row>
    <row r="33" spans="1:31" ht="12.75" customHeight="1" x14ac:dyDescent="0.2">
      <c r="A33" s="6">
        <v>4</v>
      </c>
      <c r="B33" s="306">
        <v>1.571</v>
      </c>
      <c r="C33" s="18">
        <v>131</v>
      </c>
      <c r="D33" s="19">
        <v>119</v>
      </c>
      <c r="E33" s="19">
        <v>135</v>
      </c>
      <c r="F33" s="19">
        <v>132</v>
      </c>
      <c r="G33" s="19">
        <v>43</v>
      </c>
      <c r="H33" s="19">
        <v>27.1</v>
      </c>
      <c r="I33" s="19">
        <v>-38.700000000000003</v>
      </c>
      <c r="J33" s="19">
        <v>-108</v>
      </c>
      <c r="K33" s="19">
        <v>-76.599999999999994</v>
      </c>
      <c r="L33" s="19">
        <v>-114</v>
      </c>
      <c r="M33" s="19">
        <v>-93.4</v>
      </c>
      <c r="N33" s="19">
        <v>-64.099999999999994</v>
      </c>
      <c r="O33" s="20">
        <v>-73.2</v>
      </c>
      <c r="Q33" s="307">
        <f t="shared" si="2"/>
        <v>4</v>
      </c>
      <c r="R33" s="308">
        <f t="shared" si="2"/>
        <v>1.571</v>
      </c>
      <c r="S33" s="309">
        <f t="shared" si="3"/>
        <v>2735.8482198494435</v>
      </c>
      <c r="T33" s="309">
        <f t="shared" si="3"/>
        <v>2485.2361691762121</v>
      </c>
      <c r="U33" s="309">
        <f t="shared" si="3"/>
        <v>2819.3855700738536</v>
      </c>
      <c r="V33" s="309">
        <f t="shared" si="3"/>
        <v>2756.7325574055462</v>
      </c>
      <c r="W33" s="309">
        <f t="shared" si="3"/>
        <v>898.02651491241284</v>
      </c>
      <c r="X33" s="309">
        <f t="shared" si="3"/>
        <v>565.96554777038114</v>
      </c>
      <c r="Y33" s="309">
        <f t="shared" si="3"/>
        <v>-808.22386342117147</v>
      </c>
      <c r="Z33" s="309">
        <f t="shared" si="3"/>
        <v>-2255.5084560590835</v>
      </c>
      <c r="AA33" s="309">
        <f t="shared" si="3"/>
        <v>-1599.7402567974609</v>
      </c>
      <c r="AB33" s="309">
        <f t="shared" si="3"/>
        <v>-2380.8144813956992</v>
      </c>
      <c r="AC33" s="309">
        <f t="shared" si="3"/>
        <v>-1950.5971277399847</v>
      </c>
      <c r="AD33" s="309">
        <f t="shared" si="3"/>
        <v>-1338.686037346178</v>
      </c>
      <c r="AE33" s="309">
        <f t="shared" si="3"/>
        <v>-1528.7335091067118</v>
      </c>
    </row>
    <row r="34" spans="1:31" ht="12.75" customHeight="1" x14ac:dyDescent="0.2">
      <c r="A34" s="6">
        <v>3.5</v>
      </c>
      <c r="B34" s="306">
        <v>1.7949999999999999</v>
      </c>
      <c r="C34" s="18">
        <v>129</v>
      </c>
      <c r="D34" s="19">
        <v>114</v>
      </c>
      <c r="E34" s="19">
        <v>163</v>
      </c>
      <c r="F34" s="19">
        <v>131</v>
      </c>
      <c r="G34" s="19">
        <v>102</v>
      </c>
      <c r="H34" s="19">
        <v>-10.199999999999999</v>
      </c>
      <c r="I34" s="19">
        <v>-38.799999999999997</v>
      </c>
      <c r="J34" s="19">
        <v>-54</v>
      </c>
      <c r="K34" s="19">
        <v>-130</v>
      </c>
      <c r="L34" s="19">
        <v>-123</v>
      </c>
      <c r="M34" s="19">
        <v>-109</v>
      </c>
      <c r="N34" s="19">
        <v>-52.9</v>
      </c>
      <c r="O34" s="20">
        <v>-63.2</v>
      </c>
      <c r="Q34" s="307">
        <f t="shared" si="2"/>
        <v>3.5</v>
      </c>
      <c r="R34" s="308">
        <f t="shared" si="2"/>
        <v>1.7949999999999999</v>
      </c>
      <c r="S34" s="309">
        <f t="shared" si="3"/>
        <v>2694.0795447372379</v>
      </c>
      <c r="T34" s="309">
        <f t="shared" si="3"/>
        <v>2380.8144813956992</v>
      </c>
      <c r="U34" s="309">
        <f t="shared" si="3"/>
        <v>3404.1470216447278</v>
      </c>
      <c r="V34" s="309">
        <f t="shared" si="3"/>
        <v>2735.8482198494435</v>
      </c>
      <c r="W34" s="309">
        <f t="shared" si="3"/>
        <v>2130.2024307224674</v>
      </c>
      <c r="X34" s="309">
        <f t="shared" si="3"/>
        <v>-213.02024307224676</v>
      </c>
      <c r="Y34" s="309">
        <f t="shared" si="3"/>
        <v>-810.31229717678173</v>
      </c>
      <c r="Z34" s="309">
        <f t="shared" si="3"/>
        <v>-1127.7542280295418</v>
      </c>
      <c r="AA34" s="309">
        <f t="shared" si="3"/>
        <v>-2714.9638822933407</v>
      </c>
      <c r="AB34" s="309">
        <f t="shared" si="3"/>
        <v>-2568.7735194006223</v>
      </c>
      <c r="AC34" s="309">
        <f t="shared" si="3"/>
        <v>-2276.3927936151858</v>
      </c>
      <c r="AD34" s="309">
        <f t="shared" si="3"/>
        <v>-1104.7814567178289</v>
      </c>
      <c r="AE34" s="309">
        <f t="shared" si="3"/>
        <v>-1319.8901335456858</v>
      </c>
    </row>
    <row r="35" spans="1:31" ht="12.75" customHeight="1" x14ac:dyDescent="0.2">
      <c r="A35" s="6">
        <v>3.24</v>
      </c>
      <c r="B35" s="306">
        <v>1.9390000000000001</v>
      </c>
      <c r="C35" s="18">
        <v>129</v>
      </c>
      <c r="D35" s="19">
        <v>117</v>
      </c>
      <c r="E35" s="19">
        <v>169</v>
      </c>
      <c r="F35" s="19">
        <v>92</v>
      </c>
      <c r="G35" s="19">
        <v>67.599999999999994</v>
      </c>
      <c r="H35" s="19">
        <v>18.399999999999999</v>
      </c>
      <c r="I35" s="19">
        <v>-28.8</v>
      </c>
      <c r="J35" s="19">
        <v>-91.5</v>
      </c>
      <c r="K35" s="19">
        <v>-126</v>
      </c>
      <c r="L35" s="19">
        <v>-88.9</v>
      </c>
      <c r="M35" s="19">
        <v>-108</v>
      </c>
      <c r="N35" s="19">
        <v>-54.6</v>
      </c>
      <c r="O35" s="20">
        <v>-60.2</v>
      </c>
      <c r="Q35" s="307">
        <f t="shared" si="2"/>
        <v>3.24</v>
      </c>
      <c r="R35" s="308">
        <f t="shared" si="2"/>
        <v>1.9390000000000001</v>
      </c>
      <c r="S35" s="309">
        <f t="shared" si="3"/>
        <v>2694.0795447372379</v>
      </c>
      <c r="T35" s="309">
        <f t="shared" si="3"/>
        <v>2443.4674940640066</v>
      </c>
      <c r="U35" s="309">
        <f t="shared" si="3"/>
        <v>3529.453046981343</v>
      </c>
      <c r="V35" s="309">
        <f t="shared" si="3"/>
        <v>1921.3590551614413</v>
      </c>
      <c r="W35" s="309">
        <f t="shared" si="3"/>
        <v>1411.7812187925372</v>
      </c>
      <c r="X35" s="309">
        <f t="shared" si="3"/>
        <v>384.27181103228821</v>
      </c>
      <c r="Y35" s="309">
        <f t="shared" si="3"/>
        <v>-601.46892161575545</v>
      </c>
      <c r="Z35" s="309">
        <f t="shared" si="3"/>
        <v>-1910.9168863833897</v>
      </c>
      <c r="AA35" s="309">
        <f t="shared" si="3"/>
        <v>-2631.4265320689306</v>
      </c>
      <c r="AB35" s="309">
        <f t="shared" si="3"/>
        <v>-1856.6176087375231</v>
      </c>
      <c r="AC35" s="309">
        <f t="shared" si="3"/>
        <v>-2255.5084560590835</v>
      </c>
      <c r="AD35" s="309">
        <f t="shared" si="3"/>
        <v>-1140.2848305632033</v>
      </c>
      <c r="AE35" s="309">
        <f t="shared" si="3"/>
        <v>-1257.2371208773777</v>
      </c>
    </row>
    <row r="36" spans="1:31" ht="12.75" customHeight="1" x14ac:dyDescent="0.2">
      <c r="A36" s="6">
        <v>0</v>
      </c>
      <c r="B36" s="306">
        <v>0</v>
      </c>
      <c r="C36" s="18">
        <v>0</v>
      </c>
      <c r="D36" s="19">
        <v>0</v>
      </c>
      <c r="E36" s="19">
        <v>0</v>
      </c>
      <c r="F36" s="19">
        <v>0</v>
      </c>
      <c r="G36" s="19">
        <v>0</v>
      </c>
      <c r="H36" s="19">
        <v>0</v>
      </c>
      <c r="I36" s="19">
        <v>0</v>
      </c>
      <c r="J36" s="19">
        <v>0</v>
      </c>
      <c r="K36" s="19">
        <v>0</v>
      </c>
      <c r="L36" s="19">
        <v>0</v>
      </c>
      <c r="M36" s="19">
        <v>0</v>
      </c>
      <c r="N36" s="19">
        <v>0</v>
      </c>
      <c r="O36" s="20">
        <v>0</v>
      </c>
    </row>
    <row r="37" spans="1:31" ht="12.75" customHeight="1" x14ac:dyDescent="0.2">
      <c r="A37" s="6">
        <v>0</v>
      </c>
      <c r="B37" s="306">
        <v>0</v>
      </c>
      <c r="C37" s="18">
        <v>0</v>
      </c>
      <c r="D37" s="19">
        <v>0</v>
      </c>
      <c r="E37" s="19">
        <v>0</v>
      </c>
      <c r="F37" s="19">
        <v>0</v>
      </c>
      <c r="G37" s="19">
        <v>0</v>
      </c>
      <c r="H37" s="19">
        <v>0</v>
      </c>
      <c r="I37" s="19">
        <v>0</v>
      </c>
      <c r="J37" s="19">
        <v>0</v>
      </c>
      <c r="K37" s="19">
        <v>0</v>
      </c>
      <c r="L37" s="19">
        <v>0</v>
      </c>
      <c r="M37" s="19">
        <v>0</v>
      </c>
      <c r="N37" s="19">
        <v>0</v>
      </c>
      <c r="O37" s="20">
        <v>0</v>
      </c>
    </row>
    <row r="38" spans="1:31" ht="12.75" customHeight="1" x14ac:dyDescent="0.2">
      <c r="A38" s="6">
        <v>0</v>
      </c>
      <c r="B38" s="306">
        <v>0</v>
      </c>
      <c r="C38" s="18">
        <v>0</v>
      </c>
      <c r="D38" s="19">
        <v>0</v>
      </c>
      <c r="E38" s="19">
        <v>0</v>
      </c>
      <c r="F38" s="19">
        <v>0</v>
      </c>
      <c r="G38" s="19">
        <v>0</v>
      </c>
      <c r="H38" s="19">
        <v>0</v>
      </c>
      <c r="I38" s="19">
        <v>0</v>
      </c>
      <c r="J38" s="19">
        <v>0</v>
      </c>
      <c r="K38" s="19">
        <v>0</v>
      </c>
      <c r="L38" s="19">
        <v>0</v>
      </c>
      <c r="M38" s="19">
        <v>0</v>
      </c>
      <c r="N38" s="19">
        <v>0</v>
      </c>
      <c r="O38" s="20">
        <v>0</v>
      </c>
    </row>
    <row r="39" spans="1:31" ht="12.75" customHeight="1" x14ac:dyDescent="0.2">
      <c r="A39" s="6">
        <v>0</v>
      </c>
      <c r="B39" s="306">
        <v>0</v>
      </c>
      <c r="C39" s="18">
        <v>0</v>
      </c>
      <c r="D39" s="19">
        <v>0</v>
      </c>
      <c r="E39" s="19">
        <v>0</v>
      </c>
      <c r="F39" s="19">
        <v>0</v>
      </c>
      <c r="G39" s="19">
        <v>0</v>
      </c>
      <c r="H39" s="19">
        <v>0</v>
      </c>
      <c r="I39" s="19">
        <v>0</v>
      </c>
      <c r="J39" s="19">
        <v>0</v>
      </c>
      <c r="K39" s="19">
        <v>0</v>
      </c>
      <c r="L39" s="19">
        <v>0</v>
      </c>
      <c r="M39" s="19">
        <v>0</v>
      </c>
      <c r="N39" s="19">
        <v>0</v>
      </c>
      <c r="O39" s="20">
        <v>0</v>
      </c>
    </row>
    <row r="40" spans="1:31" ht="12.75" customHeight="1" thickBot="1" x14ac:dyDescent="0.25">
      <c r="A40" s="10">
        <v>0</v>
      </c>
      <c r="B40" s="310">
        <v>0</v>
      </c>
      <c r="C40" s="21">
        <v>0</v>
      </c>
      <c r="D40" s="22">
        <v>0</v>
      </c>
      <c r="E40" s="22">
        <v>0</v>
      </c>
      <c r="F40" s="22">
        <v>0</v>
      </c>
      <c r="G40" s="22">
        <v>0</v>
      </c>
      <c r="H40" s="22">
        <v>0</v>
      </c>
      <c r="I40" s="22">
        <v>0</v>
      </c>
      <c r="J40" s="22">
        <v>0</v>
      </c>
      <c r="K40" s="22">
        <v>0</v>
      </c>
      <c r="L40" s="22">
        <v>0</v>
      </c>
      <c r="M40" s="22">
        <v>0</v>
      </c>
      <c r="N40" s="22">
        <v>0</v>
      </c>
      <c r="O40" s="23">
        <v>0</v>
      </c>
    </row>
    <row r="41" spans="1:31" ht="20.100000000000001" customHeight="1" x14ac:dyDescent="0.2">
      <c r="A41" s="350" t="s">
        <v>175</v>
      </c>
      <c r="B41" s="350"/>
      <c r="C41" s="350"/>
      <c r="D41" s="350"/>
      <c r="E41" s="350"/>
      <c r="F41" s="350"/>
      <c r="G41" s="350"/>
      <c r="H41" s="350"/>
      <c r="I41" s="350"/>
      <c r="J41" s="350"/>
      <c r="K41" s="350"/>
      <c r="L41" s="350"/>
      <c r="M41" s="350"/>
      <c r="N41" s="350"/>
      <c r="O41" s="350"/>
    </row>
    <row r="42" spans="1:31" ht="18" customHeight="1" thickBot="1" x14ac:dyDescent="0.25">
      <c r="A42" s="343" t="s">
        <v>16</v>
      </c>
      <c r="B42" s="343"/>
      <c r="C42" s="343"/>
      <c r="D42" s="343"/>
      <c r="E42" s="343"/>
      <c r="F42" s="343"/>
      <c r="G42" s="343"/>
      <c r="H42" s="343"/>
      <c r="I42" s="343"/>
      <c r="J42" s="343"/>
      <c r="K42" s="343"/>
      <c r="L42" s="343"/>
      <c r="M42" s="343"/>
      <c r="N42" s="343"/>
      <c r="O42" s="343"/>
    </row>
    <row r="43" spans="1:31" ht="12.75" customHeight="1" x14ac:dyDescent="0.2">
      <c r="A43" s="335" t="s">
        <v>12</v>
      </c>
      <c r="B43" s="337" t="s">
        <v>17</v>
      </c>
      <c r="C43" s="344" t="s">
        <v>3</v>
      </c>
      <c r="D43" s="345"/>
      <c r="E43" s="345"/>
      <c r="F43" s="345"/>
      <c r="G43" s="345"/>
      <c r="H43" s="345"/>
      <c r="I43" s="345"/>
      <c r="J43" s="345"/>
      <c r="K43" s="345"/>
      <c r="L43" s="345"/>
      <c r="M43" s="345"/>
      <c r="N43" s="345"/>
      <c r="O43" s="346"/>
    </row>
    <row r="44" spans="1:31" ht="12.75" customHeight="1" x14ac:dyDescent="0.2">
      <c r="A44" s="336"/>
      <c r="B44" s="338"/>
      <c r="C44" s="347" t="s">
        <v>21</v>
      </c>
      <c r="D44" s="348"/>
      <c r="E44" s="348"/>
      <c r="F44" s="348"/>
      <c r="G44" s="348"/>
      <c r="H44" s="348"/>
      <c r="I44" s="348"/>
      <c r="J44" s="348"/>
      <c r="K44" s="348"/>
      <c r="L44" s="348"/>
      <c r="M44" s="348"/>
      <c r="N44" s="348"/>
      <c r="O44" s="349"/>
    </row>
    <row r="45" spans="1:31" ht="12.75" customHeight="1" thickBot="1" x14ac:dyDescent="0.25">
      <c r="A45" s="2" t="s">
        <v>14</v>
      </c>
      <c r="B45" s="3" t="s">
        <v>18</v>
      </c>
      <c r="C45" s="15">
        <v>0</v>
      </c>
      <c r="D45" s="16">
        <v>15</v>
      </c>
      <c r="E45" s="16">
        <v>30</v>
      </c>
      <c r="F45" s="16">
        <v>45</v>
      </c>
      <c r="G45" s="16">
        <v>60</v>
      </c>
      <c r="H45" s="16">
        <v>75</v>
      </c>
      <c r="I45" s="16">
        <v>90</v>
      </c>
      <c r="J45" s="16">
        <v>105</v>
      </c>
      <c r="K45" s="16">
        <v>120</v>
      </c>
      <c r="L45" s="16">
        <v>135</v>
      </c>
      <c r="M45" s="16">
        <v>150</v>
      </c>
      <c r="N45" s="16">
        <v>165</v>
      </c>
      <c r="O45" s="17">
        <v>180</v>
      </c>
    </row>
    <row r="46" spans="1:31" ht="12.75" customHeight="1" x14ac:dyDescent="0.2">
      <c r="A46" s="6">
        <v>30</v>
      </c>
      <c r="B46" s="306">
        <v>0.20899999999999999</v>
      </c>
      <c r="C46" s="18">
        <v>8.4799999999999994E-11</v>
      </c>
      <c r="D46" s="19">
        <v>-2.61E-4</v>
      </c>
      <c r="E46" s="19">
        <v>4.0700000000000003E-4</v>
      </c>
      <c r="F46" s="19">
        <v>2.4099999999999998E-3</v>
      </c>
      <c r="G46" s="19">
        <v>5.3600000000000002E-3</v>
      </c>
      <c r="H46" s="19">
        <v>8.2199999999999999E-3</v>
      </c>
      <c r="I46" s="19">
        <v>9.6900000000000007E-3</v>
      </c>
      <c r="J46" s="19">
        <v>9.1999999999999998E-3</v>
      </c>
      <c r="K46" s="19">
        <v>7.0600000000000003E-3</v>
      </c>
      <c r="L46" s="19">
        <v>4.3200000000000001E-3</v>
      </c>
      <c r="M46" s="19">
        <v>1.98E-3</v>
      </c>
      <c r="N46" s="19">
        <v>6.1700000000000004E-4</v>
      </c>
      <c r="O46" s="20">
        <v>1.6799999999999999E-10</v>
      </c>
      <c r="Q46" s="307">
        <f>A46</f>
        <v>30</v>
      </c>
      <c r="R46" s="308">
        <f>B46</f>
        <v>0.20899999999999999</v>
      </c>
      <c r="S46" s="309">
        <f>C46*1000/9.807/0.4536*0.3048^2</f>
        <v>1.7709918247575019E-9</v>
      </c>
      <c r="T46" s="309">
        <f t="shared" ref="T46:AE67" si="4">D46*1000/9.807/0.4536*0.3048^2</f>
        <v>-5.4508121021427849E-3</v>
      </c>
      <c r="U46" s="309">
        <f t="shared" si="4"/>
        <v>8.4999253853337686E-3</v>
      </c>
      <c r="V46" s="309">
        <f t="shared" si="4"/>
        <v>5.0331253510207313E-2</v>
      </c>
      <c r="W46" s="309">
        <f t="shared" si="4"/>
        <v>0.11194004930071007</v>
      </c>
      <c r="X46" s="309">
        <f t="shared" si="4"/>
        <v>0.17166925471116357</v>
      </c>
      <c r="Y46" s="309">
        <f t="shared" si="4"/>
        <v>0.20236923091863443</v>
      </c>
      <c r="Z46" s="309">
        <f t="shared" si="4"/>
        <v>0.1921359055161441</v>
      </c>
      <c r="AA46" s="309">
        <f t="shared" si="4"/>
        <v>0.14744342314608452</v>
      </c>
      <c r="AB46" s="309">
        <f t="shared" si="4"/>
        <v>9.0220338242363335E-2</v>
      </c>
      <c r="AC46" s="309">
        <f t="shared" si="4"/>
        <v>4.1350988361083196E-2</v>
      </c>
      <c r="AD46" s="309">
        <f t="shared" si="4"/>
        <v>1.2885636272115315E-2</v>
      </c>
      <c r="AE46" s="309">
        <f t="shared" si="4"/>
        <v>3.5085687094252404E-9</v>
      </c>
    </row>
    <row r="47" spans="1:31" ht="12.75" customHeight="1" x14ac:dyDescent="0.2">
      <c r="A47" s="6">
        <v>28</v>
      </c>
      <c r="B47" s="306">
        <v>0.224</v>
      </c>
      <c r="C47" s="18">
        <v>-1.57E-10</v>
      </c>
      <c r="D47" s="19">
        <v>-1.7899999999999999E-4</v>
      </c>
      <c r="E47" s="19">
        <v>1.8500000000000001E-3</v>
      </c>
      <c r="F47" s="19">
        <v>7.1399999999999996E-3</v>
      </c>
      <c r="G47" s="19">
        <v>1.46E-2</v>
      </c>
      <c r="H47" s="19">
        <v>2.1700000000000001E-2</v>
      </c>
      <c r="I47" s="19">
        <v>2.5100000000000001E-2</v>
      </c>
      <c r="J47" s="19">
        <v>2.3400000000000001E-2</v>
      </c>
      <c r="K47" s="19">
        <v>1.7399999999999999E-2</v>
      </c>
      <c r="L47" s="19">
        <v>0.01</v>
      </c>
      <c r="M47" s="19">
        <v>4.13E-3</v>
      </c>
      <c r="N47" s="19">
        <v>1.0300000000000001E-3</v>
      </c>
      <c r="O47" s="20">
        <v>4.78E-10</v>
      </c>
      <c r="Q47" s="307">
        <f t="shared" ref="Q47:R75" si="5">A47</f>
        <v>28</v>
      </c>
      <c r="R47" s="308">
        <f t="shared" si="5"/>
        <v>0.224</v>
      </c>
      <c r="S47" s="309">
        <f t="shared" ref="S47:V75" si="6">C47*1000/9.807/0.4536*0.3048^2</f>
        <v>-3.2788409963081111E-9</v>
      </c>
      <c r="T47" s="309">
        <f t="shared" si="4"/>
        <v>-3.7382964225423695E-3</v>
      </c>
      <c r="U47" s="309">
        <f t="shared" si="4"/>
        <v>3.8636024478789846E-2</v>
      </c>
      <c r="V47" s="309">
        <f t="shared" si="4"/>
        <v>0.14911417015057274</v>
      </c>
      <c r="W47" s="309">
        <f t="shared" si="4"/>
        <v>0.30491132831909828</v>
      </c>
      <c r="X47" s="309">
        <f t="shared" si="4"/>
        <v>0.45319012496742694</v>
      </c>
      <c r="Y47" s="309">
        <f t="shared" si="4"/>
        <v>0.52419687265817583</v>
      </c>
      <c r="Z47" s="309">
        <f t="shared" si="4"/>
        <v>0.48869349881280139</v>
      </c>
      <c r="AA47" s="309">
        <f t="shared" si="4"/>
        <v>0.36338747347618555</v>
      </c>
      <c r="AB47" s="309">
        <f t="shared" si="4"/>
        <v>0.20884337556102625</v>
      </c>
      <c r="AC47" s="309">
        <f t="shared" si="4"/>
        <v>8.6252314106703837E-2</v>
      </c>
      <c r="AD47" s="309">
        <f t="shared" si="4"/>
        <v>2.1510867682785702E-2</v>
      </c>
      <c r="AE47" s="309">
        <f t="shared" si="4"/>
        <v>9.982713351817054E-9</v>
      </c>
    </row>
    <row r="48" spans="1:31" ht="12.75" customHeight="1" x14ac:dyDescent="0.2">
      <c r="A48" s="6">
        <v>26</v>
      </c>
      <c r="B48" s="306">
        <v>0.24199999999999999</v>
      </c>
      <c r="C48" s="18">
        <v>1.7399999999999999E-10</v>
      </c>
      <c r="D48" s="19">
        <v>6.4099999999999997E-4</v>
      </c>
      <c r="E48" s="19">
        <v>9.2300000000000004E-3</v>
      </c>
      <c r="F48" s="19">
        <v>2.9499999999999998E-2</v>
      </c>
      <c r="G48" s="19">
        <v>5.79E-2</v>
      </c>
      <c r="H48" s="19">
        <v>8.4000000000000005E-2</v>
      </c>
      <c r="I48" s="19">
        <v>9.5899999999999999E-2</v>
      </c>
      <c r="J48" s="19">
        <v>8.7599999999999997E-2</v>
      </c>
      <c r="K48" s="19">
        <v>6.3399999999999998E-2</v>
      </c>
      <c r="L48" s="19">
        <v>3.49E-2</v>
      </c>
      <c r="M48" s="19">
        <v>1.2999999999999999E-2</v>
      </c>
      <c r="N48" s="19">
        <v>2.4199999999999998E-3</v>
      </c>
      <c r="O48" s="20">
        <v>2.2799999999999999E-10</v>
      </c>
      <c r="Q48" s="307">
        <f t="shared" si="5"/>
        <v>26</v>
      </c>
      <c r="R48" s="308">
        <f t="shared" si="5"/>
        <v>0.24199999999999999</v>
      </c>
      <c r="S48" s="309">
        <f t="shared" si="6"/>
        <v>3.6338747347618556E-9</v>
      </c>
      <c r="T48" s="309">
        <f t="shared" si="4"/>
        <v>1.3386860373461781E-2</v>
      </c>
      <c r="U48" s="309">
        <f t="shared" si="4"/>
        <v>0.19276243564282725</v>
      </c>
      <c r="V48" s="309">
        <f t="shared" si="4"/>
        <v>0.61608795790502735</v>
      </c>
      <c r="W48" s="309">
        <f t="shared" si="4"/>
        <v>1.2092031444983418</v>
      </c>
      <c r="X48" s="309">
        <f t="shared" si="4"/>
        <v>1.7542843547126201</v>
      </c>
      <c r="Y48" s="309">
        <f t="shared" si="4"/>
        <v>2.0028079716302414</v>
      </c>
      <c r="Z48" s="309">
        <f t="shared" si="4"/>
        <v>1.8294679699145895</v>
      </c>
      <c r="AA48" s="309">
        <f t="shared" si="4"/>
        <v>1.3240670010569062</v>
      </c>
      <c r="AB48" s="309">
        <f t="shared" si="4"/>
        <v>0.72886338070798151</v>
      </c>
      <c r="AC48" s="309">
        <f t="shared" si="4"/>
        <v>0.27149638822933408</v>
      </c>
      <c r="AD48" s="309">
        <f t="shared" si="4"/>
        <v>5.0540096885768347E-2</v>
      </c>
      <c r="AE48" s="309">
        <f t="shared" si="4"/>
        <v>4.7616289627913976E-9</v>
      </c>
    </row>
    <row r="49" spans="1:31" ht="12.75" customHeight="1" x14ac:dyDescent="0.2">
      <c r="A49" s="6">
        <v>24</v>
      </c>
      <c r="B49" s="306">
        <v>0.26200000000000001</v>
      </c>
      <c r="C49" s="18">
        <v>-2.8200000000000001E-10</v>
      </c>
      <c r="D49" s="19">
        <v>3.98E-3</v>
      </c>
      <c r="E49" s="19">
        <v>3.6299999999999999E-2</v>
      </c>
      <c r="F49" s="19">
        <v>0.11</v>
      </c>
      <c r="G49" s="19">
        <v>0.21099999999999999</v>
      </c>
      <c r="H49" s="19">
        <v>0.30099999999999999</v>
      </c>
      <c r="I49" s="19">
        <v>0.33600000000000002</v>
      </c>
      <c r="J49" s="19">
        <v>0.3</v>
      </c>
      <c r="K49" s="19">
        <v>0.21</v>
      </c>
      <c r="L49" s="19">
        <v>0.111</v>
      </c>
      <c r="M49" s="19">
        <v>3.8899999999999997E-2</v>
      </c>
      <c r="N49" s="19">
        <v>6.2300000000000003E-3</v>
      </c>
      <c r="O49" s="20">
        <v>8.7199999999999999E-10</v>
      </c>
      <c r="Q49" s="307">
        <f t="shared" si="5"/>
        <v>24</v>
      </c>
      <c r="R49" s="308">
        <f t="shared" si="5"/>
        <v>0.26200000000000001</v>
      </c>
      <c r="S49" s="309">
        <f t="shared" si="6"/>
        <v>-5.8893831908209393E-9</v>
      </c>
      <c r="T49" s="309">
        <f t="shared" si="4"/>
        <v>8.3119663473288433E-2</v>
      </c>
      <c r="U49" s="309">
        <f t="shared" si="4"/>
        <v>0.75810145328652512</v>
      </c>
      <c r="V49" s="309">
        <f t="shared" si="4"/>
        <v>2.2972771311712887</v>
      </c>
      <c r="W49" s="309">
        <f t="shared" si="4"/>
        <v>4.4065952243376536</v>
      </c>
      <c r="X49" s="309">
        <f t="shared" si="4"/>
        <v>6.2861856043868896</v>
      </c>
      <c r="Y49" s="309">
        <f t="shared" si="4"/>
        <v>7.0171374188504805</v>
      </c>
      <c r="Z49" s="309">
        <f t="shared" si="4"/>
        <v>6.2653012668307868</v>
      </c>
      <c r="AA49" s="309">
        <f t="shared" si="4"/>
        <v>4.3857108867815509</v>
      </c>
      <c r="AB49" s="309">
        <f t="shared" si="4"/>
        <v>2.318161468727391</v>
      </c>
      <c r="AC49" s="309">
        <f t="shared" si="4"/>
        <v>0.81240073093239196</v>
      </c>
      <c r="AD49" s="309">
        <f t="shared" si="4"/>
        <v>0.13010942297451933</v>
      </c>
      <c r="AE49" s="309">
        <f t="shared" si="4"/>
        <v>1.8211142348921487E-8</v>
      </c>
    </row>
    <row r="50" spans="1:31" ht="12.75" customHeight="1" x14ac:dyDescent="0.2">
      <c r="A50" s="6">
        <v>22</v>
      </c>
      <c r="B50" s="306">
        <v>0.28599999999999998</v>
      </c>
      <c r="C50" s="18">
        <v>4.8899999999999997E-10</v>
      </c>
      <c r="D50" s="19">
        <v>-1.3999999999999999E-4</v>
      </c>
      <c r="E50" s="19">
        <v>9.7800000000000005E-3</v>
      </c>
      <c r="F50" s="19">
        <v>3.3599999999999998E-2</v>
      </c>
      <c r="G50" s="19">
        <v>6.5199999999999994E-2</v>
      </c>
      <c r="H50" s="19">
        <v>9.0700000000000003E-2</v>
      </c>
      <c r="I50" s="19">
        <v>9.7299999999999998E-2</v>
      </c>
      <c r="J50" s="19">
        <v>8.1900000000000001E-2</v>
      </c>
      <c r="K50" s="19">
        <v>5.4399999999999997E-2</v>
      </c>
      <c r="L50" s="19">
        <v>2.8199999999999999E-2</v>
      </c>
      <c r="M50" s="19">
        <v>1.11E-2</v>
      </c>
      <c r="N50" s="19">
        <v>3.0200000000000001E-3</v>
      </c>
      <c r="O50" s="20">
        <v>7.2399999999999998E-10</v>
      </c>
      <c r="Q50" s="307">
        <f t="shared" si="5"/>
        <v>22</v>
      </c>
      <c r="R50" s="308">
        <f t="shared" si="5"/>
        <v>0.28599999999999998</v>
      </c>
      <c r="S50" s="309">
        <f t="shared" si="6"/>
        <v>1.0212441064934182E-8</v>
      </c>
      <c r="T50" s="309">
        <f t="shared" si="4"/>
        <v>-2.9238072578543668E-3</v>
      </c>
      <c r="U50" s="309">
        <f t="shared" si="4"/>
        <v>0.20424882129868369</v>
      </c>
      <c r="V50" s="309">
        <f t="shared" si="4"/>
        <v>0.7017137418850482</v>
      </c>
      <c r="W50" s="309">
        <f t="shared" si="4"/>
        <v>1.3616588086578907</v>
      </c>
      <c r="X50" s="309">
        <f t="shared" si="4"/>
        <v>1.8942094163385075</v>
      </c>
      <c r="Y50" s="309">
        <f t="shared" si="4"/>
        <v>2.0320460442087849</v>
      </c>
      <c r="Z50" s="309">
        <f t="shared" si="4"/>
        <v>1.7104272458448051</v>
      </c>
      <c r="AA50" s="309">
        <f t="shared" si="4"/>
        <v>1.1361079630519828</v>
      </c>
      <c r="AB50" s="309">
        <f t="shared" si="4"/>
        <v>0.58893831908209393</v>
      </c>
      <c r="AC50" s="309">
        <f t="shared" si="4"/>
        <v>0.23181614687273913</v>
      </c>
      <c r="AD50" s="309">
        <f t="shared" si="4"/>
        <v>6.3070699419429915E-2</v>
      </c>
      <c r="AE50" s="309">
        <f t="shared" si="4"/>
        <v>1.5120260390618296E-8</v>
      </c>
    </row>
    <row r="51" spans="1:31" ht="12.75" customHeight="1" x14ac:dyDescent="0.2">
      <c r="A51" s="6">
        <v>20</v>
      </c>
      <c r="B51" s="306">
        <v>0.314</v>
      </c>
      <c r="C51" s="18">
        <v>-6.3999999999999996E-10</v>
      </c>
      <c r="D51" s="19">
        <v>-2.4099999999999998E-3</v>
      </c>
      <c r="E51" s="19">
        <v>1.2199999999999999E-3</v>
      </c>
      <c r="F51" s="19">
        <v>1.21E-2</v>
      </c>
      <c r="G51" s="19">
        <v>2.5700000000000001E-2</v>
      </c>
      <c r="H51" s="19">
        <v>3.4200000000000001E-2</v>
      </c>
      <c r="I51" s="19">
        <v>3.2300000000000002E-2</v>
      </c>
      <c r="J51" s="19">
        <v>2.3400000000000001E-2</v>
      </c>
      <c r="K51" s="19">
        <v>1.35E-2</v>
      </c>
      <c r="L51" s="19">
        <v>8.0400000000000003E-3</v>
      </c>
      <c r="M51" s="19">
        <v>5.7200000000000003E-3</v>
      </c>
      <c r="N51" s="19">
        <v>3.5100000000000001E-3</v>
      </c>
      <c r="O51" s="20">
        <v>2.6599999999999999E-9</v>
      </c>
      <c r="Q51" s="307">
        <f t="shared" si="5"/>
        <v>20</v>
      </c>
      <c r="R51" s="308">
        <f t="shared" si="5"/>
        <v>0.314</v>
      </c>
      <c r="S51" s="309">
        <f t="shared" si="6"/>
        <v>-1.3365976035905678E-8</v>
      </c>
      <c r="T51" s="309">
        <f t="shared" si="4"/>
        <v>-5.0331253510207313E-2</v>
      </c>
      <c r="U51" s="309">
        <f t="shared" si="4"/>
        <v>2.5478891818445197E-2</v>
      </c>
      <c r="V51" s="309">
        <f t="shared" si="4"/>
        <v>0.25270048442884174</v>
      </c>
      <c r="W51" s="309">
        <f t="shared" si="4"/>
        <v>0.53672747519183739</v>
      </c>
      <c r="X51" s="309">
        <f t="shared" si="4"/>
        <v>0.71424434441870976</v>
      </c>
      <c r="Y51" s="309">
        <f t="shared" si="4"/>
        <v>0.67456410306211478</v>
      </c>
      <c r="Z51" s="309">
        <f t="shared" si="4"/>
        <v>0.48869349881280139</v>
      </c>
      <c r="AA51" s="309">
        <f t="shared" si="4"/>
        <v>0.2819385570073854</v>
      </c>
      <c r="AB51" s="309">
        <f t="shared" si="4"/>
        <v>0.16791007395106511</v>
      </c>
      <c r="AC51" s="309">
        <f t="shared" si="4"/>
        <v>0.11945841082090701</v>
      </c>
      <c r="AD51" s="309">
        <f t="shared" si="4"/>
        <v>7.3304024821920208E-2</v>
      </c>
      <c r="AE51" s="309">
        <f t="shared" si="4"/>
        <v>5.5552337899232979E-8</v>
      </c>
    </row>
    <row r="52" spans="1:31" ht="12.75" customHeight="1" x14ac:dyDescent="0.2">
      <c r="A52" s="6">
        <v>19</v>
      </c>
      <c r="B52" s="306">
        <v>0.33100000000000002</v>
      </c>
      <c r="C52" s="18">
        <v>4.56E-9</v>
      </c>
      <c r="D52" s="19">
        <v>-3.64E-3</v>
      </c>
      <c r="E52" s="19">
        <v>-1.1199999999999999E-3</v>
      </c>
      <c r="F52" s="19">
        <v>8.6099999999999996E-3</v>
      </c>
      <c r="G52" s="19">
        <v>2.0199999999999999E-2</v>
      </c>
      <c r="H52" s="19">
        <v>2.5499999999999998E-2</v>
      </c>
      <c r="I52" s="19">
        <v>2.1499999999999998E-2</v>
      </c>
      <c r="J52" s="19">
        <v>1.26E-2</v>
      </c>
      <c r="K52" s="19">
        <v>6.11E-3</v>
      </c>
      <c r="L52" s="19">
        <v>5.0499999999999998E-3</v>
      </c>
      <c r="M52" s="19">
        <v>6.0400000000000002E-3</v>
      </c>
      <c r="N52" s="19">
        <v>4.5500000000000002E-3</v>
      </c>
      <c r="O52" s="20">
        <v>-1.7200000000000001E-9</v>
      </c>
      <c r="Q52" s="307">
        <f t="shared" si="5"/>
        <v>19</v>
      </c>
      <c r="R52" s="308">
        <f t="shared" si="5"/>
        <v>0.33100000000000002</v>
      </c>
      <c r="S52" s="309">
        <f t="shared" si="6"/>
        <v>9.5232579255827956E-8</v>
      </c>
      <c r="T52" s="309">
        <f t="shared" si="4"/>
        <v>-7.6018988704213558E-2</v>
      </c>
      <c r="U52" s="309">
        <f t="shared" si="4"/>
        <v>-2.3390458062834935E-2</v>
      </c>
      <c r="V52" s="309">
        <f t="shared" si="4"/>
        <v>0.17981414635804355</v>
      </c>
      <c r="W52" s="309">
        <f t="shared" si="4"/>
        <v>0.42186361863327293</v>
      </c>
      <c r="X52" s="309">
        <f t="shared" si="4"/>
        <v>0.53255060768061691</v>
      </c>
      <c r="Y52" s="309">
        <f t="shared" si="4"/>
        <v>0.4490132574562064</v>
      </c>
      <c r="Z52" s="309">
        <f t="shared" si="4"/>
        <v>0.26314265320689301</v>
      </c>
      <c r="AA52" s="309">
        <f t="shared" si="4"/>
        <v>0.12760330246778703</v>
      </c>
      <c r="AB52" s="309">
        <f t="shared" si="4"/>
        <v>0.10546590465831823</v>
      </c>
      <c r="AC52" s="309">
        <f t="shared" si="4"/>
        <v>0.12614139883885983</v>
      </c>
      <c r="AD52" s="309">
        <f t="shared" si="4"/>
        <v>9.5023735880266941E-2</v>
      </c>
      <c r="AE52" s="309">
        <f t="shared" si="4"/>
        <v>-3.592106059649651E-8</v>
      </c>
    </row>
    <row r="53" spans="1:31" ht="12.75" customHeight="1" x14ac:dyDescent="0.2">
      <c r="A53" s="6">
        <v>18</v>
      </c>
      <c r="B53" s="306">
        <v>0.34899999999999998</v>
      </c>
      <c r="C53" s="18">
        <v>5.3000000000000003E-9</v>
      </c>
      <c r="D53" s="19">
        <v>-5.3299999999999997E-3</v>
      </c>
      <c r="E53" s="19">
        <v>-3.3800000000000002E-3</v>
      </c>
      <c r="F53" s="19">
        <v>6.7799999999999996E-3</v>
      </c>
      <c r="G53" s="19">
        <v>1.84E-2</v>
      </c>
      <c r="H53" s="19">
        <v>2.24E-2</v>
      </c>
      <c r="I53" s="19">
        <v>1.6199999999999999E-2</v>
      </c>
      <c r="J53" s="19">
        <v>6.45E-3</v>
      </c>
      <c r="K53" s="19">
        <v>1.81E-3</v>
      </c>
      <c r="L53" s="19">
        <v>4.1200000000000004E-3</v>
      </c>
      <c r="M53" s="19">
        <v>7.6299999999999996E-3</v>
      </c>
      <c r="N53" s="19">
        <v>6.1900000000000002E-3</v>
      </c>
      <c r="O53" s="20">
        <v>-1.43E-9</v>
      </c>
      <c r="Q53" s="307">
        <f t="shared" si="5"/>
        <v>18</v>
      </c>
      <c r="R53" s="308">
        <f t="shared" si="5"/>
        <v>0.34899999999999998</v>
      </c>
      <c r="S53" s="309">
        <f t="shared" si="6"/>
        <v>1.106869890473439E-7</v>
      </c>
      <c r="T53" s="309">
        <f t="shared" si="4"/>
        <v>-0.11131351917402697</v>
      </c>
      <c r="U53" s="309">
        <f t="shared" si="4"/>
        <v>-7.0589060939626871E-2</v>
      </c>
      <c r="V53" s="309">
        <f t="shared" si="4"/>
        <v>0.14159580863037574</v>
      </c>
      <c r="W53" s="309">
        <f t="shared" si="4"/>
        <v>0.38427181103228819</v>
      </c>
      <c r="X53" s="309">
        <f t="shared" si="4"/>
        <v>0.46780916125669869</v>
      </c>
      <c r="Y53" s="309">
        <f t="shared" si="4"/>
        <v>0.33832626840886248</v>
      </c>
      <c r="Z53" s="309">
        <f t="shared" si="4"/>
        <v>0.13470397723686192</v>
      </c>
      <c r="AA53" s="309">
        <f t="shared" si="4"/>
        <v>3.7800650976545745E-2</v>
      </c>
      <c r="AB53" s="309">
        <f t="shared" si="4"/>
        <v>8.604347073114281E-2</v>
      </c>
      <c r="AC53" s="309">
        <f t="shared" si="4"/>
        <v>0.15934749555306299</v>
      </c>
      <c r="AD53" s="309">
        <f t="shared" si="4"/>
        <v>0.12927404947227522</v>
      </c>
      <c r="AE53" s="309">
        <f t="shared" si="4"/>
        <v>-2.986460270522675E-8</v>
      </c>
    </row>
    <row r="54" spans="1:31" ht="12.75" customHeight="1" x14ac:dyDescent="0.2">
      <c r="A54" s="6">
        <v>17</v>
      </c>
      <c r="B54" s="306">
        <v>0.37</v>
      </c>
      <c r="C54" s="18">
        <v>-8.4599999999999993E-9</v>
      </c>
      <c r="D54" s="19">
        <v>-7.7200000000000003E-3</v>
      </c>
      <c r="E54" s="19">
        <v>-6.0299999999999998E-3</v>
      </c>
      <c r="F54" s="19">
        <v>6.3E-3</v>
      </c>
      <c r="G54" s="19">
        <v>2.0500000000000001E-2</v>
      </c>
      <c r="H54" s="19">
        <v>2.5000000000000001E-2</v>
      </c>
      <c r="I54" s="19">
        <v>1.66E-2</v>
      </c>
      <c r="J54" s="19">
        <v>4.0800000000000003E-3</v>
      </c>
      <c r="K54" s="19">
        <v>1.8200000000000001E-4</v>
      </c>
      <c r="L54" s="19">
        <v>5.5700000000000003E-3</v>
      </c>
      <c r="M54" s="19">
        <v>1.0800000000000001E-2</v>
      </c>
      <c r="N54" s="19">
        <v>8.6400000000000001E-3</v>
      </c>
      <c r="O54" s="20">
        <v>1.46E-8</v>
      </c>
      <c r="Q54" s="307">
        <f t="shared" si="5"/>
        <v>17</v>
      </c>
      <c r="R54" s="308">
        <f t="shared" si="5"/>
        <v>0.37</v>
      </c>
      <c r="S54" s="309">
        <f t="shared" si="6"/>
        <v>-1.7668149572462815E-7</v>
      </c>
      <c r="T54" s="309">
        <f t="shared" si="4"/>
        <v>-0.16122708593311225</v>
      </c>
      <c r="U54" s="309">
        <f t="shared" si="4"/>
        <v>-0.12593255546329879</v>
      </c>
      <c r="V54" s="309">
        <f t="shared" si="4"/>
        <v>0.1315713266034465</v>
      </c>
      <c r="W54" s="309">
        <f t="shared" si="4"/>
        <v>0.42812891990010371</v>
      </c>
      <c r="X54" s="309">
        <f t="shared" si="4"/>
        <v>0.52210843890256564</v>
      </c>
      <c r="Y54" s="309">
        <f t="shared" si="4"/>
        <v>0.34668000343130362</v>
      </c>
      <c r="Z54" s="309">
        <f t="shared" si="4"/>
        <v>8.5208097228898702E-2</v>
      </c>
      <c r="AA54" s="309">
        <f t="shared" si="4"/>
        <v>3.8009494352106775E-3</v>
      </c>
      <c r="AB54" s="309">
        <f t="shared" si="4"/>
        <v>0.11632576018749161</v>
      </c>
      <c r="AC54" s="309">
        <f t="shared" si="4"/>
        <v>0.22555084560590835</v>
      </c>
      <c r="AD54" s="309">
        <f t="shared" si="4"/>
        <v>0.18044067648472667</v>
      </c>
      <c r="AE54" s="309">
        <f t="shared" si="4"/>
        <v>3.0491132831909832E-7</v>
      </c>
    </row>
    <row r="55" spans="1:31" ht="12.75" customHeight="1" x14ac:dyDescent="0.2">
      <c r="A55" s="6">
        <v>16</v>
      </c>
      <c r="B55" s="306">
        <v>0.39300000000000002</v>
      </c>
      <c r="C55" s="18">
        <v>-5.6799999999999999E-8</v>
      </c>
      <c r="D55" s="19">
        <v>-1.0999999999999999E-2</v>
      </c>
      <c r="E55" s="19">
        <v>-9.0799999999999995E-3</v>
      </c>
      <c r="F55" s="19">
        <v>8.09E-3</v>
      </c>
      <c r="G55" s="19">
        <v>2.9000000000000001E-2</v>
      </c>
      <c r="H55" s="19">
        <v>3.6299999999999999E-2</v>
      </c>
      <c r="I55" s="19">
        <v>2.53E-2</v>
      </c>
      <c r="J55" s="19">
        <v>8.2400000000000008E-3</v>
      </c>
      <c r="K55" s="19">
        <v>3.2799999999999999E-3</v>
      </c>
      <c r="L55" s="19">
        <v>1.0200000000000001E-2</v>
      </c>
      <c r="M55" s="19">
        <v>1.6199999999999999E-2</v>
      </c>
      <c r="N55" s="19">
        <v>1.2200000000000001E-2</v>
      </c>
      <c r="O55" s="20">
        <v>6.2499999999999997E-8</v>
      </c>
      <c r="Q55" s="307">
        <f t="shared" si="5"/>
        <v>16</v>
      </c>
      <c r="R55" s="308">
        <f t="shared" si="5"/>
        <v>0.39300000000000002</v>
      </c>
      <c r="S55" s="309">
        <f t="shared" si="6"/>
        <v>-1.186230373186629E-6</v>
      </c>
      <c r="T55" s="309">
        <f t="shared" si="4"/>
        <v>-0.22972771311712886</v>
      </c>
      <c r="U55" s="309">
        <f t="shared" si="4"/>
        <v>-0.1896297850094118</v>
      </c>
      <c r="V55" s="309">
        <f t="shared" si="4"/>
        <v>0.1689542908288702</v>
      </c>
      <c r="W55" s="309">
        <f t="shared" si="4"/>
        <v>0.60564578912697598</v>
      </c>
      <c r="X55" s="309">
        <f t="shared" si="4"/>
        <v>0.75810145328652512</v>
      </c>
      <c r="Y55" s="309">
        <f t="shared" si="4"/>
        <v>0.52837374016939642</v>
      </c>
      <c r="Z55" s="309">
        <f t="shared" si="4"/>
        <v>0.17208694146228562</v>
      </c>
      <c r="AA55" s="309">
        <f t="shared" si="4"/>
        <v>6.8500627184016602E-2</v>
      </c>
      <c r="AB55" s="309">
        <f t="shared" si="4"/>
        <v>0.21302024307224676</v>
      </c>
      <c r="AC55" s="309">
        <f t="shared" si="4"/>
        <v>0.33832626840886248</v>
      </c>
      <c r="AD55" s="309">
        <f t="shared" si="4"/>
        <v>0.25478891818445198</v>
      </c>
      <c r="AE55" s="309">
        <f t="shared" si="4"/>
        <v>1.3052710972564139E-6</v>
      </c>
    </row>
    <row r="56" spans="1:31" ht="12.75" customHeight="1" x14ac:dyDescent="0.2">
      <c r="A56" s="6">
        <v>15</v>
      </c>
      <c r="B56" s="306">
        <v>0.41899999999999998</v>
      </c>
      <c r="C56" s="18">
        <v>-7.7099999999999992E-9</v>
      </c>
      <c r="D56" s="19">
        <v>-1.44E-2</v>
      </c>
      <c r="E56" s="19">
        <v>-1.12E-2</v>
      </c>
      <c r="F56" s="19">
        <v>1.52E-2</v>
      </c>
      <c r="G56" s="19">
        <v>5.04E-2</v>
      </c>
      <c r="H56" s="19">
        <v>6.8099999999999994E-2</v>
      </c>
      <c r="I56" s="19">
        <v>5.5300000000000002E-2</v>
      </c>
      <c r="J56" s="19">
        <v>2.9000000000000001E-2</v>
      </c>
      <c r="K56" s="19">
        <v>1.7100000000000001E-2</v>
      </c>
      <c r="L56" s="19">
        <v>2.18E-2</v>
      </c>
      <c r="M56" s="19">
        <v>2.6100000000000002E-2</v>
      </c>
      <c r="N56" s="19">
        <v>1.7899999999999999E-2</v>
      </c>
      <c r="O56" s="20">
        <v>1.0999999999999999E-8</v>
      </c>
      <c r="Q56" s="307">
        <f t="shared" si="5"/>
        <v>15</v>
      </c>
      <c r="R56" s="308">
        <f t="shared" si="5"/>
        <v>0.41899999999999998</v>
      </c>
      <c r="S56" s="309">
        <f t="shared" si="6"/>
        <v>-1.610182425575512E-7</v>
      </c>
      <c r="T56" s="309">
        <f t="shared" si="4"/>
        <v>-0.3007344608078778</v>
      </c>
      <c r="U56" s="309">
        <f t="shared" si="4"/>
        <v>-0.23390458062834935</v>
      </c>
      <c r="V56" s="309">
        <f t="shared" si="4"/>
        <v>0.31744193085275985</v>
      </c>
      <c r="W56" s="309">
        <f t="shared" si="4"/>
        <v>1.052570612827572</v>
      </c>
      <c r="X56" s="309">
        <f t="shared" si="4"/>
        <v>1.4222233875705885</v>
      </c>
      <c r="Y56" s="309">
        <f t="shared" si="4"/>
        <v>1.1549038668524751</v>
      </c>
      <c r="Z56" s="309">
        <f t="shared" si="4"/>
        <v>0.60564578912697598</v>
      </c>
      <c r="AA56" s="309">
        <f t="shared" si="4"/>
        <v>0.35712217220935488</v>
      </c>
      <c r="AB56" s="309">
        <f t="shared" si="4"/>
        <v>0.45527855872303719</v>
      </c>
      <c r="AC56" s="309">
        <f t="shared" si="4"/>
        <v>0.54508121021427847</v>
      </c>
      <c r="AD56" s="309">
        <f t="shared" si="4"/>
        <v>0.37382964225423687</v>
      </c>
      <c r="AE56" s="309">
        <f t="shared" si="4"/>
        <v>2.2972771311712882E-7</v>
      </c>
    </row>
    <row r="57" spans="1:31" ht="12.75" customHeight="1" x14ac:dyDescent="0.2">
      <c r="A57" s="6">
        <v>14</v>
      </c>
      <c r="B57" s="306">
        <v>0.44900000000000001</v>
      </c>
      <c r="C57" s="18">
        <v>-1.9399999999999998E-8</v>
      </c>
      <c r="D57" s="19">
        <v>-1.0500000000000001E-2</v>
      </c>
      <c r="E57" s="19">
        <v>-1.6999999999999999E-3</v>
      </c>
      <c r="F57" s="19">
        <v>3.9800000000000002E-2</v>
      </c>
      <c r="G57" s="19">
        <v>0.105</v>
      </c>
      <c r="H57" s="19">
        <v>0.153</v>
      </c>
      <c r="I57" s="19">
        <v>0.14499999999999999</v>
      </c>
      <c r="J57" s="19">
        <v>9.7000000000000003E-2</v>
      </c>
      <c r="K57" s="19">
        <v>6.0600000000000001E-2</v>
      </c>
      <c r="L57" s="19">
        <v>5.3100000000000001E-2</v>
      </c>
      <c r="M57" s="19">
        <v>5.0299999999999997E-2</v>
      </c>
      <c r="N57" s="19">
        <v>3.1800000000000002E-2</v>
      </c>
      <c r="O57" s="20">
        <v>6.9999999999999998E-9</v>
      </c>
      <c r="Q57" s="307">
        <f t="shared" si="5"/>
        <v>14</v>
      </c>
      <c r="R57" s="308">
        <f t="shared" si="5"/>
        <v>0.44900000000000001</v>
      </c>
      <c r="S57" s="309">
        <f t="shared" si="6"/>
        <v>-4.0515614858839087E-7</v>
      </c>
      <c r="T57" s="309">
        <f t="shared" si="4"/>
        <v>-0.21928554433907751</v>
      </c>
      <c r="U57" s="309">
        <f t="shared" si="4"/>
        <v>-3.5503373845374463E-2</v>
      </c>
      <c r="V57" s="309">
        <f t="shared" si="4"/>
        <v>0.83119663473288441</v>
      </c>
      <c r="W57" s="309">
        <f t="shared" si="4"/>
        <v>2.1928554433907754</v>
      </c>
      <c r="X57" s="309">
        <f t="shared" si="4"/>
        <v>3.1953036460837008</v>
      </c>
      <c r="Y57" s="309">
        <f t="shared" si="4"/>
        <v>3.0282289456348805</v>
      </c>
      <c r="Z57" s="309">
        <f t="shared" si="4"/>
        <v>2.0257807429419548</v>
      </c>
      <c r="AA57" s="309">
        <f t="shared" si="4"/>
        <v>1.265590855899819</v>
      </c>
      <c r="AB57" s="309">
        <f t="shared" si="4"/>
        <v>1.1089583242290493</v>
      </c>
      <c r="AC57" s="309">
        <f t="shared" si="4"/>
        <v>1.0504821790719618</v>
      </c>
      <c r="AD57" s="309">
        <f t="shared" si="4"/>
        <v>0.66412193428406341</v>
      </c>
      <c r="AE57" s="309">
        <f t="shared" si="4"/>
        <v>1.4619036289271836E-7</v>
      </c>
    </row>
    <row r="58" spans="1:31" ht="12.75" customHeight="1" x14ac:dyDescent="0.2">
      <c r="A58" s="6">
        <v>13</v>
      </c>
      <c r="B58" s="306">
        <v>0.48299999999999998</v>
      </c>
      <c r="C58" s="18">
        <v>1.2499999999999999E-7</v>
      </c>
      <c r="D58" s="19">
        <v>4.4900000000000002E-2</v>
      </c>
      <c r="E58" s="19">
        <v>8.1500000000000003E-2</v>
      </c>
      <c r="F58" s="19">
        <v>0.14299999999999999</v>
      </c>
      <c r="G58" s="19">
        <v>0.26800000000000002</v>
      </c>
      <c r="H58" s="19">
        <v>0.40500000000000003</v>
      </c>
      <c r="I58" s="19">
        <v>0.43</v>
      </c>
      <c r="J58" s="19">
        <v>0.32200000000000001</v>
      </c>
      <c r="K58" s="19">
        <v>0.20499999999999999</v>
      </c>
      <c r="L58" s="19">
        <v>0.161</v>
      </c>
      <c r="M58" s="19">
        <v>0.14399999999999999</v>
      </c>
      <c r="N58" s="19">
        <v>9.06E-2</v>
      </c>
      <c r="O58" s="20">
        <v>-8.6999999999999998E-8</v>
      </c>
      <c r="Q58" s="307">
        <f t="shared" si="5"/>
        <v>13</v>
      </c>
      <c r="R58" s="308">
        <f t="shared" si="5"/>
        <v>0.48299999999999998</v>
      </c>
      <c r="S58" s="309">
        <f t="shared" si="6"/>
        <v>2.6105421945128278E-6</v>
      </c>
      <c r="T58" s="309">
        <f t="shared" si="4"/>
        <v>0.9377067562690079</v>
      </c>
      <c r="U58" s="309">
        <f t="shared" si="4"/>
        <v>1.7020735108223637</v>
      </c>
      <c r="V58" s="309">
        <f t="shared" si="4"/>
        <v>2.986460270522675</v>
      </c>
      <c r="W58" s="309">
        <f t="shared" si="4"/>
        <v>5.5970024650355032</v>
      </c>
      <c r="X58" s="309">
        <f t="shared" si="4"/>
        <v>8.4581567102215622</v>
      </c>
      <c r="Y58" s="309">
        <f t="shared" si="4"/>
        <v>8.9802651491241274</v>
      </c>
      <c r="Z58" s="309">
        <f t="shared" si="4"/>
        <v>6.7247566930650455</v>
      </c>
      <c r="AA58" s="309">
        <f t="shared" si="4"/>
        <v>4.281289199001038</v>
      </c>
      <c r="AB58" s="309">
        <f t="shared" si="4"/>
        <v>3.3623783465325228</v>
      </c>
      <c r="AC58" s="309">
        <f t="shared" si="4"/>
        <v>3.0073446080787778</v>
      </c>
      <c r="AD58" s="309">
        <f t="shared" si="4"/>
        <v>1.8921209825828975</v>
      </c>
      <c r="AE58" s="309">
        <f t="shared" si="4"/>
        <v>-1.8169373673809281E-6</v>
      </c>
    </row>
    <row r="59" spans="1:31" ht="12.75" customHeight="1" x14ac:dyDescent="0.2">
      <c r="A59" s="6">
        <v>12</v>
      </c>
      <c r="B59" s="306">
        <v>0.52400000000000002</v>
      </c>
      <c r="C59" s="18">
        <v>-4.8800000000000003E-7</v>
      </c>
      <c r="D59" s="19">
        <v>0.372</v>
      </c>
      <c r="E59" s="19">
        <v>0.56200000000000006</v>
      </c>
      <c r="F59" s="19">
        <v>0.63200000000000001</v>
      </c>
      <c r="G59" s="19">
        <v>0.86699999999999999</v>
      </c>
      <c r="H59" s="19">
        <v>1.31</v>
      </c>
      <c r="I59" s="19">
        <v>1.49</v>
      </c>
      <c r="J59" s="19">
        <v>1.18</v>
      </c>
      <c r="K59" s="19">
        <v>0.77200000000000002</v>
      </c>
      <c r="L59" s="19">
        <v>0.63600000000000001</v>
      </c>
      <c r="M59" s="19">
        <v>0.59599999999999997</v>
      </c>
      <c r="N59" s="19">
        <v>0.38700000000000001</v>
      </c>
      <c r="O59" s="20">
        <v>1.15E-6</v>
      </c>
      <c r="Q59" s="307">
        <f t="shared" si="5"/>
        <v>12</v>
      </c>
      <c r="R59" s="308">
        <f t="shared" si="5"/>
        <v>0.52400000000000002</v>
      </c>
      <c r="S59" s="309">
        <f t="shared" si="6"/>
        <v>-1.019155672737808E-5</v>
      </c>
      <c r="T59" s="309">
        <f t="shared" si="4"/>
        <v>7.768973570870175</v>
      </c>
      <c r="U59" s="309">
        <f t="shared" si="4"/>
        <v>11.736997706529674</v>
      </c>
      <c r="V59" s="309">
        <f t="shared" si="4"/>
        <v>13.198901335456856</v>
      </c>
      <c r="W59" s="309">
        <f t="shared" si="4"/>
        <v>18.106720661140972</v>
      </c>
      <c r="X59" s="309">
        <f t="shared" si="4"/>
        <v>27.358482198494436</v>
      </c>
      <c r="Y59" s="309">
        <f t="shared" si="4"/>
        <v>31.117662958592906</v>
      </c>
      <c r="Z59" s="309">
        <f t="shared" si="4"/>
        <v>24.643518316201096</v>
      </c>
      <c r="AA59" s="309">
        <f t="shared" si="4"/>
        <v>16.122708593311224</v>
      </c>
      <c r="AB59" s="309">
        <f t="shared" si="4"/>
        <v>13.282438685681267</v>
      </c>
      <c r="AC59" s="309">
        <f t="shared" si="4"/>
        <v>12.447065183437163</v>
      </c>
      <c r="AD59" s="309">
        <f t="shared" si="4"/>
        <v>8.0822386342117145</v>
      </c>
      <c r="AE59" s="309">
        <f t="shared" si="4"/>
        <v>2.4016988189518012E-5</v>
      </c>
    </row>
    <row r="60" spans="1:31" ht="12.75" customHeight="1" x14ac:dyDescent="0.2">
      <c r="A60" s="6">
        <v>11</v>
      </c>
      <c r="B60" s="306">
        <v>0.57099999999999995</v>
      </c>
      <c r="C60" s="18">
        <v>5.0100000000000005E-7</v>
      </c>
      <c r="D60" s="19">
        <v>1.9</v>
      </c>
      <c r="E60" s="19">
        <v>2.9</v>
      </c>
      <c r="F60" s="19">
        <v>3.06</v>
      </c>
      <c r="G60" s="19">
        <v>3.75</v>
      </c>
      <c r="H60" s="19">
        <v>5.68</v>
      </c>
      <c r="I60" s="19">
        <v>6.81</v>
      </c>
      <c r="J60" s="19">
        <v>5.48</v>
      </c>
      <c r="K60" s="19">
        <v>3.56</v>
      </c>
      <c r="L60" s="19">
        <v>2.93</v>
      </c>
      <c r="M60" s="19">
        <v>2.74</v>
      </c>
      <c r="N60" s="19">
        <v>1.76</v>
      </c>
      <c r="O60" s="20">
        <v>2.3199999999999998E-6</v>
      </c>
      <c r="Q60" s="307">
        <f t="shared" si="5"/>
        <v>11</v>
      </c>
      <c r="R60" s="308">
        <f t="shared" si="5"/>
        <v>0.57099999999999995</v>
      </c>
      <c r="S60" s="309">
        <f t="shared" si="6"/>
        <v>1.0463053115607413E-5</v>
      </c>
      <c r="T60" s="309">
        <f t="shared" si="4"/>
        <v>39.680241356594983</v>
      </c>
      <c r="U60" s="309">
        <f t="shared" si="4"/>
        <v>60.564578912697598</v>
      </c>
      <c r="V60" s="309">
        <f t="shared" si="4"/>
        <v>63.906072921674024</v>
      </c>
      <c r="W60" s="309">
        <f t="shared" si="4"/>
        <v>78.31626583538484</v>
      </c>
      <c r="X60" s="309">
        <f t="shared" si="4"/>
        <v>118.6230373186629</v>
      </c>
      <c r="Y60" s="309">
        <f t="shared" si="4"/>
        <v>142.22233875705885</v>
      </c>
      <c r="Z60" s="309">
        <f t="shared" si="4"/>
        <v>114.44616980744236</v>
      </c>
      <c r="AA60" s="309">
        <f t="shared" si="4"/>
        <v>74.348241699725335</v>
      </c>
      <c r="AB60" s="309">
        <f t="shared" si="4"/>
        <v>61.191109039380684</v>
      </c>
      <c r="AC60" s="309">
        <f t="shared" si="4"/>
        <v>57.22308490372118</v>
      </c>
      <c r="AD60" s="309">
        <f t="shared" si="4"/>
        <v>36.75643409874062</v>
      </c>
      <c r="AE60" s="309">
        <f t="shared" si="4"/>
        <v>4.8451663130158079E-5</v>
      </c>
    </row>
    <row r="61" spans="1:31" ht="12.75" customHeight="1" x14ac:dyDescent="0.2">
      <c r="A61" s="6">
        <v>10</v>
      </c>
      <c r="B61" s="306">
        <v>0.628</v>
      </c>
      <c r="C61" s="18">
        <v>7.96E-6</v>
      </c>
      <c r="D61" s="19">
        <v>8.56</v>
      </c>
      <c r="E61" s="19">
        <v>13</v>
      </c>
      <c r="F61" s="19">
        <v>14.9</v>
      </c>
      <c r="G61" s="19">
        <v>24</v>
      </c>
      <c r="H61" s="19">
        <v>44.2</v>
      </c>
      <c r="I61" s="19">
        <v>56.4</v>
      </c>
      <c r="J61" s="19">
        <v>44</v>
      </c>
      <c r="K61" s="19">
        <v>23.5</v>
      </c>
      <c r="L61" s="19">
        <v>13.9</v>
      </c>
      <c r="M61" s="19">
        <v>11.8</v>
      </c>
      <c r="N61" s="19">
        <v>7.81</v>
      </c>
      <c r="O61" s="20">
        <v>3.6200000000000001E-6</v>
      </c>
      <c r="Q61" s="307">
        <f t="shared" si="5"/>
        <v>10</v>
      </c>
      <c r="R61" s="308">
        <f t="shared" si="5"/>
        <v>0.628</v>
      </c>
      <c r="S61" s="309">
        <f t="shared" si="6"/>
        <v>1.6623932694657687E-4</v>
      </c>
      <c r="T61" s="309">
        <f t="shared" si="4"/>
        <v>178.76992948023843</v>
      </c>
      <c r="U61" s="309">
        <f t="shared" si="4"/>
        <v>271.49638822933412</v>
      </c>
      <c r="V61" s="309">
        <f t="shared" si="4"/>
        <v>311.17662958592905</v>
      </c>
      <c r="W61" s="309">
        <f t="shared" si="4"/>
        <v>501.22410134646299</v>
      </c>
      <c r="X61" s="309">
        <f t="shared" si="4"/>
        <v>923.08771997973588</v>
      </c>
      <c r="Y61" s="309">
        <f t="shared" si="4"/>
        <v>1177.8766381641881</v>
      </c>
      <c r="Z61" s="309">
        <f t="shared" si="4"/>
        <v>918.91085246851537</v>
      </c>
      <c r="AA61" s="309">
        <f t="shared" si="4"/>
        <v>490.78193256841155</v>
      </c>
      <c r="AB61" s="309">
        <f t="shared" si="4"/>
        <v>290.29229202982646</v>
      </c>
      <c r="AC61" s="309">
        <f t="shared" si="4"/>
        <v>246.43518316201093</v>
      </c>
      <c r="AD61" s="309">
        <f t="shared" si="4"/>
        <v>163.10667631316147</v>
      </c>
      <c r="AE61" s="309">
        <f t="shared" si="4"/>
        <v>7.5601301953091501E-5</v>
      </c>
    </row>
    <row r="62" spans="1:31" ht="12.75" customHeight="1" x14ac:dyDescent="0.2">
      <c r="A62" s="6">
        <v>9.5</v>
      </c>
      <c r="B62" s="306">
        <v>0.66100000000000003</v>
      </c>
      <c r="C62" s="18">
        <v>2.0000000000000002E-5</v>
      </c>
      <c r="D62" s="19">
        <v>22.9</v>
      </c>
      <c r="E62" s="19">
        <v>30.4</v>
      </c>
      <c r="F62" s="19">
        <v>33.799999999999997</v>
      </c>
      <c r="G62" s="19">
        <v>79.7</v>
      </c>
      <c r="H62" s="19">
        <v>183</v>
      </c>
      <c r="I62" s="19">
        <v>246</v>
      </c>
      <c r="J62" s="19">
        <v>185</v>
      </c>
      <c r="K62" s="19">
        <v>79.8</v>
      </c>
      <c r="L62" s="19">
        <v>30.8</v>
      </c>
      <c r="M62" s="19">
        <v>26.9</v>
      </c>
      <c r="N62" s="19">
        <v>20.9</v>
      </c>
      <c r="O62" s="20">
        <v>2.19E-5</v>
      </c>
      <c r="Q62" s="307">
        <f t="shared" si="5"/>
        <v>9.5</v>
      </c>
      <c r="R62" s="308">
        <f t="shared" si="5"/>
        <v>0.66100000000000003</v>
      </c>
      <c r="S62" s="309">
        <f t="shared" si="6"/>
        <v>4.1768675112205248E-4</v>
      </c>
      <c r="T62" s="309">
        <f t="shared" si="4"/>
        <v>478.25133003475008</v>
      </c>
      <c r="U62" s="309">
        <f t="shared" si="4"/>
        <v>634.88386170551973</v>
      </c>
      <c r="V62" s="309">
        <f t="shared" si="4"/>
        <v>705.89060939626859</v>
      </c>
      <c r="W62" s="309">
        <f t="shared" si="4"/>
        <v>1664.4817032213791</v>
      </c>
      <c r="X62" s="309">
        <f t="shared" si="4"/>
        <v>3821.8337727667795</v>
      </c>
      <c r="Y62" s="309">
        <f t="shared" si="4"/>
        <v>5137.5470388012445</v>
      </c>
      <c r="Z62" s="309">
        <f t="shared" si="4"/>
        <v>3863.602447878985</v>
      </c>
      <c r="AA62" s="309">
        <f t="shared" si="4"/>
        <v>1666.5701369769893</v>
      </c>
      <c r="AB62" s="309">
        <f t="shared" si="4"/>
        <v>643.23759672796075</v>
      </c>
      <c r="AC62" s="309">
        <f t="shared" si="4"/>
        <v>561.78868025916051</v>
      </c>
      <c r="AD62" s="309">
        <f t="shared" si="4"/>
        <v>436.48265492254478</v>
      </c>
      <c r="AE62" s="309">
        <f t="shared" si="4"/>
        <v>4.573669924786474E-4</v>
      </c>
    </row>
    <row r="63" spans="1:31" ht="12.75" customHeight="1" x14ac:dyDescent="0.2">
      <c r="A63" s="6">
        <v>9</v>
      </c>
      <c r="B63" s="306">
        <v>0.69799999999999995</v>
      </c>
      <c r="C63" s="18">
        <v>1.18E-4</v>
      </c>
      <c r="D63" s="19">
        <v>58.2</v>
      </c>
      <c r="E63" s="19">
        <v>76.3</v>
      </c>
      <c r="F63" s="19">
        <v>70.599999999999994</v>
      </c>
      <c r="G63" s="19">
        <v>164</v>
      </c>
      <c r="H63" s="19">
        <v>430</v>
      </c>
      <c r="I63" s="19">
        <v>609</v>
      </c>
      <c r="J63" s="19">
        <v>445</v>
      </c>
      <c r="K63" s="19">
        <v>172</v>
      </c>
      <c r="L63" s="19">
        <v>65.900000000000006</v>
      </c>
      <c r="M63" s="19">
        <v>68.7</v>
      </c>
      <c r="N63" s="19">
        <v>53.8</v>
      </c>
      <c r="O63" s="20">
        <v>-9.9500000000000006E-5</v>
      </c>
      <c r="Q63" s="307">
        <f t="shared" si="5"/>
        <v>9</v>
      </c>
      <c r="R63" s="308">
        <f t="shared" si="5"/>
        <v>0.69799999999999995</v>
      </c>
      <c r="S63" s="309">
        <f t="shared" si="6"/>
        <v>2.4643518316201092E-3</v>
      </c>
      <c r="T63" s="309">
        <f t="shared" si="4"/>
        <v>1215.4684457651726</v>
      </c>
      <c r="U63" s="309">
        <f t="shared" si="4"/>
        <v>1593.47495553063</v>
      </c>
      <c r="V63" s="309">
        <f t="shared" si="4"/>
        <v>1474.434231460845</v>
      </c>
      <c r="W63" s="309">
        <f t="shared" si="4"/>
        <v>3425.0313592008301</v>
      </c>
      <c r="X63" s="309">
        <f t="shared" si="4"/>
        <v>8980.2651491241268</v>
      </c>
      <c r="Y63" s="309">
        <f t="shared" si="4"/>
        <v>12718.561571666496</v>
      </c>
      <c r="Z63" s="309">
        <f t="shared" si="4"/>
        <v>9293.5302124656664</v>
      </c>
      <c r="AA63" s="309">
        <f t="shared" si="4"/>
        <v>3592.1060596496513</v>
      </c>
      <c r="AB63" s="309">
        <f t="shared" si="4"/>
        <v>1376.2778449471627</v>
      </c>
      <c r="AC63" s="309">
        <f t="shared" si="4"/>
        <v>1434.7539901042503</v>
      </c>
      <c r="AD63" s="309">
        <f t="shared" si="4"/>
        <v>1123.577360518321</v>
      </c>
      <c r="AE63" s="309">
        <f t="shared" si="4"/>
        <v>-2.0779915868322112E-3</v>
      </c>
    </row>
    <row r="64" spans="1:31" ht="12.75" customHeight="1" x14ac:dyDescent="0.2">
      <c r="A64" s="6">
        <v>8.5</v>
      </c>
      <c r="B64" s="306">
        <v>0.73899999999999999</v>
      </c>
      <c r="C64" s="18">
        <v>-7.1500000000000003E-5</v>
      </c>
      <c r="D64" s="19">
        <v>60.2</v>
      </c>
      <c r="E64" s="19">
        <v>104</v>
      </c>
      <c r="F64" s="19">
        <v>122</v>
      </c>
      <c r="G64" s="19">
        <v>155</v>
      </c>
      <c r="H64" s="19">
        <v>269</v>
      </c>
      <c r="I64" s="19">
        <v>361</v>
      </c>
      <c r="J64" s="19">
        <v>285</v>
      </c>
      <c r="K64" s="19">
        <v>169</v>
      </c>
      <c r="L64" s="19">
        <v>127</v>
      </c>
      <c r="M64" s="19">
        <v>103</v>
      </c>
      <c r="N64" s="19">
        <v>58</v>
      </c>
      <c r="O64" s="20">
        <v>7.4000000000000003E-6</v>
      </c>
      <c r="Q64" s="307">
        <f t="shared" si="5"/>
        <v>8.5</v>
      </c>
      <c r="R64" s="308">
        <f t="shared" si="5"/>
        <v>0.73899999999999999</v>
      </c>
      <c r="S64" s="309">
        <f t="shared" si="6"/>
        <v>-1.4932301352613376E-3</v>
      </c>
      <c r="T64" s="309">
        <f t="shared" si="4"/>
        <v>1257.2371208773777</v>
      </c>
      <c r="U64" s="309">
        <f t="shared" si="4"/>
        <v>2171.9711058346729</v>
      </c>
      <c r="V64" s="309">
        <f t="shared" si="4"/>
        <v>2547.88918184452</v>
      </c>
      <c r="W64" s="309">
        <f t="shared" si="4"/>
        <v>3237.0723211959062</v>
      </c>
      <c r="X64" s="309">
        <f t="shared" si="4"/>
        <v>5617.8868025916054</v>
      </c>
      <c r="Y64" s="309">
        <f t="shared" si="4"/>
        <v>7539.2458577530469</v>
      </c>
      <c r="Z64" s="309">
        <f t="shared" si="4"/>
        <v>5952.0362034892469</v>
      </c>
      <c r="AA64" s="309">
        <f t="shared" si="4"/>
        <v>3529.453046981343</v>
      </c>
      <c r="AB64" s="309">
        <f t="shared" si="4"/>
        <v>2652.3108696250333</v>
      </c>
      <c r="AC64" s="309">
        <f t="shared" si="4"/>
        <v>2151.0867682785702</v>
      </c>
      <c r="AD64" s="309">
        <f t="shared" si="4"/>
        <v>1211.2915782539521</v>
      </c>
      <c r="AE64" s="309">
        <f t="shared" si="4"/>
        <v>1.5454409791515941E-4</v>
      </c>
    </row>
    <row r="65" spans="1:31" ht="12.75" customHeight="1" x14ac:dyDescent="0.2">
      <c r="A65" s="6">
        <v>8</v>
      </c>
      <c r="B65" s="306">
        <v>0.78500000000000003</v>
      </c>
      <c r="C65" s="18">
        <v>9.0400000000000002E-5</v>
      </c>
      <c r="D65" s="19">
        <v>75.599999999999994</v>
      </c>
      <c r="E65" s="19">
        <v>149</v>
      </c>
      <c r="F65" s="19">
        <v>218</v>
      </c>
      <c r="G65" s="19">
        <v>274</v>
      </c>
      <c r="H65" s="19">
        <v>283</v>
      </c>
      <c r="I65" s="19">
        <v>267</v>
      </c>
      <c r="J65" s="19">
        <v>295</v>
      </c>
      <c r="K65" s="19">
        <v>303</v>
      </c>
      <c r="L65" s="19">
        <v>237</v>
      </c>
      <c r="M65" s="19">
        <v>149</v>
      </c>
      <c r="N65" s="19">
        <v>70.8</v>
      </c>
      <c r="O65" s="20">
        <v>1.01E-4</v>
      </c>
      <c r="Q65" s="307">
        <f t="shared" si="5"/>
        <v>8</v>
      </c>
      <c r="R65" s="308">
        <f t="shared" si="5"/>
        <v>0.78500000000000003</v>
      </c>
      <c r="S65" s="309">
        <f t="shared" si="6"/>
        <v>1.8879441150716771E-3</v>
      </c>
      <c r="T65" s="309">
        <f t="shared" si="4"/>
        <v>1578.8559192413584</v>
      </c>
      <c r="U65" s="309">
        <f t="shared" si="4"/>
        <v>3111.7662958592909</v>
      </c>
      <c r="V65" s="309">
        <f t="shared" si="4"/>
        <v>4552.7855872303717</v>
      </c>
      <c r="W65" s="309">
        <f t="shared" si="4"/>
        <v>5722.3084903721183</v>
      </c>
      <c r="X65" s="309">
        <f t="shared" si="4"/>
        <v>5910.2675283770423</v>
      </c>
      <c r="Y65" s="309">
        <f t="shared" si="4"/>
        <v>5576.1181274793998</v>
      </c>
      <c r="Z65" s="309">
        <f t="shared" si="4"/>
        <v>6160.8795790502745</v>
      </c>
      <c r="AA65" s="309">
        <f t="shared" si="4"/>
        <v>6327.9542794990948</v>
      </c>
      <c r="AB65" s="309">
        <f t="shared" si="4"/>
        <v>4949.5880007963215</v>
      </c>
      <c r="AC65" s="309">
        <f t="shared" si="4"/>
        <v>3111.7662958592909</v>
      </c>
      <c r="AD65" s="309">
        <f t="shared" si="4"/>
        <v>1478.6110989720657</v>
      </c>
      <c r="AE65" s="309">
        <f t="shared" si="4"/>
        <v>2.109318093166365E-3</v>
      </c>
    </row>
    <row r="66" spans="1:31" ht="12.75" customHeight="1" x14ac:dyDescent="0.2">
      <c r="A66" s="6">
        <v>7.5</v>
      </c>
      <c r="B66" s="306">
        <v>0.83799999999999997</v>
      </c>
      <c r="C66" s="18">
        <v>5.3399999999999997E-5</v>
      </c>
      <c r="D66" s="19">
        <v>98.6</v>
      </c>
      <c r="E66" s="19">
        <v>233</v>
      </c>
      <c r="F66" s="19">
        <v>353</v>
      </c>
      <c r="G66" s="19">
        <v>400</v>
      </c>
      <c r="H66" s="19">
        <v>370</v>
      </c>
      <c r="I66" s="19">
        <v>302</v>
      </c>
      <c r="J66" s="19">
        <v>371</v>
      </c>
      <c r="K66" s="19">
        <v>420</v>
      </c>
      <c r="L66" s="19">
        <v>351</v>
      </c>
      <c r="M66" s="19">
        <v>226</v>
      </c>
      <c r="N66" s="19">
        <v>99.1</v>
      </c>
      <c r="O66" s="20">
        <v>-1.3200000000000001E-4</v>
      </c>
      <c r="Q66" s="307">
        <f t="shared" si="5"/>
        <v>7.5</v>
      </c>
      <c r="R66" s="308">
        <f t="shared" si="5"/>
        <v>0.83799999999999997</v>
      </c>
      <c r="S66" s="309">
        <f t="shared" si="6"/>
        <v>1.11522362549588E-3</v>
      </c>
      <c r="T66" s="309">
        <f t="shared" si="4"/>
        <v>2059.1956830317185</v>
      </c>
      <c r="U66" s="309">
        <f t="shared" si="4"/>
        <v>4866.0506505719113</v>
      </c>
      <c r="V66" s="309">
        <f t="shared" si="4"/>
        <v>7372.1711573042248</v>
      </c>
      <c r="W66" s="309">
        <f t="shared" si="4"/>
        <v>8353.7350224410493</v>
      </c>
      <c r="X66" s="309">
        <f t="shared" si="4"/>
        <v>7727.20489575797</v>
      </c>
      <c r="Y66" s="309">
        <f t="shared" si="4"/>
        <v>6307.069941942992</v>
      </c>
      <c r="Z66" s="309">
        <f t="shared" si="4"/>
        <v>7748.0892333140737</v>
      </c>
      <c r="AA66" s="309">
        <f t="shared" si="4"/>
        <v>8771.4217735631009</v>
      </c>
      <c r="AB66" s="309">
        <f t="shared" si="4"/>
        <v>7330.4024821920202</v>
      </c>
      <c r="AC66" s="309">
        <f t="shared" si="4"/>
        <v>4719.860287679192</v>
      </c>
      <c r="AD66" s="309">
        <f t="shared" si="4"/>
        <v>2069.6378518097699</v>
      </c>
      <c r="AE66" s="309">
        <f t="shared" si="4"/>
        <v>-2.7567325574055462E-3</v>
      </c>
    </row>
    <row r="67" spans="1:31" ht="12.75" customHeight="1" x14ac:dyDescent="0.2">
      <c r="A67" s="6">
        <v>7</v>
      </c>
      <c r="B67" s="306">
        <v>0.89800000000000002</v>
      </c>
      <c r="C67" s="18">
        <v>6.2999999999999998E-6</v>
      </c>
      <c r="D67" s="19">
        <v>56.5</v>
      </c>
      <c r="E67" s="19">
        <v>213</v>
      </c>
      <c r="F67" s="19">
        <v>394</v>
      </c>
      <c r="G67" s="19">
        <v>405</v>
      </c>
      <c r="H67" s="19">
        <v>376</v>
      </c>
      <c r="I67" s="19">
        <v>393</v>
      </c>
      <c r="J67" s="19">
        <v>385</v>
      </c>
      <c r="K67" s="19">
        <v>396</v>
      </c>
      <c r="L67" s="19">
        <v>399</v>
      </c>
      <c r="M67" s="19">
        <v>257</v>
      </c>
      <c r="N67" s="19">
        <v>90.8</v>
      </c>
      <c r="O67" s="20">
        <v>2.7900000000000001E-4</v>
      </c>
      <c r="Q67" s="307">
        <f t="shared" si="5"/>
        <v>7</v>
      </c>
      <c r="R67" s="308">
        <f t="shared" si="5"/>
        <v>0.89800000000000002</v>
      </c>
      <c r="S67" s="309">
        <f t="shared" si="6"/>
        <v>1.3157132660344652E-4</v>
      </c>
      <c r="T67" s="309">
        <f t="shared" si="4"/>
        <v>1179.965071919798</v>
      </c>
      <c r="U67" s="309">
        <f t="shared" si="4"/>
        <v>4448.3638994498588</v>
      </c>
      <c r="V67" s="309">
        <f t="shared" si="4"/>
        <v>8228.4289971044327</v>
      </c>
      <c r="W67" s="309">
        <f t="shared" ref="W67:AE75" si="7">G67*1000/9.807/0.4536*0.3048^2</f>
        <v>8458.1567102215631</v>
      </c>
      <c r="X67" s="309">
        <f t="shared" si="7"/>
        <v>7852.5109210945848</v>
      </c>
      <c r="Y67" s="309">
        <f t="shared" si="7"/>
        <v>8207.5446595483299</v>
      </c>
      <c r="Z67" s="309">
        <f t="shared" si="7"/>
        <v>8040.4699590995097</v>
      </c>
      <c r="AA67" s="309">
        <f t="shared" si="7"/>
        <v>8270.1976722166382</v>
      </c>
      <c r="AB67" s="309">
        <f t="shared" si="7"/>
        <v>8332.8506848849465</v>
      </c>
      <c r="AC67" s="309">
        <f t="shared" si="7"/>
        <v>5367.274751918374</v>
      </c>
      <c r="AD67" s="309">
        <f t="shared" si="7"/>
        <v>1896.2978500941183</v>
      </c>
      <c r="AE67" s="309">
        <f t="shared" si="7"/>
        <v>5.8267301781526329E-3</v>
      </c>
    </row>
    <row r="68" spans="1:31" ht="12.75" customHeight="1" x14ac:dyDescent="0.2">
      <c r="A68" s="6">
        <v>6.5</v>
      </c>
      <c r="B68" s="306">
        <v>0.96699999999999997</v>
      </c>
      <c r="C68" s="18">
        <v>3.0300000000000001E-5</v>
      </c>
      <c r="D68" s="19">
        <v>83.4</v>
      </c>
      <c r="E68" s="19">
        <v>239</v>
      </c>
      <c r="F68" s="19">
        <v>356</v>
      </c>
      <c r="G68" s="19">
        <v>365</v>
      </c>
      <c r="H68" s="19">
        <v>452</v>
      </c>
      <c r="I68" s="19">
        <v>479</v>
      </c>
      <c r="J68" s="19">
        <v>472</v>
      </c>
      <c r="K68" s="19">
        <v>396</v>
      </c>
      <c r="L68" s="19">
        <v>347</v>
      </c>
      <c r="M68" s="19">
        <v>219</v>
      </c>
      <c r="N68" s="19">
        <v>83.9</v>
      </c>
      <c r="O68" s="20">
        <v>-5.0599999999999997E-5</v>
      </c>
      <c r="Q68" s="307">
        <f t="shared" si="5"/>
        <v>6.5</v>
      </c>
      <c r="R68" s="308">
        <f t="shared" si="5"/>
        <v>0.96699999999999997</v>
      </c>
      <c r="S68" s="309">
        <f t="shared" si="6"/>
        <v>6.3279542794990936E-4</v>
      </c>
      <c r="T68" s="309">
        <f t="shared" si="6"/>
        <v>1741.7537521789588</v>
      </c>
      <c r="U68" s="309">
        <f t="shared" si="6"/>
        <v>4991.356675908527</v>
      </c>
      <c r="V68" s="309">
        <f t="shared" si="6"/>
        <v>7434.824169972534</v>
      </c>
      <c r="W68" s="309">
        <f t="shared" si="7"/>
        <v>7622.7832079774562</v>
      </c>
      <c r="X68" s="309">
        <f t="shared" si="7"/>
        <v>9439.7205753583839</v>
      </c>
      <c r="Y68" s="309">
        <f t="shared" si="7"/>
        <v>10003.597689373155</v>
      </c>
      <c r="Z68" s="309">
        <f t="shared" si="7"/>
        <v>9857.4073264804374</v>
      </c>
      <c r="AA68" s="309">
        <f t="shared" si="7"/>
        <v>8270.1976722166382</v>
      </c>
      <c r="AB68" s="309">
        <f t="shared" si="7"/>
        <v>7246.865131967611</v>
      </c>
      <c r="AC68" s="309">
        <f t="shared" si="7"/>
        <v>4573.6699247864735</v>
      </c>
      <c r="AD68" s="309">
        <f t="shared" si="7"/>
        <v>1752.19592095701</v>
      </c>
      <c r="AE68" s="309">
        <f t="shared" si="7"/>
        <v>-1.0567474803387926E-3</v>
      </c>
    </row>
    <row r="69" spans="1:31" ht="12.75" customHeight="1" x14ac:dyDescent="0.2">
      <c r="A69" s="6">
        <v>6</v>
      </c>
      <c r="B69" s="306">
        <v>1.0469999999999999</v>
      </c>
      <c r="C69" s="18">
        <v>-8.7399999999999993E-6</v>
      </c>
      <c r="D69" s="19">
        <v>118</v>
      </c>
      <c r="E69" s="19">
        <v>248</v>
      </c>
      <c r="F69" s="19">
        <v>285</v>
      </c>
      <c r="G69" s="19">
        <v>373</v>
      </c>
      <c r="H69" s="19">
        <v>569</v>
      </c>
      <c r="I69" s="19">
        <v>469</v>
      </c>
      <c r="J69" s="19">
        <v>541</v>
      </c>
      <c r="K69" s="19">
        <v>449</v>
      </c>
      <c r="L69" s="19">
        <v>288</v>
      </c>
      <c r="M69" s="19">
        <v>246</v>
      </c>
      <c r="N69" s="19">
        <v>131</v>
      </c>
      <c r="O69" s="20">
        <v>9.4699999999999998E-5</v>
      </c>
      <c r="Q69" s="307">
        <f t="shared" si="5"/>
        <v>6</v>
      </c>
      <c r="R69" s="308">
        <f t="shared" si="5"/>
        <v>1.0469999999999999</v>
      </c>
      <c r="S69" s="309">
        <f t="shared" si="6"/>
        <v>-1.8252911024033692E-4</v>
      </c>
      <c r="T69" s="309">
        <f t="shared" si="6"/>
        <v>2464.3518316201094</v>
      </c>
      <c r="U69" s="309">
        <f t="shared" si="6"/>
        <v>5179.3157139134501</v>
      </c>
      <c r="V69" s="309">
        <f t="shared" si="6"/>
        <v>5952.0362034892469</v>
      </c>
      <c r="W69" s="309">
        <f t="shared" si="7"/>
        <v>7789.8579084262774</v>
      </c>
      <c r="X69" s="309">
        <f t="shared" si="7"/>
        <v>11883.188069422393</v>
      </c>
      <c r="Y69" s="309">
        <f t="shared" si="7"/>
        <v>9794.7543138121291</v>
      </c>
      <c r="Z69" s="309">
        <f t="shared" si="7"/>
        <v>11298.426617851519</v>
      </c>
      <c r="AA69" s="309">
        <f t="shared" si="7"/>
        <v>9377.0675626900775</v>
      </c>
      <c r="AB69" s="309">
        <f t="shared" si="7"/>
        <v>6014.6892161575552</v>
      </c>
      <c r="AC69" s="309">
        <f t="shared" si="7"/>
        <v>5137.5470388012445</v>
      </c>
      <c r="AD69" s="309">
        <f t="shared" si="7"/>
        <v>2735.8482198494435</v>
      </c>
      <c r="AE69" s="309">
        <f t="shared" si="7"/>
        <v>1.9777467665629185E-3</v>
      </c>
    </row>
    <row r="70" spans="1:31" ht="12.75" customHeight="1" x14ac:dyDescent="0.2">
      <c r="A70" s="6">
        <v>5.5</v>
      </c>
      <c r="B70" s="306">
        <v>1.1419999999999999</v>
      </c>
      <c r="C70" s="18">
        <v>-1.1999999999999999E-6</v>
      </c>
      <c r="D70" s="19">
        <v>114</v>
      </c>
      <c r="E70" s="19">
        <v>252</v>
      </c>
      <c r="F70" s="19">
        <v>258</v>
      </c>
      <c r="G70" s="19">
        <v>432</v>
      </c>
      <c r="H70" s="19">
        <v>622</v>
      </c>
      <c r="I70" s="19">
        <v>563</v>
      </c>
      <c r="J70" s="19">
        <v>614</v>
      </c>
      <c r="K70" s="19">
        <v>507</v>
      </c>
      <c r="L70" s="19">
        <v>285</v>
      </c>
      <c r="M70" s="19">
        <v>238</v>
      </c>
      <c r="N70" s="19">
        <v>144</v>
      </c>
      <c r="O70" s="20">
        <v>6.7600000000000003E-5</v>
      </c>
      <c r="Q70" s="307">
        <f t="shared" si="5"/>
        <v>5.5</v>
      </c>
      <c r="R70" s="308">
        <f t="shared" si="5"/>
        <v>1.1419999999999999</v>
      </c>
      <c r="S70" s="309">
        <f t="shared" si="6"/>
        <v>-2.5061205067323141E-5</v>
      </c>
      <c r="T70" s="309">
        <f t="shared" si="6"/>
        <v>2380.8144813956992</v>
      </c>
      <c r="U70" s="309">
        <f t="shared" si="6"/>
        <v>5262.8530641378611</v>
      </c>
      <c r="V70" s="309">
        <f t="shared" si="6"/>
        <v>5388.1590894744759</v>
      </c>
      <c r="W70" s="309">
        <f t="shared" si="7"/>
        <v>9022.0338242363341</v>
      </c>
      <c r="X70" s="309">
        <f t="shared" si="7"/>
        <v>12990.05795989583</v>
      </c>
      <c r="Y70" s="309">
        <f t="shared" si="7"/>
        <v>11757.882044085776</v>
      </c>
      <c r="Z70" s="309">
        <f t="shared" si="7"/>
        <v>12822.98325944701</v>
      </c>
      <c r="AA70" s="309">
        <f t="shared" si="7"/>
        <v>10588.359140944029</v>
      </c>
      <c r="AB70" s="309">
        <f t="shared" si="7"/>
        <v>5952.0362034892469</v>
      </c>
      <c r="AC70" s="309">
        <f t="shared" si="7"/>
        <v>4970.4723383524242</v>
      </c>
      <c r="AD70" s="309">
        <f t="shared" si="7"/>
        <v>3007.3446080787776</v>
      </c>
      <c r="AE70" s="309">
        <f t="shared" si="7"/>
        <v>1.4117812187925374E-3</v>
      </c>
    </row>
    <row r="71" spans="1:31" ht="12.75" customHeight="1" x14ac:dyDescent="0.2">
      <c r="A71" s="6">
        <v>5</v>
      </c>
      <c r="B71" s="306">
        <v>1.2569999999999999</v>
      </c>
      <c r="C71" s="18">
        <v>7.1400000000000001E-5</v>
      </c>
      <c r="D71" s="19">
        <v>121</v>
      </c>
      <c r="E71" s="19">
        <v>199</v>
      </c>
      <c r="F71" s="19">
        <v>296</v>
      </c>
      <c r="G71" s="19">
        <v>496</v>
      </c>
      <c r="H71" s="19">
        <v>595</v>
      </c>
      <c r="I71" s="19">
        <v>620</v>
      </c>
      <c r="J71" s="19">
        <v>641</v>
      </c>
      <c r="K71" s="19">
        <v>517</v>
      </c>
      <c r="L71" s="19">
        <v>357</v>
      </c>
      <c r="M71" s="19">
        <v>185</v>
      </c>
      <c r="N71" s="19">
        <v>123</v>
      </c>
      <c r="O71" s="20">
        <v>1.0900000000000001E-4</v>
      </c>
      <c r="Q71" s="307">
        <f t="shared" si="5"/>
        <v>5</v>
      </c>
      <c r="R71" s="308">
        <f t="shared" si="5"/>
        <v>1.2569999999999999</v>
      </c>
      <c r="S71" s="309">
        <f t="shared" si="6"/>
        <v>1.4911417015057273E-3</v>
      </c>
      <c r="T71" s="309">
        <f t="shared" si="6"/>
        <v>2527.0048442884172</v>
      </c>
      <c r="U71" s="309">
        <f t="shared" si="6"/>
        <v>4155.9831736644219</v>
      </c>
      <c r="V71" s="309">
        <f t="shared" si="6"/>
        <v>6181.7639166063764</v>
      </c>
      <c r="W71" s="309">
        <f t="shared" si="7"/>
        <v>10358.6314278269</v>
      </c>
      <c r="X71" s="309">
        <f t="shared" si="7"/>
        <v>12426.180845881059</v>
      </c>
      <c r="Y71" s="309">
        <f t="shared" si="7"/>
        <v>12948.289284783625</v>
      </c>
      <c r="Z71" s="309">
        <f t="shared" si="7"/>
        <v>13386.860373461781</v>
      </c>
      <c r="AA71" s="309">
        <f t="shared" si="7"/>
        <v>10797.202516505055</v>
      </c>
      <c r="AB71" s="309">
        <f t="shared" si="7"/>
        <v>7455.7085075286368</v>
      </c>
      <c r="AC71" s="309">
        <f t="shared" si="7"/>
        <v>3863.602447878985</v>
      </c>
      <c r="AD71" s="309">
        <f t="shared" si="7"/>
        <v>2568.7735194006223</v>
      </c>
      <c r="AE71" s="309">
        <f t="shared" si="7"/>
        <v>2.2763927936151861E-3</v>
      </c>
    </row>
    <row r="72" spans="1:31" ht="12.75" customHeight="1" x14ac:dyDescent="0.2">
      <c r="A72" s="6">
        <v>4.5</v>
      </c>
      <c r="B72" s="306">
        <v>1.3959999999999999</v>
      </c>
      <c r="C72" s="18">
        <v>-1.0900000000000001E-4</v>
      </c>
      <c r="D72" s="19">
        <v>91.3</v>
      </c>
      <c r="E72" s="19">
        <v>167</v>
      </c>
      <c r="F72" s="19">
        <v>367</v>
      </c>
      <c r="G72" s="19">
        <v>473</v>
      </c>
      <c r="H72" s="19">
        <v>623</v>
      </c>
      <c r="I72" s="19">
        <v>651</v>
      </c>
      <c r="J72" s="19">
        <v>639</v>
      </c>
      <c r="K72" s="19">
        <v>543</v>
      </c>
      <c r="L72" s="19">
        <v>399</v>
      </c>
      <c r="M72" s="19">
        <v>204</v>
      </c>
      <c r="N72" s="19">
        <v>101</v>
      </c>
      <c r="O72" s="20">
        <v>6.0800000000000001E-5</v>
      </c>
      <c r="Q72" s="307">
        <f t="shared" si="5"/>
        <v>4.5</v>
      </c>
      <c r="R72" s="308">
        <f t="shared" si="5"/>
        <v>1.3959999999999999</v>
      </c>
      <c r="S72" s="309">
        <f t="shared" si="6"/>
        <v>-2.2763927936151861E-3</v>
      </c>
      <c r="T72" s="309">
        <f t="shared" si="6"/>
        <v>1906.7400188721697</v>
      </c>
      <c r="U72" s="309">
        <f t="shared" si="6"/>
        <v>3487.6843718691384</v>
      </c>
      <c r="V72" s="309">
        <f t="shared" si="6"/>
        <v>7664.5518830896635</v>
      </c>
      <c r="W72" s="309">
        <f t="shared" si="7"/>
        <v>9878.2916640365402</v>
      </c>
      <c r="X72" s="309">
        <f t="shared" si="7"/>
        <v>13010.942297451935</v>
      </c>
      <c r="Y72" s="309">
        <f t="shared" si="7"/>
        <v>13595.703749022807</v>
      </c>
      <c r="Z72" s="309">
        <f t="shared" si="7"/>
        <v>13345.091698349575</v>
      </c>
      <c r="AA72" s="309">
        <f t="shared" si="7"/>
        <v>11340.195292963725</v>
      </c>
      <c r="AB72" s="309">
        <f t="shared" si="7"/>
        <v>8332.8506848849465</v>
      </c>
      <c r="AC72" s="309">
        <f t="shared" si="7"/>
        <v>4260.4048614449348</v>
      </c>
      <c r="AD72" s="309">
        <f t="shared" si="7"/>
        <v>2109.3180931663646</v>
      </c>
      <c r="AE72" s="309">
        <f t="shared" si="7"/>
        <v>1.2697677234110396E-3</v>
      </c>
    </row>
    <row r="73" spans="1:31" ht="12.75" customHeight="1" x14ac:dyDescent="0.2">
      <c r="A73" s="6">
        <v>4</v>
      </c>
      <c r="B73" s="306">
        <v>1.571</v>
      </c>
      <c r="C73" s="18">
        <v>2.7500000000000001E-5</v>
      </c>
      <c r="D73" s="19">
        <v>78.5</v>
      </c>
      <c r="E73" s="19">
        <v>183</v>
      </c>
      <c r="F73" s="19">
        <v>346</v>
      </c>
      <c r="G73" s="19">
        <v>480</v>
      </c>
      <c r="H73" s="19">
        <v>641</v>
      </c>
      <c r="I73" s="19">
        <v>675</v>
      </c>
      <c r="J73" s="19">
        <v>665</v>
      </c>
      <c r="K73" s="19">
        <v>569</v>
      </c>
      <c r="L73" s="19">
        <v>414</v>
      </c>
      <c r="M73" s="19">
        <v>224</v>
      </c>
      <c r="N73" s="19">
        <v>90</v>
      </c>
      <c r="O73" s="20">
        <v>-2.1399999999999998E-5</v>
      </c>
      <c r="Q73" s="307">
        <f t="shared" si="5"/>
        <v>4</v>
      </c>
      <c r="R73" s="308">
        <f t="shared" si="5"/>
        <v>1.571</v>
      </c>
      <c r="S73" s="309">
        <f t="shared" si="6"/>
        <v>5.7431928279282215E-4</v>
      </c>
      <c r="T73" s="309">
        <f t="shared" si="6"/>
        <v>1639.4204981540558</v>
      </c>
      <c r="U73" s="309">
        <f t="shared" si="6"/>
        <v>3821.8337727667795</v>
      </c>
      <c r="V73" s="309">
        <f t="shared" si="6"/>
        <v>7225.9807944115073</v>
      </c>
      <c r="W73" s="309">
        <f t="shared" si="7"/>
        <v>10024.48202692926</v>
      </c>
      <c r="X73" s="309">
        <f t="shared" si="7"/>
        <v>13386.860373461781</v>
      </c>
      <c r="Y73" s="309">
        <f t="shared" si="7"/>
        <v>14096.927850369268</v>
      </c>
      <c r="Z73" s="309">
        <f t="shared" si="7"/>
        <v>13888.084474808244</v>
      </c>
      <c r="AA73" s="309">
        <f t="shared" si="7"/>
        <v>11883.188069422393</v>
      </c>
      <c r="AB73" s="309">
        <f t="shared" si="7"/>
        <v>8646.1157482264862</v>
      </c>
      <c r="AC73" s="309">
        <f t="shared" si="7"/>
        <v>4678.0916125669874</v>
      </c>
      <c r="AD73" s="309">
        <f t="shared" si="7"/>
        <v>1879.5903800492358</v>
      </c>
      <c r="AE73" s="309">
        <f t="shared" si="7"/>
        <v>-4.4692482370059609E-4</v>
      </c>
    </row>
    <row r="74" spans="1:31" ht="12.75" customHeight="1" x14ac:dyDescent="0.2">
      <c r="A74" s="6">
        <v>3.5</v>
      </c>
      <c r="B74" s="306">
        <v>1.7949999999999999</v>
      </c>
      <c r="C74" s="18">
        <v>1.73E-5</v>
      </c>
      <c r="D74" s="19">
        <v>71.400000000000006</v>
      </c>
      <c r="E74" s="19">
        <v>196</v>
      </c>
      <c r="F74" s="19">
        <v>357</v>
      </c>
      <c r="G74" s="19">
        <v>516</v>
      </c>
      <c r="H74" s="19">
        <v>632</v>
      </c>
      <c r="I74" s="19">
        <v>708</v>
      </c>
      <c r="J74" s="19">
        <v>679</v>
      </c>
      <c r="K74" s="19">
        <v>581</v>
      </c>
      <c r="L74" s="19">
        <v>420</v>
      </c>
      <c r="M74" s="19">
        <v>243</v>
      </c>
      <c r="N74" s="19">
        <v>83.6</v>
      </c>
      <c r="O74" s="20">
        <v>3.01E-5</v>
      </c>
      <c r="Q74" s="307">
        <f t="shared" si="5"/>
        <v>3.5</v>
      </c>
      <c r="R74" s="308">
        <f t="shared" si="5"/>
        <v>1.7949999999999999</v>
      </c>
      <c r="S74" s="309">
        <f t="shared" si="6"/>
        <v>3.6129903972057534E-4</v>
      </c>
      <c r="T74" s="309">
        <f t="shared" si="6"/>
        <v>1491.1417015057273</v>
      </c>
      <c r="U74" s="309">
        <f t="shared" si="6"/>
        <v>4093.330160996114</v>
      </c>
      <c r="V74" s="309">
        <f t="shared" si="6"/>
        <v>7455.7085075286368</v>
      </c>
      <c r="W74" s="309">
        <f t="shared" si="7"/>
        <v>10776.318178948952</v>
      </c>
      <c r="X74" s="309">
        <f t="shared" si="7"/>
        <v>13198.901335456856</v>
      </c>
      <c r="Y74" s="309">
        <f t="shared" si="7"/>
        <v>14786.110989720657</v>
      </c>
      <c r="Z74" s="309">
        <f t="shared" si="7"/>
        <v>14180.465200593682</v>
      </c>
      <c r="AA74" s="309">
        <f t="shared" si="7"/>
        <v>12133.800120095622</v>
      </c>
      <c r="AB74" s="309">
        <f t="shared" si="7"/>
        <v>8771.4217735631009</v>
      </c>
      <c r="AC74" s="309">
        <f t="shared" si="7"/>
        <v>5074.8940261329362</v>
      </c>
      <c r="AD74" s="309">
        <f t="shared" si="7"/>
        <v>1745.9306196901791</v>
      </c>
      <c r="AE74" s="309">
        <f t="shared" si="7"/>
        <v>6.2861856043868901E-4</v>
      </c>
    </row>
    <row r="75" spans="1:31" ht="12.75" customHeight="1" x14ac:dyDescent="0.2">
      <c r="A75" s="6">
        <v>3.24</v>
      </c>
      <c r="B75" s="306">
        <v>1.9390000000000001</v>
      </c>
      <c r="C75" s="18">
        <v>-1.49E-5</v>
      </c>
      <c r="D75" s="19">
        <v>70.7</v>
      </c>
      <c r="E75" s="19">
        <v>206</v>
      </c>
      <c r="F75" s="19">
        <v>338</v>
      </c>
      <c r="G75" s="19">
        <v>512</v>
      </c>
      <c r="H75" s="19">
        <v>646</v>
      </c>
      <c r="I75" s="19">
        <v>701</v>
      </c>
      <c r="J75" s="19">
        <v>690</v>
      </c>
      <c r="K75" s="19">
        <v>589</v>
      </c>
      <c r="L75" s="19">
        <v>420</v>
      </c>
      <c r="M75" s="19">
        <v>250</v>
      </c>
      <c r="N75" s="19">
        <v>86.3</v>
      </c>
      <c r="O75" s="20">
        <v>7.7100000000000004E-5</v>
      </c>
      <c r="Q75" s="307">
        <f t="shared" si="5"/>
        <v>3.24</v>
      </c>
      <c r="R75" s="308">
        <f t="shared" si="5"/>
        <v>1.9390000000000001</v>
      </c>
      <c r="S75" s="309">
        <f t="shared" si="6"/>
        <v>-3.1117662958592905E-4</v>
      </c>
      <c r="T75" s="309">
        <f t="shared" si="6"/>
        <v>1476.5226652164554</v>
      </c>
      <c r="U75" s="309">
        <f t="shared" si="6"/>
        <v>4302.1735365571403</v>
      </c>
      <c r="V75" s="309">
        <f t="shared" si="6"/>
        <v>7058.9060939626861</v>
      </c>
      <c r="W75" s="309">
        <f t="shared" si="7"/>
        <v>10692.780828724543</v>
      </c>
      <c r="X75" s="309">
        <f t="shared" si="7"/>
        <v>13491.282061242297</v>
      </c>
      <c r="Y75" s="309">
        <f t="shared" si="7"/>
        <v>14639.920626827939</v>
      </c>
      <c r="Z75" s="309">
        <f t="shared" si="7"/>
        <v>14410.192913710811</v>
      </c>
      <c r="AA75" s="309">
        <f t="shared" si="7"/>
        <v>12300.874820544444</v>
      </c>
      <c r="AB75" s="309">
        <f t="shared" si="7"/>
        <v>8771.4217735631009</v>
      </c>
      <c r="AC75" s="309">
        <f t="shared" si="7"/>
        <v>5221.0843890256565</v>
      </c>
      <c r="AD75" s="309">
        <f t="shared" si="7"/>
        <v>1802.3183310916563</v>
      </c>
      <c r="AE75" s="309">
        <f t="shared" si="7"/>
        <v>1.6101824255755123E-3</v>
      </c>
    </row>
    <row r="76" spans="1:31" ht="12.75" customHeight="1" x14ac:dyDescent="0.2">
      <c r="A76" s="6">
        <v>0</v>
      </c>
      <c r="B76" s="306">
        <v>0</v>
      </c>
      <c r="C76" s="18">
        <v>0</v>
      </c>
      <c r="D76" s="19">
        <v>0</v>
      </c>
      <c r="E76" s="19">
        <v>0</v>
      </c>
      <c r="F76" s="19">
        <v>0</v>
      </c>
      <c r="G76" s="19">
        <v>0</v>
      </c>
      <c r="H76" s="19">
        <v>0</v>
      </c>
      <c r="I76" s="19">
        <v>0</v>
      </c>
      <c r="J76" s="19">
        <v>0</v>
      </c>
      <c r="K76" s="19">
        <v>0</v>
      </c>
      <c r="L76" s="19">
        <v>0</v>
      </c>
      <c r="M76" s="19">
        <v>0</v>
      </c>
      <c r="N76" s="19">
        <v>0</v>
      </c>
      <c r="O76" s="20">
        <v>0</v>
      </c>
    </row>
    <row r="77" spans="1:31" ht="12.75" customHeight="1" x14ac:dyDescent="0.2">
      <c r="A77" s="6">
        <v>0</v>
      </c>
      <c r="B77" s="306">
        <v>0</v>
      </c>
      <c r="C77" s="18">
        <v>0</v>
      </c>
      <c r="D77" s="19">
        <v>0</v>
      </c>
      <c r="E77" s="19">
        <v>0</v>
      </c>
      <c r="F77" s="19">
        <v>0</v>
      </c>
      <c r="G77" s="19">
        <v>0</v>
      </c>
      <c r="H77" s="19">
        <v>0</v>
      </c>
      <c r="I77" s="19">
        <v>0</v>
      </c>
      <c r="J77" s="19">
        <v>0</v>
      </c>
      <c r="K77" s="19">
        <v>0</v>
      </c>
      <c r="L77" s="19">
        <v>0</v>
      </c>
      <c r="M77" s="19">
        <v>0</v>
      </c>
      <c r="N77" s="19">
        <v>0</v>
      </c>
      <c r="O77" s="20">
        <v>0</v>
      </c>
    </row>
    <row r="78" spans="1:31" ht="12.75" customHeight="1" x14ac:dyDescent="0.2">
      <c r="A78" s="6">
        <v>0</v>
      </c>
      <c r="B78" s="306">
        <v>0</v>
      </c>
      <c r="C78" s="18">
        <v>0</v>
      </c>
      <c r="D78" s="19">
        <v>0</v>
      </c>
      <c r="E78" s="19">
        <v>0</v>
      </c>
      <c r="F78" s="19">
        <v>0</v>
      </c>
      <c r="G78" s="19">
        <v>0</v>
      </c>
      <c r="H78" s="19">
        <v>0</v>
      </c>
      <c r="I78" s="19">
        <v>0</v>
      </c>
      <c r="J78" s="19">
        <v>0</v>
      </c>
      <c r="K78" s="19">
        <v>0</v>
      </c>
      <c r="L78" s="19">
        <v>0</v>
      </c>
      <c r="M78" s="19">
        <v>0</v>
      </c>
      <c r="N78" s="19">
        <v>0</v>
      </c>
      <c r="O78" s="20">
        <v>0</v>
      </c>
    </row>
    <row r="79" spans="1:31" ht="12.75" customHeight="1" x14ac:dyDescent="0.2">
      <c r="A79" s="6">
        <v>0</v>
      </c>
      <c r="B79" s="306">
        <v>0</v>
      </c>
      <c r="C79" s="18">
        <v>0</v>
      </c>
      <c r="D79" s="19">
        <v>0</v>
      </c>
      <c r="E79" s="19">
        <v>0</v>
      </c>
      <c r="F79" s="19">
        <v>0</v>
      </c>
      <c r="G79" s="19">
        <v>0</v>
      </c>
      <c r="H79" s="19">
        <v>0</v>
      </c>
      <c r="I79" s="19">
        <v>0</v>
      </c>
      <c r="J79" s="19">
        <v>0</v>
      </c>
      <c r="K79" s="19">
        <v>0</v>
      </c>
      <c r="L79" s="19">
        <v>0</v>
      </c>
      <c r="M79" s="19">
        <v>0</v>
      </c>
      <c r="N79" s="19">
        <v>0</v>
      </c>
      <c r="O79" s="20">
        <v>0</v>
      </c>
    </row>
    <row r="80" spans="1:31" ht="12.75" customHeight="1" thickBot="1" x14ac:dyDescent="0.25">
      <c r="A80" s="10">
        <v>0</v>
      </c>
      <c r="B80" s="310">
        <v>0</v>
      </c>
      <c r="C80" s="21">
        <v>0</v>
      </c>
      <c r="D80" s="22">
        <v>0</v>
      </c>
      <c r="E80" s="22">
        <v>0</v>
      </c>
      <c r="F80" s="22">
        <v>0</v>
      </c>
      <c r="G80" s="22">
        <v>0</v>
      </c>
      <c r="H80" s="22">
        <v>0</v>
      </c>
      <c r="I80" s="22">
        <v>0</v>
      </c>
      <c r="J80" s="22">
        <v>0</v>
      </c>
      <c r="K80" s="22">
        <v>0</v>
      </c>
      <c r="L80" s="22">
        <v>0</v>
      </c>
      <c r="M80" s="22">
        <v>0</v>
      </c>
      <c r="N80" s="22">
        <v>0</v>
      </c>
      <c r="O80" s="23">
        <v>0</v>
      </c>
    </row>
    <row r="81" spans="1:31" ht="20.100000000000001" customHeight="1" x14ac:dyDescent="0.2">
      <c r="A81" s="350" t="s">
        <v>175</v>
      </c>
      <c r="B81" s="350"/>
      <c r="C81" s="350"/>
      <c r="D81" s="350"/>
      <c r="E81" s="350"/>
      <c r="F81" s="350"/>
      <c r="G81" s="350"/>
      <c r="H81" s="350"/>
      <c r="I81" s="350"/>
      <c r="J81" s="350"/>
      <c r="K81" s="350"/>
      <c r="L81" s="350"/>
      <c r="M81" s="350"/>
      <c r="N81" s="350"/>
      <c r="O81" s="350"/>
    </row>
    <row r="82" spans="1:31" ht="18" customHeight="1" thickBot="1" x14ac:dyDescent="0.25">
      <c r="A82" s="343" t="s">
        <v>16</v>
      </c>
      <c r="B82" s="343"/>
      <c r="C82" s="343"/>
      <c r="D82" s="343"/>
      <c r="E82" s="343"/>
      <c r="F82" s="343"/>
      <c r="G82" s="343"/>
      <c r="H82" s="343"/>
      <c r="I82" s="343"/>
      <c r="J82" s="343"/>
      <c r="K82" s="343"/>
      <c r="L82" s="343"/>
      <c r="M82" s="343"/>
      <c r="N82" s="343"/>
      <c r="O82" s="343"/>
    </row>
    <row r="83" spans="1:31" ht="12.75" customHeight="1" x14ac:dyDescent="0.2">
      <c r="A83" s="335" t="s">
        <v>12</v>
      </c>
      <c r="B83" s="337" t="s">
        <v>17</v>
      </c>
      <c r="C83" s="344" t="s">
        <v>4</v>
      </c>
      <c r="D83" s="345"/>
      <c r="E83" s="345"/>
      <c r="F83" s="345"/>
      <c r="G83" s="345"/>
      <c r="H83" s="345"/>
      <c r="I83" s="345"/>
      <c r="J83" s="345"/>
      <c r="K83" s="345"/>
      <c r="L83" s="345"/>
      <c r="M83" s="345"/>
      <c r="N83" s="345"/>
      <c r="O83" s="346"/>
    </row>
    <row r="84" spans="1:31" ht="12.75" customHeight="1" x14ac:dyDescent="0.2">
      <c r="A84" s="336"/>
      <c r="B84" s="338"/>
      <c r="C84" s="347" t="s">
        <v>22</v>
      </c>
      <c r="D84" s="348"/>
      <c r="E84" s="348"/>
      <c r="F84" s="348"/>
      <c r="G84" s="348"/>
      <c r="H84" s="348"/>
      <c r="I84" s="348"/>
      <c r="J84" s="348"/>
      <c r="K84" s="348"/>
      <c r="L84" s="348"/>
      <c r="M84" s="348"/>
      <c r="N84" s="348"/>
      <c r="O84" s="349"/>
    </row>
    <row r="85" spans="1:31" ht="12.75" customHeight="1" thickBot="1" x14ac:dyDescent="0.25">
      <c r="A85" s="2" t="s">
        <v>14</v>
      </c>
      <c r="B85" s="3" t="s">
        <v>18</v>
      </c>
      <c r="C85" s="15">
        <v>0</v>
      </c>
      <c r="D85" s="16">
        <v>15</v>
      </c>
      <c r="E85" s="16">
        <v>30</v>
      </c>
      <c r="F85" s="16">
        <v>45</v>
      </c>
      <c r="G85" s="16">
        <v>60</v>
      </c>
      <c r="H85" s="16">
        <v>75</v>
      </c>
      <c r="I85" s="16">
        <v>90</v>
      </c>
      <c r="J85" s="16">
        <v>105</v>
      </c>
      <c r="K85" s="16">
        <v>120</v>
      </c>
      <c r="L85" s="16">
        <v>135</v>
      </c>
      <c r="M85" s="16">
        <v>150</v>
      </c>
      <c r="N85" s="16">
        <v>165</v>
      </c>
      <c r="O85" s="17">
        <v>180</v>
      </c>
    </row>
    <row r="86" spans="1:31" ht="12.75" customHeight="1" x14ac:dyDescent="0.2">
      <c r="A86" s="6">
        <v>30</v>
      </c>
      <c r="B86" s="306">
        <v>0.20899999999999999</v>
      </c>
      <c r="C86" s="18">
        <v>-1.9999999999999999E-6</v>
      </c>
      <c r="D86" s="19">
        <v>4.08</v>
      </c>
      <c r="E86" s="19">
        <v>5.99</v>
      </c>
      <c r="F86" s="19">
        <v>5.16</v>
      </c>
      <c r="G86" s="19">
        <v>2.87</v>
      </c>
      <c r="H86" s="19">
        <v>0.85899999999999999</v>
      </c>
      <c r="I86" s="19">
        <v>-0.29699999999999999</v>
      </c>
      <c r="J86" s="19">
        <v>-1.4</v>
      </c>
      <c r="K86" s="19">
        <v>-3.28</v>
      </c>
      <c r="L86" s="19">
        <v>-5.42</v>
      </c>
      <c r="M86" s="19">
        <v>-6.11</v>
      </c>
      <c r="N86" s="19">
        <v>-4.12</v>
      </c>
      <c r="O86" s="20">
        <v>-4.5899999999999999E-4</v>
      </c>
      <c r="Q86" s="307">
        <f>A86</f>
        <v>30</v>
      </c>
      <c r="R86" s="308">
        <f>B86</f>
        <v>0.20899999999999999</v>
      </c>
      <c r="S86" s="309">
        <f>C86*1000/9.807/0.4536*0.3048</f>
        <v>-1.3703633566996472E-4</v>
      </c>
      <c r="T86" s="309">
        <f t="shared" ref="T86:AE101" si="8">D86*1000/9.807/0.4536*0.3048</f>
        <v>279.55412476672802</v>
      </c>
      <c r="U86" s="309">
        <f t="shared" si="8"/>
        <v>410.42382533154426</v>
      </c>
      <c r="V86" s="309">
        <f t="shared" si="8"/>
        <v>353.5537460285089</v>
      </c>
      <c r="W86" s="309">
        <f t="shared" si="8"/>
        <v>196.64714168639938</v>
      </c>
      <c r="X86" s="309">
        <f t="shared" si="8"/>
        <v>58.857106170249843</v>
      </c>
      <c r="Y86" s="309">
        <f t="shared" si="8"/>
        <v>-20.34989584698976</v>
      </c>
      <c r="Z86" s="309">
        <f t="shared" si="8"/>
        <v>-95.925434968975296</v>
      </c>
      <c r="AA86" s="309">
        <f t="shared" si="8"/>
        <v>-224.73959049874216</v>
      </c>
      <c r="AB86" s="309">
        <f t="shared" si="8"/>
        <v>-371.36846966560438</v>
      </c>
      <c r="AC86" s="309">
        <f t="shared" si="8"/>
        <v>-418.64600547174223</v>
      </c>
      <c r="AD86" s="309">
        <f t="shared" si="8"/>
        <v>-282.29485148012731</v>
      </c>
      <c r="AE86" s="309">
        <f t="shared" si="8"/>
        <v>-3.1449839036256901E-2</v>
      </c>
    </row>
    <row r="87" spans="1:31" ht="12.75" customHeight="1" x14ac:dyDescent="0.2">
      <c r="A87" s="6">
        <v>28</v>
      </c>
      <c r="B87" s="306">
        <v>0.224</v>
      </c>
      <c r="C87" s="18">
        <v>5.9199999999999997E-4</v>
      </c>
      <c r="D87" s="19">
        <v>5.37</v>
      </c>
      <c r="E87" s="19">
        <v>7.76</v>
      </c>
      <c r="F87" s="19">
        <v>6.42</v>
      </c>
      <c r="G87" s="19">
        <v>3.18</v>
      </c>
      <c r="H87" s="19">
        <v>0.503</v>
      </c>
      <c r="I87" s="19">
        <v>-0.81</v>
      </c>
      <c r="J87" s="19">
        <v>-1.99</v>
      </c>
      <c r="K87" s="19">
        <v>-4.32</v>
      </c>
      <c r="L87" s="19">
        <v>-7.13</v>
      </c>
      <c r="M87" s="19">
        <v>-8.1</v>
      </c>
      <c r="N87" s="19">
        <v>-5.49</v>
      </c>
      <c r="O87" s="20">
        <v>-3.0400000000000002E-4</v>
      </c>
      <c r="Q87" s="307">
        <f t="shared" ref="Q87:R115" si="9">A87</f>
        <v>28</v>
      </c>
      <c r="R87" s="308">
        <f t="shared" si="9"/>
        <v>0.224</v>
      </c>
      <c r="S87" s="309">
        <f t="shared" ref="S87:AE115" si="10">C87*1000/9.807/0.4536*0.3048</f>
        <v>4.0562755358309555E-2</v>
      </c>
      <c r="T87" s="309">
        <f t="shared" si="8"/>
        <v>367.94256127385529</v>
      </c>
      <c r="U87" s="309">
        <f t="shared" si="8"/>
        <v>531.70098239946299</v>
      </c>
      <c r="V87" s="309">
        <f t="shared" si="8"/>
        <v>439.88663750058674</v>
      </c>
      <c r="W87" s="309">
        <f t="shared" si="8"/>
        <v>217.88777371524387</v>
      </c>
      <c r="X87" s="309">
        <f t="shared" si="8"/>
        <v>34.464638420996124</v>
      </c>
      <c r="Y87" s="309">
        <f t="shared" si="8"/>
        <v>-55.499715946335712</v>
      </c>
      <c r="Z87" s="309">
        <f t="shared" si="8"/>
        <v>-136.35115399161489</v>
      </c>
      <c r="AA87" s="309">
        <f t="shared" si="8"/>
        <v>-295.99848504712378</v>
      </c>
      <c r="AB87" s="309">
        <f t="shared" si="8"/>
        <v>-488.53453666342421</v>
      </c>
      <c r="AC87" s="309">
        <f t="shared" si="8"/>
        <v>-554.99715946335709</v>
      </c>
      <c r="AD87" s="309">
        <f t="shared" si="8"/>
        <v>-376.16474141405308</v>
      </c>
      <c r="AE87" s="309">
        <f t="shared" si="8"/>
        <v>-2.0829523021834634E-2</v>
      </c>
    </row>
    <row r="88" spans="1:31" ht="12.75" customHeight="1" x14ac:dyDescent="0.2">
      <c r="A88" s="6">
        <v>26</v>
      </c>
      <c r="B88" s="306">
        <v>0.24199999999999999</v>
      </c>
      <c r="C88" s="18">
        <v>1.91E-3</v>
      </c>
      <c r="D88" s="19">
        <v>6.77</v>
      </c>
      <c r="E88" s="19">
        <v>9.36</v>
      </c>
      <c r="F88" s="19">
        <v>6.79</v>
      </c>
      <c r="G88" s="19">
        <v>1.75</v>
      </c>
      <c r="H88" s="19">
        <v>-2.0099999999999998</v>
      </c>
      <c r="I88" s="19">
        <v>-3.3</v>
      </c>
      <c r="J88" s="19">
        <v>-4.0599999999999996</v>
      </c>
      <c r="K88" s="19">
        <v>-6.44</v>
      </c>
      <c r="L88" s="19">
        <v>-9.75</v>
      </c>
      <c r="M88" s="19">
        <v>-10.8</v>
      </c>
      <c r="N88" s="19">
        <v>-7.28</v>
      </c>
      <c r="O88" s="20">
        <v>-1.25E-3</v>
      </c>
      <c r="Q88" s="307">
        <f t="shared" si="9"/>
        <v>26</v>
      </c>
      <c r="R88" s="308">
        <f t="shared" si="9"/>
        <v>0.24199999999999999</v>
      </c>
      <c r="S88" s="309">
        <f t="shared" si="10"/>
        <v>0.13086970056481631</v>
      </c>
      <c r="T88" s="309">
        <f t="shared" si="8"/>
        <v>463.86799624283054</v>
      </c>
      <c r="U88" s="309">
        <f t="shared" si="8"/>
        <v>641.33005093543488</v>
      </c>
      <c r="V88" s="309">
        <f t="shared" si="8"/>
        <v>465.23835959953016</v>
      </c>
      <c r="W88" s="309">
        <f t="shared" si="8"/>
        <v>119.90679371121912</v>
      </c>
      <c r="X88" s="309">
        <f t="shared" si="8"/>
        <v>-137.72151734831453</v>
      </c>
      <c r="Y88" s="309">
        <f t="shared" si="8"/>
        <v>-226.10995385544174</v>
      </c>
      <c r="Z88" s="309">
        <f t="shared" si="8"/>
        <v>-278.1837614100283</v>
      </c>
      <c r="AA88" s="309">
        <f t="shared" si="8"/>
        <v>-441.2570008572863</v>
      </c>
      <c r="AB88" s="309">
        <f t="shared" si="8"/>
        <v>-668.05213639107797</v>
      </c>
      <c r="AC88" s="309">
        <f t="shared" si="8"/>
        <v>-739.99621261780942</v>
      </c>
      <c r="AD88" s="309">
        <f t="shared" si="8"/>
        <v>-498.81226183867153</v>
      </c>
      <c r="AE88" s="309">
        <f t="shared" si="8"/>
        <v>-8.5647709793727947E-2</v>
      </c>
    </row>
    <row r="89" spans="1:31" ht="12.75" customHeight="1" x14ac:dyDescent="0.2">
      <c r="A89" s="6">
        <v>24</v>
      </c>
      <c r="B89" s="306">
        <v>0.26200000000000001</v>
      </c>
      <c r="C89" s="18">
        <v>3.1800000000000001E-3</v>
      </c>
      <c r="D89" s="19">
        <v>17.399999999999999</v>
      </c>
      <c r="E89" s="19">
        <v>27</v>
      </c>
      <c r="F89" s="19">
        <v>25.3</v>
      </c>
      <c r="G89" s="19">
        <v>14.6</v>
      </c>
      <c r="H89" s="19">
        <v>0.61</v>
      </c>
      <c r="I89" s="19">
        <v>-12.6</v>
      </c>
      <c r="J89" s="19">
        <v>-23.9</v>
      </c>
      <c r="K89" s="19">
        <v>-32.799999999999997</v>
      </c>
      <c r="L89" s="19">
        <v>-36.9</v>
      </c>
      <c r="M89" s="19">
        <v>-32.799999999999997</v>
      </c>
      <c r="N89" s="19">
        <v>-19.5</v>
      </c>
      <c r="O89" s="20">
        <v>-3.31E-3</v>
      </c>
      <c r="Q89" s="307">
        <f t="shared" si="9"/>
        <v>24</v>
      </c>
      <c r="R89" s="308">
        <f t="shared" si="9"/>
        <v>0.26200000000000001</v>
      </c>
      <c r="S89" s="309">
        <f t="shared" si="10"/>
        <v>0.2178877737152439</v>
      </c>
      <c r="T89" s="309">
        <f t="shared" si="8"/>
        <v>1192.216120328693</v>
      </c>
      <c r="U89" s="309">
        <f t="shared" si="8"/>
        <v>1849.9905315445239</v>
      </c>
      <c r="V89" s="309">
        <f t="shared" si="8"/>
        <v>1733.5096462250538</v>
      </c>
      <c r="W89" s="309">
        <f t="shared" si="8"/>
        <v>1000.3652503907423</v>
      </c>
      <c r="X89" s="309">
        <f t="shared" si="8"/>
        <v>41.796082379339239</v>
      </c>
      <c r="Y89" s="309">
        <f t="shared" si="8"/>
        <v>-863.32891472077768</v>
      </c>
      <c r="Z89" s="309">
        <f t="shared" si="8"/>
        <v>-1637.5842112560783</v>
      </c>
      <c r="AA89" s="309">
        <f t="shared" si="8"/>
        <v>-2247.3959049874211</v>
      </c>
      <c r="AB89" s="309">
        <f t="shared" si="8"/>
        <v>-2528.3203931108487</v>
      </c>
      <c r="AC89" s="309">
        <f t="shared" si="8"/>
        <v>-2247.3959049874211</v>
      </c>
      <c r="AD89" s="309">
        <f t="shared" si="8"/>
        <v>-1336.1042727821559</v>
      </c>
      <c r="AE89" s="309">
        <f t="shared" si="8"/>
        <v>-0.2267951355337916</v>
      </c>
    </row>
    <row r="90" spans="1:31" ht="12.75" customHeight="1" x14ac:dyDescent="0.2">
      <c r="A90" s="6">
        <v>22</v>
      </c>
      <c r="B90" s="306">
        <v>0.28599999999999998</v>
      </c>
      <c r="C90" s="18">
        <v>5.0000000000000001E-4</v>
      </c>
      <c r="D90" s="19">
        <v>27.7</v>
      </c>
      <c r="E90" s="19">
        <v>45.6</v>
      </c>
      <c r="F90" s="19">
        <v>48.6</v>
      </c>
      <c r="G90" s="19">
        <v>37.5</v>
      </c>
      <c r="H90" s="19">
        <v>18.100000000000001</v>
      </c>
      <c r="I90" s="19">
        <v>-4.08</v>
      </c>
      <c r="J90" s="19">
        <v>-25.7</v>
      </c>
      <c r="K90" s="19">
        <v>-43.6</v>
      </c>
      <c r="L90" s="19">
        <v>-52.6</v>
      </c>
      <c r="M90" s="19">
        <v>-47.7</v>
      </c>
      <c r="N90" s="19">
        <v>-28.4</v>
      </c>
      <c r="O90" s="20">
        <v>-5.9299999999999999E-4</v>
      </c>
      <c r="Q90" s="307">
        <f t="shared" si="9"/>
        <v>22</v>
      </c>
      <c r="R90" s="308">
        <f t="shared" si="9"/>
        <v>0.28599999999999998</v>
      </c>
      <c r="S90" s="309">
        <f t="shared" si="10"/>
        <v>3.4259083917491176E-2</v>
      </c>
      <c r="T90" s="309">
        <f t="shared" si="8"/>
        <v>1897.9532490290112</v>
      </c>
      <c r="U90" s="309">
        <f t="shared" si="8"/>
        <v>3124.4284532751954</v>
      </c>
      <c r="V90" s="309">
        <f t="shared" si="8"/>
        <v>3329.9829567801421</v>
      </c>
      <c r="W90" s="309">
        <f t="shared" si="8"/>
        <v>2569.4312938118383</v>
      </c>
      <c r="X90" s="309">
        <f t="shared" si="8"/>
        <v>1240.1788378131805</v>
      </c>
      <c r="Y90" s="309">
        <f t="shared" si="8"/>
        <v>-279.55412476672802</v>
      </c>
      <c r="Z90" s="309">
        <f t="shared" si="8"/>
        <v>-1760.9169133590465</v>
      </c>
      <c r="AA90" s="309">
        <f t="shared" si="8"/>
        <v>-2987.3921176052313</v>
      </c>
      <c r="AB90" s="309">
        <f t="shared" si="8"/>
        <v>-3604.055628120072</v>
      </c>
      <c r="AC90" s="309">
        <f t="shared" si="8"/>
        <v>-3268.3166057286585</v>
      </c>
      <c r="AD90" s="309">
        <f t="shared" si="8"/>
        <v>-1945.9159665134987</v>
      </c>
      <c r="AE90" s="309">
        <f t="shared" si="8"/>
        <v>-4.0631273526144533E-2</v>
      </c>
    </row>
    <row r="91" spans="1:31" ht="12.75" customHeight="1" x14ac:dyDescent="0.2">
      <c r="A91" s="6">
        <v>20</v>
      </c>
      <c r="B91" s="306">
        <v>0.314</v>
      </c>
      <c r="C91" s="18">
        <v>-5.3399999999999997E-4</v>
      </c>
      <c r="D91" s="19">
        <v>33.799999999999997</v>
      </c>
      <c r="E91" s="19">
        <v>57.3</v>
      </c>
      <c r="F91" s="19">
        <v>63.3</v>
      </c>
      <c r="G91" s="19">
        <v>51.2</v>
      </c>
      <c r="H91" s="19">
        <v>27.1</v>
      </c>
      <c r="I91" s="19">
        <v>-1.55</v>
      </c>
      <c r="J91" s="19">
        <v>-30</v>
      </c>
      <c r="K91" s="19">
        <v>-53.6</v>
      </c>
      <c r="L91" s="19">
        <v>-64.900000000000006</v>
      </c>
      <c r="M91" s="19">
        <v>-58.1</v>
      </c>
      <c r="N91" s="19">
        <v>-34.1</v>
      </c>
      <c r="O91" s="20">
        <v>-1.08E-3</v>
      </c>
      <c r="Q91" s="307">
        <f t="shared" si="9"/>
        <v>20</v>
      </c>
      <c r="R91" s="308">
        <f t="shared" si="9"/>
        <v>0.314</v>
      </c>
      <c r="S91" s="309">
        <f t="shared" si="10"/>
        <v>-3.6588701623880573E-2</v>
      </c>
      <c r="T91" s="309">
        <f t="shared" si="8"/>
        <v>2315.9140728224038</v>
      </c>
      <c r="U91" s="309">
        <f t="shared" si="8"/>
        <v>3926.0910169444892</v>
      </c>
      <c r="V91" s="309">
        <f t="shared" si="8"/>
        <v>4337.2000239543831</v>
      </c>
      <c r="W91" s="309">
        <f t="shared" si="8"/>
        <v>3508.130193151097</v>
      </c>
      <c r="X91" s="309">
        <f t="shared" si="8"/>
        <v>1856.8423483280219</v>
      </c>
      <c r="Y91" s="309">
        <f t="shared" si="8"/>
        <v>-106.20316014422266</v>
      </c>
      <c r="Z91" s="309">
        <f t="shared" si="8"/>
        <v>-2055.5450350494707</v>
      </c>
      <c r="AA91" s="309">
        <f t="shared" si="8"/>
        <v>-3672.5737959550543</v>
      </c>
      <c r="AB91" s="309">
        <f t="shared" si="8"/>
        <v>-4446.8290924903558</v>
      </c>
      <c r="AC91" s="309">
        <f t="shared" si="8"/>
        <v>-3980.9055512124751</v>
      </c>
      <c r="AD91" s="309">
        <f t="shared" si="8"/>
        <v>-2336.4695231728983</v>
      </c>
      <c r="AE91" s="309">
        <f t="shared" si="8"/>
        <v>-7.3999621261780946E-2</v>
      </c>
    </row>
    <row r="92" spans="1:31" ht="12.75" customHeight="1" x14ac:dyDescent="0.2">
      <c r="A92" s="6">
        <v>19</v>
      </c>
      <c r="B92" s="306">
        <v>0.33100000000000002</v>
      </c>
      <c r="C92" s="18">
        <v>-3.28E-4</v>
      </c>
      <c r="D92" s="19">
        <v>36.700000000000003</v>
      </c>
      <c r="E92" s="19">
        <v>63.9</v>
      </c>
      <c r="F92" s="19">
        <v>73.099999999999994</v>
      </c>
      <c r="G92" s="19">
        <v>61.2</v>
      </c>
      <c r="H92" s="19">
        <v>33.5</v>
      </c>
      <c r="I92" s="19">
        <v>-1.06</v>
      </c>
      <c r="J92" s="19">
        <v>-35.5</v>
      </c>
      <c r="K92" s="19">
        <v>-62.9</v>
      </c>
      <c r="L92" s="19">
        <v>-74.3</v>
      </c>
      <c r="M92" s="19">
        <v>-64.599999999999994</v>
      </c>
      <c r="N92" s="19">
        <v>-36.9</v>
      </c>
      <c r="O92" s="20">
        <v>-5.3799999999999996E-4</v>
      </c>
      <c r="Q92" s="307">
        <f t="shared" si="9"/>
        <v>19</v>
      </c>
      <c r="R92" s="308">
        <f t="shared" si="9"/>
        <v>0.33100000000000002</v>
      </c>
      <c r="S92" s="309">
        <f t="shared" si="10"/>
        <v>-2.2473959049874218E-2</v>
      </c>
      <c r="T92" s="309">
        <f t="shared" si="8"/>
        <v>2514.6167595438524</v>
      </c>
      <c r="U92" s="309">
        <f t="shared" si="8"/>
        <v>4378.3109246553722</v>
      </c>
      <c r="V92" s="309">
        <f t="shared" si="8"/>
        <v>5008.6780687372111</v>
      </c>
      <c r="W92" s="309">
        <f t="shared" si="8"/>
        <v>4193.3118715009196</v>
      </c>
      <c r="X92" s="309">
        <f t="shared" si="8"/>
        <v>2295.3586224719088</v>
      </c>
      <c r="Y92" s="309">
        <f t="shared" si="8"/>
        <v>-72.629257905081289</v>
      </c>
      <c r="Z92" s="309">
        <f t="shared" si="8"/>
        <v>-2432.3949581418733</v>
      </c>
      <c r="AA92" s="309">
        <f t="shared" si="8"/>
        <v>-4309.7927568203895</v>
      </c>
      <c r="AB92" s="309">
        <f t="shared" si="8"/>
        <v>-5090.8998701391884</v>
      </c>
      <c r="AC92" s="309">
        <f t="shared" si="8"/>
        <v>-4426.2736421398595</v>
      </c>
      <c r="AD92" s="309">
        <f t="shared" si="8"/>
        <v>-2528.3203931108487</v>
      </c>
      <c r="AE92" s="309">
        <f t="shared" si="8"/>
        <v>-3.6862774295220502E-2</v>
      </c>
    </row>
    <row r="93" spans="1:31" ht="12.75" customHeight="1" x14ac:dyDescent="0.2">
      <c r="A93" s="6">
        <v>18</v>
      </c>
      <c r="B93" s="306">
        <v>0.34899999999999998</v>
      </c>
      <c r="C93" s="18">
        <v>-1.25E-3</v>
      </c>
      <c r="D93" s="19">
        <v>37.9</v>
      </c>
      <c r="E93" s="19">
        <v>69.3</v>
      </c>
      <c r="F93" s="19">
        <v>83.9</v>
      </c>
      <c r="G93" s="19">
        <v>73.8</v>
      </c>
      <c r="H93" s="19">
        <v>42</v>
      </c>
      <c r="I93" s="19">
        <v>-0.72599999999999998</v>
      </c>
      <c r="J93" s="19">
        <v>-43.4</v>
      </c>
      <c r="K93" s="19">
        <v>-75</v>
      </c>
      <c r="L93" s="19">
        <v>-84.8</v>
      </c>
      <c r="M93" s="19">
        <v>-69.8</v>
      </c>
      <c r="N93" s="19">
        <v>-38.1</v>
      </c>
      <c r="O93" s="20">
        <v>-1.2700000000000001E-3</v>
      </c>
      <c r="Q93" s="307">
        <f t="shared" si="9"/>
        <v>18</v>
      </c>
      <c r="R93" s="308">
        <f t="shared" si="9"/>
        <v>0.34899999999999998</v>
      </c>
      <c r="S93" s="309">
        <f t="shared" si="10"/>
        <v>-8.5647709793727947E-2</v>
      </c>
      <c r="T93" s="309">
        <f t="shared" si="8"/>
        <v>2596.8385609458314</v>
      </c>
      <c r="U93" s="309">
        <f t="shared" si="8"/>
        <v>4748.3090309642776</v>
      </c>
      <c r="V93" s="309">
        <f t="shared" si="8"/>
        <v>5748.67428135502</v>
      </c>
      <c r="W93" s="309">
        <f t="shared" si="8"/>
        <v>5056.6407862216975</v>
      </c>
      <c r="X93" s="309">
        <f t="shared" si="8"/>
        <v>2877.7630490692586</v>
      </c>
      <c r="Y93" s="309">
        <f t="shared" si="8"/>
        <v>-49.744189848197188</v>
      </c>
      <c r="Z93" s="309">
        <f t="shared" si="8"/>
        <v>-2973.688484038234</v>
      </c>
      <c r="AA93" s="309">
        <f t="shared" si="8"/>
        <v>-5138.8625876236765</v>
      </c>
      <c r="AB93" s="309">
        <f t="shared" si="8"/>
        <v>-5810.3406324065036</v>
      </c>
      <c r="AC93" s="309">
        <f t="shared" si="8"/>
        <v>-4782.5681148817685</v>
      </c>
      <c r="AD93" s="309">
        <f t="shared" si="8"/>
        <v>-2610.5421945128278</v>
      </c>
      <c r="AE93" s="309">
        <f t="shared" si="8"/>
        <v>-8.7018073150427602E-2</v>
      </c>
    </row>
    <row r="94" spans="1:31" ht="12.75" customHeight="1" x14ac:dyDescent="0.2">
      <c r="A94" s="6">
        <v>17</v>
      </c>
      <c r="B94" s="306">
        <v>0.37</v>
      </c>
      <c r="C94" s="18">
        <v>7.6699999999999994E-5</v>
      </c>
      <c r="D94" s="19">
        <v>34.700000000000003</v>
      </c>
      <c r="E94" s="19">
        <v>70</v>
      </c>
      <c r="F94" s="19">
        <v>93.6</v>
      </c>
      <c r="G94" s="19">
        <v>88.9</v>
      </c>
      <c r="H94" s="19">
        <v>53.2</v>
      </c>
      <c r="I94" s="19">
        <v>-0.41199999999999998</v>
      </c>
      <c r="J94" s="19">
        <v>-54.1</v>
      </c>
      <c r="K94" s="19">
        <v>-89.8</v>
      </c>
      <c r="L94" s="19">
        <v>-94.3</v>
      </c>
      <c r="M94" s="19">
        <v>-70.400000000000006</v>
      </c>
      <c r="N94" s="19">
        <v>-34.799999999999997</v>
      </c>
      <c r="O94" s="20">
        <v>8.7200000000000005E-5</v>
      </c>
      <c r="Q94" s="307">
        <f t="shared" si="9"/>
        <v>17</v>
      </c>
      <c r="R94" s="308">
        <f t="shared" si="9"/>
        <v>0.37</v>
      </c>
      <c r="S94" s="309">
        <f t="shared" si="10"/>
        <v>5.2553434729431456E-3</v>
      </c>
      <c r="T94" s="309">
        <f t="shared" si="8"/>
        <v>2377.5804238738874</v>
      </c>
      <c r="U94" s="309">
        <f t="shared" si="8"/>
        <v>4796.2717484487648</v>
      </c>
      <c r="V94" s="309">
        <f t="shared" si="8"/>
        <v>6413.3005093543488</v>
      </c>
      <c r="W94" s="309">
        <f t="shared" si="8"/>
        <v>6091.2651205299317</v>
      </c>
      <c r="X94" s="309">
        <f t="shared" si="8"/>
        <v>3645.1665288210615</v>
      </c>
      <c r="Y94" s="309">
        <f t="shared" si="8"/>
        <v>-28.229485148012731</v>
      </c>
      <c r="Z94" s="309">
        <f t="shared" si="8"/>
        <v>-3706.8328798725452</v>
      </c>
      <c r="AA94" s="309">
        <f t="shared" si="8"/>
        <v>-6152.9314715814153</v>
      </c>
      <c r="AB94" s="309">
        <f t="shared" si="8"/>
        <v>-6461.2632268388361</v>
      </c>
      <c r="AC94" s="309">
        <f t="shared" si="8"/>
        <v>-4823.6790155827584</v>
      </c>
      <c r="AD94" s="309">
        <f t="shared" si="8"/>
        <v>-2384.432240657386</v>
      </c>
      <c r="AE94" s="309">
        <f t="shared" si="8"/>
        <v>5.9747842352104617E-3</v>
      </c>
    </row>
    <row r="95" spans="1:31" ht="12.75" customHeight="1" x14ac:dyDescent="0.2">
      <c r="A95" s="6">
        <v>16</v>
      </c>
      <c r="B95" s="306">
        <v>0.39300000000000002</v>
      </c>
      <c r="C95" s="18">
        <v>-6.8999999999999997E-4</v>
      </c>
      <c r="D95" s="19">
        <v>22</v>
      </c>
      <c r="E95" s="19">
        <v>59.3</v>
      </c>
      <c r="F95" s="19">
        <v>97.9</v>
      </c>
      <c r="G95" s="19">
        <v>106</v>
      </c>
      <c r="H95" s="19">
        <v>67.900000000000006</v>
      </c>
      <c r="I95" s="19">
        <v>-7.3700000000000002E-2</v>
      </c>
      <c r="J95" s="19">
        <v>-68.099999999999994</v>
      </c>
      <c r="K95" s="19">
        <v>-106</v>
      </c>
      <c r="L95" s="19">
        <v>-98.4</v>
      </c>
      <c r="M95" s="19">
        <v>-59.5</v>
      </c>
      <c r="N95" s="19">
        <v>-22.1</v>
      </c>
      <c r="O95" s="20">
        <v>-5.8699999999999996E-4</v>
      </c>
      <c r="Q95" s="307">
        <f t="shared" si="9"/>
        <v>16</v>
      </c>
      <c r="R95" s="308">
        <f t="shared" si="9"/>
        <v>0.39300000000000002</v>
      </c>
      <c r="S95" s="309">
        <f t="shared" si="10"/>
        <v>-4.7277535806137819E-2</v>
      </c>
      <c r="T95" s="309">
        <f t="shared" si="8"/>
        <v>1507.3996923696118</v>
      </c>
      <c r="U95" s="309">
        <f t="shared" si="8"/>
        <v>4063.1273526144532</v>
      </c>
      <c r="V95" s="309">
        <f t="shared" si="8"/>
        <v>6707.9286310447733</v>
      </c>
      <c r="W95" s="309">
        <f t="shared" si="8"/>
        <v>7262.9257905081295</v>
      </c>
      <c r="X95" s="309">
        <f t="shared" si="8"/>
        <v>4652.3835959953021</v>
      </c>
      <c r="Y95" s="309">
        <f t="shared" si="8"/>
        <v>-5.0497889694382003</v>
      </c>
      <c r="Z95" s="309">
        <f t="shared" si="8"/>
        <v>-4666.0872295622985</v>
      </c>
      <c r="AA95" s="309">
        <f t="shared" si="8"/>
        <v>-7262.9257905081295</v>
      </c>
      <c r="AB95" s="309">
        <f t="shared" si="8"/>
        <v>-6742.1877149622633</v>
      </c>
      <c r="AC95" s="309">
        <f t="shared" si="8"/>
        <v>-4076.83098618145</v>
      </c>
      <c r="AD95" s="309">
        <f t="shared" si="8"/>
        <v>-1514.25150915311</v>
      </c>
      <c r="AE95" s="309">
        <f t="shared" si="8"/>
        <v>-4.0220164519134641E-2</v>
      </c>
    </row>
    <row r="96" spans="1:31" ht="12.75" customHeight="1" x14ac:dyDescent="0.2">
      <c r="A96" s="6">
        <v>15</v>
      </c>
      <c r="B96" s="306">
        <v>0.41899999999999998</v>
      </c>
      <c r="C96" s="18">
        <v>-2.8600000000000001E-4</v>
      </c>
      <c r="D96" s="19">
        <v>-9.2899999999999991</v>
      </c>
      <c r="E96" s="19">
        <v>24.4</v>
      </c>
      <c r="F96" s="19">
        <v>87.4</v>
      </c>
      <c r="G96" s="19">
        <v>121</v>
      </c>
      <c r="H96" s="19">
        <v>86.1</v>
      </c>
      <c r="I96" s="19">
        <v>0.42899999999999999</v>
      </c>
      <c r="J96" s="19">
        <v>-85.4</v>
      </c>
      <c r="K96" s="19">
        <v>-121</v>
      </c>
      <c r="L96" s="19">
        <v>-87.4</v>
      </c>
      <c r="M96" s="19">
        <v>-24.4</v>
      </c>
      <c r="N96" s="19">
        <v>9.35</v>
      </c>
      <c r="O96" s="20">
        <v>-3.3700000000000001E-4</v>
      </c>
      <c r="Q96" s="307">
        <f t="shared" si="9"/>
        <v>15</v>
      </c>
      <c r="R96" s="308">
        <f t="shared" si="9"/>
        <v>0.41899999999999998</v>
      </c>
      <c r="S96" s="309">
        <f t="shared" si="10"/>
        <v>-1.9596196000804957E-2</v>
      </c>
      <c r="T96" s="309">
        <f t="shared" si="8"/>
        <v>-636.53377918698607</v>
      </c>
      <c r="U96" s="309">
        <f t="shared" si="8"/>
        <v>1671.8432951735697</v>
      </c>
      <c r="V96" s="309">
        <f t="shared" si="8"/>
        <v>5988.4878687774572</v>
      </c>
      <c r="W96" s="309">
        <f t="shared" si="8"/>
        <v>8290.6983080328646</v>
      </c>
      <c r="X96" s="309">
        <f t="shared" si="8"/>
        <v>5899.4142505919799</v>
      </c>
      <c r="Y96" s="309">
        <f t="shared" si="8"/>
        <v>29.394294001207431</v>
      </c>
      <c r="Z96" s="309">
        <f t="shared" si="8"/>
        <v>-5851.4515331074927</v>
      </c>
      <c r="AA96" s="309">
        <f t="shared" si="8"/>
        <v>-8290.6983080328646</v>
      </c>
      <c r="AB96" s="309">
        <f t="shared" si="8"/>
        <v>-5988.4878687774572</v>
      </c>
      <c r="AC96" s="309">
        <f t="shared" si="8"/>
        <v>-1671.8432951735697</v>
      </c>
      <c r="AD96" s="309">
        <f t="shared" si="8"/>
        <v>640.64486925708502</v>
      </c>
      <c r="AE96" s="309">
        <f t="shared" si="8"/>
        <v>-2.3090622560389056E-2</v>
      </c>
    </row>
    <row r="97" spans="1:31" ht="12.75" customHeight="1" x14ac:dyDescent="0.2">
      <c r="A97" s="6">
        <v>14</v>
      </c>
      <c r="B97" s="306">
        <v>0.44900000000000001</v>
      </c>
      <c r="C97" s="18">
        <v>7.3399999999999995E-5</v>
      </c>
      <c r="D97" s="19">
        <v>-75</v>
      </c>
      <c r="E97" s="19">
        <v>-58</v>
      </c>
      <c r="F97" s="19">
        <v>42.7</v>
      </c>
      <c r="G97" s="19">
        <v>125</v>
      </c>
      <c r="H97" s="19">
        <v>106</v>
      </c>
      <c r="I97" s="19">
        <v>1.42</v>
      </c>
      <c r="J97" s="19">
        <v>-104</v>
      </c>
      <c r="K97" s="19">
        <v>-123</v>
      </c>
      <c r="L97" s="19">
        <v>-41.7</v>
      </c>
      <c r="M97" s="19">
        <v>58.6</v>
      </c>
      <c r="N97" s="19">
        <v>75.3</v>
      </c>
      <c r="O97" s="20">
        <v>1.54E-4</v>
      </c>
      <c r="Q97" s="307">
        <f t="shared" si="9"/>
        <v>14</v>
      </c>
      <c r="R97" s="308">
        <f t="shared" si="9"/>
        <v>0.44900000000000001</v>
      </c>
      <c r="S97" s="309">
        <f t="shared" si="10"/>
        <v>5.0292335190877053E-3</v>
      </c>
      <c r="T97" s="309">
        <f t="shared" si="8"/>
        <v>-5138.8625876236765</v>
      </c>
      <c r="U97" s="309">
        <f t="shared" si="8"/>
        <v>-3974.0537344289769</v>
      </c>
      <c r="V97" s="309">
        <f t="shared" si="8"/>
        <v>2925.7257665537463</v>
      </c>
      <c r="W97" s="309">
        <f t="shared" si="8"/>
        <v>8564.7709793727954</v>
      </c>
      <c r="X97" s="309">
        <f t="shared" si="8"/>
        <v>7262.9257905081295</v>
      </c>
      <c r="Y97" s="309">
        <f t="shared" si="8"/>
        <v>97.295798325674937</v>
      </c>
      <c r="Z97" s="309">
        <f t="shared" si="8"/>
        <v>-7125.889454838165</v>
      </c>
      <c r="AA97" s="309">
        <f t="shared" si="8"/>
        <v>-8427.73464370283</v>
      </c>
      <c r="AB97" s="309">
        <f t="shared" si="8"/>
        <v>-2857.2075987187645</v>
      </c>
      <c r="AC97" s="309">
        <f t="shared" si="8"/>
        <v>4015.1646351299664</v>
      </c>
      <c r="AD97" s="309">
        <f t="shared" si="8"/>
        <v>5159.418037974172</v>
      </c>
      <c r="AE97" s="309">
        <f t="shared" si="8"/>
        <v>1.0551797846587283E-2</v>
      </c>
    </row>
    <row r="98" spans="1:31" ht="12.75" customHeight="1" x14ac:dyDescent="0.2">
      <c r="A98" s="6">
        <v>13</v>
      </c>
      <c r="B98" s="306">
        <v>0.48299999999999998</v>
      </c>
      <c r="C98" s="18">
        <v>-5.3799999999999996E-4</v>
      </c>
      <c r="D98" s="19">
        <v>-199</v>
      </c>
      <c r="E98" s="19">
        <v>-228</v>
      </c>
      <c r="F98" s="19">
        <v>-74.5</v>
      </c>
      <c r="G98" s="19">
        <v>95.7</v>
      </c>
      <c r="H98" s="19">
        <v>120</v>
      </c>
      <c r="I98" s="19">
        <v>4.09</v>
      </c>
      <c r="J98" s="19">
        <v>-112</v>
      </c>
      <c r="K98" s="19">
        <v>-89.7</v>
      </c>
      <c r="L98" s="19">
        <v>78</v>
      </c>
      <c r="M98" s="19">
        <v>229</v>
      </c>
      <c r="N98" s="19">
        <v>199</v>
      </c>
      <c r="O98" s="20">
        <v>-5.7899999999999998E-4</v>
      </c>
      <c r="Q98" s="307">
        <f t="shared" si="9"/>
        <v>13</v>
      </c>
      <c r="R98" s="308">
        <f t="shared" si="9"/>
        <v>0.48299999999999998</v>
      </c>
      <c r="S98" s="309">
        <f t="shared" si="10"/>
        <v>-3.6862774295220502E-2</v>
      </c>
      <c r="T98" s="309">
        <f t="shared" si="8"/>
        <v>-13635.115399161488</v>
      </c>
      <c r="U98" s="309">
        <f t="shared" si="8"/>
        <v>-15622.142266375979</v>
      </c>
      <c r="V98" s="309">
        <f t="shared" si="8"/>
        <v>-5104.6035037061856</v>
      </c>
      <c r="W98" s="309">
        <f t="shared" si="8"/>
        <v>6557.1886618078124</v>
      </c>
      <c r="X98" s="309">
        <f t="shared" si="8"/>
        <v>8222.1801401978828</v>
      </c>
      <c r="Y98" s="309">
        <f t="shared" si="8"/>
        <v>280.23930644507783</v>
      </c>
      <c r="Z98" s="309">
        <f t="shared" si="8"/>
        <v>-7674.0347975180239</v>
      </c>
      <c r="AA98" s="309">
        <f t="shared" si="8"/>
        <v>-6146.079654797918</v>
      </c>
      <c r="AB98" s="309">
        <f t="shared" si="8"/>
        <v>5344.4170911286237</v>
      </c>
      <c r="AC98" s="309">
        <f t="shared" si="8"/>
        <v>15690.660434210959</v>
      </c>
      <c r="AD98" s="309">
        <f t="shared" si="8"/>
        <v>13635.115399161488</v>
      </c>
      <c r="AE98" s="309">
        <f t="shared" si="8"/>
        <v>-3.9672019176454784E-2</v>
      </c>
    </row>
    <row r="99" spans="1:31" ht="12.75" customHeight="1" x14ac:dyDescent="0.2">
      <c r="A99" s="6">
        <v>12</v>
      </c>
      <c r="B99" s="306">
        <v>0.52400000000000002</v>
      </c>
      <c r="C99" s="18">
        <v>-4.1800000000000002E-4</v>
      </c>
      <c r="D99" s="19">
        <v>-409</v>
      </c>
      <c r="E99" s="19">
        <v>-543</v>
      </c>
      <c r="F99" s="19">
        <v>-340</v>
      </c>
      <c r="G99" s="19">
        <v>-31</v>
      </c>
      <c r="H99" s="19">
        <v>95.5</v>
      </c>
      <c r="I99" s="19">
        <v>13.6</v>
      </c>
      <c r="J99" s="19">
        <v>-69.900000000000006</v>
      </c>
      <c r="K99" s="19">
        <v>50.2</v>
      </c>
      <c r="L99" s="19">
        <v>348</v>
      </c>
      <c r="M99" s="19">
        <v>542</v>
      </c>
      <c r="N99" s="19">
        <v>406</v>
      </c>
      <c r="O99" s="20">
        <v>1.6100000000000001E-4</v>
      </c>
      <c r="Q99" s="307">
        <f t="shared" si="9"/>
        <v>12</v>
      </c>
      <c r="R99" s="308">
        <f t="shared" si="9"/>
        <v>0.52400000000000002</v>
      </c>
      <c r="S99" s="309">
        <f t="shared" si="10"/>
        <v>-2.8640594155022622E-2</v>
      </c>
      <c r="T99" s="309">
        <f t="shared" si="8"/>
        <v>-28023.930644507782</v>
      </c>
      <c r="U99" s="309">
        <f t="shared" si="8"/>
        <v>-37205.365134395419</v>
      </c>
      <c r="V99" s="309">
        <f t="shared" si="8"/>
        <v>-23296.177063894003</v>
      </c>
      <c r="W99" s="309">
        <f t="shared" si="8"/>
        <v>-2124.0632028844529</v>
      </c>
      <c r="X99" s="309">
        <f t="shared" si="8"/>
        <v>6543.4850282408152</v>
      </c>
      <c r="Y99" s="309">
        <f t="shared" si="8"/>
        <v>931.84708255575993</v>
      </c>
      <c r="Z99" s="309">
        <f t="shared" si="8"/>
        <v>-4789.4199316652666</v>
      </c>
      <c r="AA99" s="309">
        <f t="shared" si="8"/>
        <v>3439.6120253161139</v>
      </c>
      <c r="AB99" s="309">
        <f t="shared" si="8"/>
        <v>23844.322406573861</v>
      </c>
      <c r="AC99" s="309">
        <f t="shared" si="8"/>
        <v>37136.846966560443</v>
      </c>
      <c r="AD99" s="309">
        <f t="shared" si="8"/>
        <v>27818.376141002835</v>
      </c>
      <c r="AE99" s="309">
        <f t="shared" si="8"/>
        <v>1.1031425021432159E-2</v>
      </c>
    </row>
    <row r="100" spans="1:31" ht="12.75" customHeight="1" x14ac:dyDescent="0.2">
      <c r="A100" s="6">
        <v>11</v>
      </c>
      <c r="B100" s="306">
        <v>0.57099999999999995</v>
      </c>
      <c r="C100" s="18">
        <v>-1.73E-4</v>
      </c>
      <c r="D100" s="19">
        <v>-691</v>
      </c>
      <c r="E100" s="19">
        <v>-1050</v>
      </c>
      <c r="F100" s="19">
        <v>-902</v>
      </c>
      <c r="G100" s="19">
        <v>-455</v>
      </c>
      <c r="H100" s="19">
        <v>-100</v>
      </c>
      <c r="I100" s="19">
        <v>62.3</v>
      </c>
      <c r="J100" s="19">
        <v>213</v>
      </c>
      <c r="K100" s="19">
        <v>529</v>
      </c>
      <c r="L100" s="19">
        <v>920</v>
      </c>
      <c r="M100" s="19">
        <v>1030</v>
      </c>
      <c r="N100" s="19">
        <v>668</v>
      </c>
      <c r="O100" s="20">
        <v>4.1899999999999999E-4</v>
      </c>
      <c r="Q100" s="307">
        <f t="shared" si="9"/>
        <v>11</v>
      </c>
      <c r="R100" s="308">
        <f t="shared" si="9"/>
        <v>0.57099999999999995</v>
      </c>
      <c r="S100" s="309">
        <f t="shared" si="10"/>
        <v>-1.1853643035451947E-2</v>
      </c>
      <c r="T100" s="309">
        <f t="shared" si="8"/>
        <v>-47346.053973972812</v>
      </c>
      <c r="U100" s="309">
        <f t="shared" si="8"/>
        <v>-71944.076226731471</v>
      </c>
      <c r="V100" s="309">
        <f t="shared" si="8"/>
        <v>-61803.387387154078</v>
      </c>
      <c r="W100" s="309">
        <f t="shared" si="8"/>
        <v>-31175.766364916974</v>
      </c>
      <c r="X100" s="309">
        <f t="shared" si="8"/>
        <v>-6851.816783498236</v>
      </c>
      <c r="Y100" s="309">
        <f t="shared" si="8"/>
        <v>4268.6818561194004</v>
      </c>
      <c r="Z100" s="309">
        <f t="shared" si="8"/>
        <v>14594.369748851243</v>
      </c>
      <c r="AA100" s="309">
        <f t="shared" si="8"/>
        <v>36246.110784705663</v>
      </c>
      <c r="AB100" s="309">
        <f t="shared" si="8"/>
        <v>63036.714408183769</v>
      </c>
      <c r="AC100" s="309">
        <f t="shared" si="8"/>
        <v>70573.712870031828</v>
      </c>
      <c r="AD100" s="309">
        <f t="shared" si="8"/>
        <v>45770.136113768218</v>
      </c>
      <c r="AE100" s="309">
        <f t="shared" si="8"/>
        <v>2.8709112322857611E-2</v>
      </c>
    </row>
    <row r="101" spans="1:31" ht="12.75" customHeight="1" x14ac:dyDescent="0.2">
      <c r="A101" s="6">
        <v>10</v>
      </c>
      <c r="B101" s="306">
        <v>0.628</v>
      </c>
      <c r="C101" s="18">
        <v>-4.4499999999999997E-4</v>
      </c>
      <c r="D101" s="19">
        <v>-684</v>
      </c>
      <c r="E101" s="19">
        <v>-1390</v>
      </c>
      <c r="F101" s="19">
        <v>-1920</v>
      </c>
      <c r="G101" s="19">
        <v>-1920</v>
      </c>
      <c r="H101" s="19">
        <v>-1070</v>
      </c>
      <c r="I101" s="19">
        <v>551</v>
      </c>
      <c r="J101" s="19">
        <v>2040</v>
      </c>
      <c r="K101" s="19">
        <v>2520</v>
      </c>
      <c r="L101" s="19">
        <v>2130</v>
      </c>
      <c r="M101" s="19">
        <v>1390</v>
      </c>
      <c r="N101" s="19">
        <v>641</v>
      </c>
      <c r="O101" s="20">
        <v>3.8400000000000001E-4</v>
      </c>
      <c r="Q101" s="307">
        <f t="shared" si="9"/>
        <v>10</v>
      </c>
      <c r="R101" s="308">
        <f t="shared" si="9"/>
        <v>0.628</v>
      </c>
      <c r="S101" s="309">
        <f t="shared" si="10"/>
        <v>-3.0490584686567145E-2</v>
      </c>
      <c r="T101" s="309">
        <f t="shared" si="8"/>
        <v>-46866.426799127927</v>
      </c>
      <c r="U101" s="309">
        <f t="shared" si="8"/>
        <v>-95240.253290625464</v>
      </c>
      <c r="V101" s="309">
        <f t="shared" si="8"/>
        <v>-131554.88224316612</v>
      </c>
      <c r="W101" s="309">
        <f t="shared" si="8"/>
        <v>-131554.88224316612</v>
      </c>
      <c r="X101" s="309">
        <f t="shared" si="8"/>
        <v>-73314.439583431129</v>
      </c>
      <c r="Y101" s="309">
        <f t="shared" si="8"/>
        <v>37753.510477075273</v>
      </c>
      <c r="Z101" s="309">
        <f t="shared" si="8"/>
        <v>139777.06238336401</v>
      </c>
      <c r="AA101" s="309">
        <f t="shared" si="8"/>
        <v>172665.78294415554</v>
      </c>
      <c r="AB101" s="309">
        <f t="shared" si="8"/>
        <v>145943.69748851241</v>
      </c>
      <c r="AC101" s="309">
        <f t="shared" si="8"/>
        <v>95240.253290625464</v>
      </c>
      <c r="AD101" s="309">
        <f t="shared" si="8"/>
        <v>43920.145582223689</v>
      </c>
      <c r="AE101" s="309">
        <f t="shared" si="8"/>
        <v>2.6310976448633224E-2</v>
      </c>
    </row>
    <row r="102" spans="1:31" ht="12.75" customHeight="1" x14ac:dyDescent="0.2">
      <c r="A102" s="6">
        <v>9.5</v>
      </c>
      <c r="B102" s="306">
        <v>0.66100000000000003</v>
      </c>
      <c r="C102" s="18">
        <v>-2.2899999999999999E-3</v>
      </c>
      <c r="D102" s="19">
        <v>74.3</v>
      </c>
      <c r="E102" s="19">
        <v>-476</v>
      </c>
      <c r="F102" s="19">
        <v>-1740</v>
      </c>
      <c r="G102" s="19">
        <v>-2650</v>
      </c>
      <c r="H102" s="19">
        <v>-1310</v>
      </c>
      <c r="I102" s="19">
        <v>2620</v>
      </c>
      <c r="J102" s="19">
        <v>5870</v>
      </c>
      <c r="K102" s="19">
        <v>5660</v>
      </c>
      <c r="L102" s="19">
        <v>3330</v>
      </c>
      <c r="M102" s="19">
        <v>1290</v>
      </c>
      <c r="N102" s="19">
        <v>317</v>
      </c>
      <c r="O102" s="20">
        <v>1.7099999999999999E-3</v>
      </c>
      <c r="Q102" s="307">
        <f t="shared" si="9"/>
        <v>9.5</v>
      </c>
      <c r="R102" s="308">
        <f t="shared" si="9"/>
        <v>0.66100000000000003</v>
      </c>
      <c r="S102" s="309">
        <f t="shared" si="10"/>
        <v>-0.15690660434210957</v>
      </c>
      <c r="T102" s="309">
        <f t="shared" si="10"/>
        <v>5090.8998701391884</v>
      </c>
      <c r="U102" s="309">
        <f t="shared" si="10"/>
        <v>-32614.6478894516</v>
      </c>
      <c r="V102" s="309">
        <f t="shared" si="10"/>
        <v>-119221.61203286929</v>
      </c>
      <c r="W102" s="309">
        <f t="shared" si="10"/>
        <v>-181573.14476270328</v>
      </c>
      <c r="X102" s="309">
        <f t="shared" si="10"/>
        <v>-89758.799863826862</v>
      </c>
      <c r="Y102" s="309">
        <f t="shared" si="10"/>
        <v>179517.59972765372</v>
      </c>
      <c r="Z102" s="309">
        <f t="shared" si="10"/>
        <v>402201.64519134647</v>
      </c>
      <c r="AA102" s="309">
        <f t="shared" si="10"/>
        <v>387812.82994600013</v>
      </c>
      <c r="AB102" s="309">
        <f t="shared" si="10"/>
        <v>228165.49889049123</v>
      </c>
      <c r="AC102" s="309">
        <f t="shared" si="10"/>
        <v>88388.436507127233</v>
      </c>
      <c r="AD102" s="309">
        <f t="shared" si="10"/>
        <v>21720.259203689406</v>
      </c>
      <c r="AE102" s="309">
        <f t="shared" si="10"/>
        <v>0.11716606699781981</v>
      </c>
    </row>
    <row r="103" spans="1:31" ht="12.75" customHeight="1" x14ac:dyDescent="0.2">
      <c r="A103" s="6">
        <v>9</v>
      </c>
      <c r="B103" s="306">
        <v>0.69799999999999995</v>
      </c>
      <c r="C103" s="18">
        <v>-4.0299999999999997E-3</v>
      </c>
      <c r="D103" s="19">
        <v>121</v>
      </c>
      <c r="E103" s="19">
        <v>44.8</v>
      </c>
      <c r="F103" s="19">
        <v>1140</v>
      </c>
      <c r="G103" s="19">
        <v>4970</v>
      </c>
      <c r="H103" s="19">
        <v>8520</v>
      </c>
      <c r="I103" s="19">
        <v>7250</v>
      </c>
      <c r="J103" s="19">
        <v>4110</v>
      </c>
      <c r="K103" s="19">
        <v>3850</v>
      </c>
      <c r="L103" s="19">
        <v>4650</v>
      </c>
      <c r="M103" s="19">
        <v>3900</v>
      </c>
      <c r="N103" s="19">
        <v>2050</v>
      </c>
      <c r="O103" s="20">
        <v>3.7599999999999999E-3</v>
      </c>
      <c r="Q103" s="307">
        <f t="shared" si="9"/>
        <v>9</v>
      </c>
      <c r="R103" s="308">
        <f t="shared" si="9"/>
        <v>0.69799999999999995</v>
      </c>
      <c r="S103" s="309">
        <f t="shared" si="10"/>
        <v>-0.27612821637497886</v>
      </c>
      <c r="T103" s="309">
        <f t="shared" si="10"/>
        <v>8290.6983080328646</v>
      </c>
      <c r="U103" s="309">
        <f t="shared" si="10"/>
        <v>3069.6139190072095</v>
      </c>
      <c r="V103" s="309">
        <f t="shared" si="10"/>
        <v>78110.71133187988</v>
      </c>
      <c r="W103" s="309">
        <f t="shared" si="10"/>
        <v>340535.29413986229</v>
      </c>
      <c r="X103" s="309">
        <f t="shared" si="10"/>
        <v>583774.78995404963</v>
      </c>
      <c r="Y103" s="309">
        <f t="shared" si="10"/>
        <v>496756.71680362208</v>
      </c>
      <c r="Z103" s="309">
        <f t="shared" si="10"/>
        <v>281609.66980177752</v>
      </c>
      <c r="AA103" s="309">
        <f t="shared" si="10"/>
        <v>263794.94616468204</v>
      </c>
      <c r="AB103" s="309">
        <f t="shared" si="10"/>
        <v>318609.48043266794</v>
      </c>
      <c r="AC103" s="309">
        <f t="shared" si="10"/>
        <v>267220.85455643118</v>
      </c>
      <c r="AD103" s="309">
        <f t="shared" si="10"/>
        <v>140462.24406171383</v>
      </c>
      <c r="AE103" s="309">
        <f t="shared" si="10"/>
        <v>0.25762831105953365</v>
      </c>
    </row>
    <row r="104" spans="1:31" ht="12.75" customHeight="1" x14ac:dyDescent="0.2">
      <c r="A104" s="6">
        <v>8.5</v>
      </c>
      <c r="B104" s="306">
        <v>0.73899999999999999</v>
      </c>
      <c r="C104" s="18">
        <v>-3.1199999999999999E-3</v>
      </c>
      <c r="D104" s="19">
        <v>-475</v>
      </c>
      <c r="E104" s="19">
        <v>-1430</v>
      </c>
      <c r="F104" s="19">
        <v>-636</v>
      </c>
      <c r="G104" s="19">
        <v>5990</v>
      </c>
      <c r="H104" s="19">
        <v>11900</v>
      </c>
      <c r="I104" s="19">
        <v>4360</v>
      </c>
      <c r="J104" s="19">
        <v>-4360</v>
      </c>
      <c r="K104" s="19">
        <v>-318</v>
      </c>
      <c r="L104" s="19">
        <v>5100</v>
      </c>
      <c r="M104" s="19">
        <v>4690</v>
      </c>
      <c r="N104" s="19">
        <v>2200</v>
      </c>
      <c r="O104" s="20">
        <v>2.7100000000000002E-3</v>
      </c>
      <c r="Q104" s="307">
        <f t="shared" si="9"/>
        <v>8.5</v>
      </c>
      <c r="R104" s="308">
        <f t="shared" si="9"/>
        <v>0.73899999999999999</v>
      </c>
      <c r="S104" s="309">
        <f t="shared" si="10"/>
        <v>-0.21377668364514499</v>
      </c>
      <c r="T104" s="309">
        <f t="shared" si="10"/>
        <v>-32546.129721616617</v>
      </c>
      <c r="U104" s="309">
        <f t="shared" si="10"/>
        <v>-97980.980004024765</v>
      </c>
      <c r="V104" s="309">
        <f t="shared" si="10"/>
        <v>-43577.554743048779</v>
      </c>
      <c r="W104" s="309">
        <f t="shared" si="10"/>
        <v>410423.82533154427</v>
      </c>
      <c r="X104" s="309">
        <f t="shared" si="10"/>
        <v>815366.19723628997</v>
      </c>
      <c r="Y104" s="309">
        <f t="shared" si="10"/>
        <v>298739.21176052309</v>
      </c>
      <c r="Z104" s="309">
        <f t="shared" si="10"/>
        <v>-298739.21176052309</v>
      </c>
      <c r="AA104" s="309">
        <f t="shared" si="10"/>
        <v>-21788.777371524389</v>
      </c>
      <c r="AB104" s="309">
        <f t="shared" si="10"/>
        <v>349442.65595840995</v>
      </c>
      <c r="AC104" s="309">
        <f t="shared" si="10"/>
        <v>321350.20714606723</v>
      </c>
      <c r="AD104" s="309">
        <f t="shared" si="10"/>
        <v>150739.96923696116</v>
      </c>
      <c r="AE104" s="309">
        <f t="shared" si="10"/>
        <v>0.18568423483280219</v>
      </c>
    </row>
    <row r="105" spans="1:31" ht="12.75" customHeight="1" x14ac:dyDescent="0.2">
      <c r="A105" s="6">
        <v>8</v>
      </c>
      <c r="B105" s="306">
        <v>0.78500000000000003</v>
      </c>
      <c r="C105" s="18">
        <v>-2E-3</v>
      </c>
      <c r="D105" s="19">
        <v>513</v>
      </c>
      <c r="E105" s="19">
        <v>334</v>
      </c>
      <c r="F105" s="19">
        <v>-894</v>
      </c>
      <c r="G105" s="19">
        <v>1760</v>
      </c>
      <c r="H105" s="19">
        <v>7880</v>
      </c>
      <c r="I105" s="19">
        <v>975</v>
      </c>
      <c r="J105" s="19">
        <v>-6290</v>
      </c>
      <c r="K105" s="19">
        <v>1070</v>
      </c>
      <c r="L105" s="19">
        <v>4420</v>
      </c>
      <c r="M105" s="19">
        <v>1690</v>
      </c>
      <c r="N105" s="19">
        <v>139</v>
      </c>
      <c r="O105" s="20">
        <v>-4.57E-4</v>
      </c>
      <c r="Q105" s="307">
        <f t="shared" si="9"/>
        <v>8</v>
      </c>
      <c r="R105" s="308">
        <f t="shared" si="9"/>
        <v>0.78500000000000003</v>
      </c>
      <c r="S105" s="309">
        <f t="shared" si="10"/>
        <v>-0.1370363356699647</v>
      </c>
      <c r="T105" s="309">
        <f t="shared" si="10"/>
        <v>35149.820099345947</v>
      </c>
      <c r="U105" s="309">
        <f t="shared" si="10"/>
        <v>22885.068056884109</v>
      </c>
      <c r="V105" s="309">
        <f t="shared" si="10"/>
        <v>-61255.242044474224</v>
      </c>
      <c r="W105" s="309">
        <f t="shared" si="10"/>
        <v>120591.97538956894</v>
      </c>
      <c r="X105" s="309">
        <f t="shared" si="10"/>
        <v>539923.16253966105</v>
      </c>
      <c r="Y105" s="309">
        <f t="shared" si="10"/>
        <v>66805.213639107795</v>
      </c>
      <c r="Z105" s="309">
        <f t="shared" si="10"/>
        <v>-430979.27568203904</v>
      </c>
      <c r="AA105" s="309">
        <f t="shared" si="10"/>
        <v>73314.439583431129</v>
      </c>
      <c r="AB105" s="309">
        <f t="shared" si="10"/>
        <v>302850.30183062202</v>
      </c>
      <c r="AC105" s="309">
        <f t="shared" si="10"/>
        <v>115795.70364112017</v>
      </c>
      <c r="AD105" s="309">
        <f t="shared" si="10"/>
        <v>9524.0253290625478</v>
      </c>
      <c r="AE105" s="309">
        <f t="shared" si="10"/>
        <v>-3.1312802700586936E-2</v>
      </c>
    </row>
    <row r="106" spans="1:31" ht="12.75" customHeight="1" x14ac:dyDescent="0.2">
      <c r="A106" s="6">
        <v>7.5</v>
      </c>
      <c r="B106" s="306">
        <v>0.83799999999999997</v>
      </c>
      <c r="C106" s="18">
        <v>2.8400000000000001E-3</v>
      </c>
      <c r="D106" s="19">
        <v>360</v>
      </c>
      <c r="E106" s="19">
        <v>2300</v>
      </c>
      <c r="F106" s="19">
        <v>2340</v>
      </c>
      <c r="G106" s="19">
        <v>-2170</v>
      </c>
      <c r="H106" s="19">
        <v>-2750</v>
      </c>
      <c r="I106" s="19">
        <v>-3630</v>
      </c>
      <c r="J106" s="19">
        <v>-2960</v>
      </c>
      <c r="K106" s="19">
        <v>2260</v>
      </c>
      <c r="L106" s="19">
        <v>-696</v>
      </c>
      <c r="M106" s="19">
        <v>-2940</v>
      </c>
      <c r="N106" s="19">
        <v>-1430</v>
      </c>
      <c r="O106" s="20">
        <v>-2.0200000000000001E-3</v>
      </c>
      <c r="Q106" s="307">
        <f t="shared" si="9"/>
        <v>7.5</v>
      </c>
      <c r="R106" s="308">
        <f t="shared" si="9"/>
        <v>0.83799999999999997</v>
      </c>
      <c r="S106" s="309">
        <f t="shared" si="10"/>
        <v>0.19459159665134987</v>
      </c>
      <c r="T106" s="309">
        <f t="shared" si="10"/>
        <v>24666.540420593647</v>
      </c>
      <c r="U106" s="309">
        <f t="shared" si="10"/>
        <v>157591.7860204594</v>
      </c>
      <c r="V106" s="309">
        <f t="shared" si="10"/>
        <v>160332.51273385869</v>
      </c>
      <c r="W106" s="309">
        <f t="shared" si="10"/>
        <v>-148684.42420191169</v>
      </c>
      <c r="X106" s="309">
        <f t="shared" si="10"/>
        <v>-188424.96154620146</v>
      </c>
      <c r="Y106" s="309">
        <f t="shared" si="10"/>
        <v>-248720.94924098594</v>
      </c>
      <c r="Z106" s="309">
        <f t="shared" si="10"/>
        <v>-202813.77679154777</v>
      </c>
      <c r="AA106" s="309">
        <f t="shared" si="10"/>
        <v>154851.05930706015</v>
      </c>
      <c r="AB106" s="309">
        <f t="shared" si="10"/>
        <v>-47688.644813147723</v>
      </c>
      <c r="AC106" s="309">
        <f t="shared" si="10"/>
        <v>-201443.4134348481</v>
      </c>
      <c r="AD106" s="309">
        <f t="shared" si="10"/>
        <v>-97980.980004024765</v>
      </c>
      <c r="AE106" s="309">
        <f t="shared" si="10"/>
        <v>-0.13840669902666436</v>
      </c>
    </row>
    <row r="107" spans="1:31" ht="12.75" customHeight="1" x14ac:dyDescent="0.2">
      <c r="A107" s="6">
        <v>7</v>
      </c>
      <c r="B107" s="306">
        <v>0.89800000000000002</v>
      </c>
      <c r="C107" s="18">
        <v>2.2200000000000002E-3</v>
      </c>
      <c r="D107" s="19">
        <v>1550</v>
      </c>
      <c r="E107" s="19">
        <v>4500</v>
      </c>
      <c r="F107" s="19">
        <v>3390</v>
      </c>
      <c r="G107" s="19">
        <v>-5040</v>
      </c>
      <c r="H107" s="19">
        <v>-5380</v>
      </c>
      <c r="I107" s="19">
        <v>-4550</v>
      </c>
      <c r="J107" s="19">
        <v>-2310</v>
      </c>
      <c r="K107" s="19">
        <v>5260</v>
      </c>
      <c r="L107" s="19">
        <v>512</v>
      </c>
      <c r="M107" s="19">
        <v>-2700</v>
      </c>
      <c r="N107" s="19">
        <v>-1480</v>
      </c>
      <c r="O107" s="20">
        <v>-5.7799999999999995E-4</v>
      </c>
      <c r="Q107" s="307">
        <f t="shared" si="9"/>
        <v>7</v>
      </c>
      <c r="R107" s="308">
        <f t="shared" si="9"/>
        <v>0.89800000000000002</v>
      </c>
      <c r="S107" s="309">
        <f t="shared" si="10"/>
        <v>0.15211033259366086</v>
      </c>
      <c r="T107" s="309">
        <f t="shared" si="10"/>
        <v>106203.16014422265</v>
      </c>
      <c r="U107" s="309">
        <f t="shared" si="10"/>
        <v>308331.75525742059</v>
      </c>
      <c r="V107" s="309">
        <f t="shared" si="10"/>
        <v>232276.58896059019</v>
      </c>
      <c r="W107" s="309">
        <f t="shared" si="10"/>
        <v>-345331.56588831107</v>
      </c>
      <c r="X107" s="309">
        <f t="shared" si="10"/>
        <v>-368627.74295220507</v>
      </c>
      <c r="Y107" s="309">
        <f t="shared" si="10"/>
        <v>-311757.66364916973</v>
      </c>
      <c r="Z107" s="309">
        <f t="shared" si="10"/>
        <v>-158276.96769880923</v>
      </c>
      <c r="AA107" s="309">
        <f t="shared" si="10"/>
        <v>360405.56281200721</v>
      </c>
      <c r="AB107" s="309">
        <f t="shared" si="10"/>
        <v>35081.301931510963</v>
      </c>
      <c r="AC107" s="309">
        <f t="shared" si="10"/>
        <v>-184999.05315445233</v>
      </c>
      <c r="AD107" s="309">
        <f t="shared" si="10"/>
        <v>-101406.88839577389</v>
      </c>
      <c r="AE107" s="309">
        <f t="shared" si="10"/>
        <v>-3.9603501008619806E-2</v>
      </c>
    </row>
    <row r="108" spans="1:31" ht="12.75" customHeight="1" x14ac:dyDescent="0.2">
      <c r="A108" s="6">
        <v>6.5</v>
      </c>
      <c r="B108" s="306">
        <v>0.96699999999999997</v>
      </c>
      <c r="C108" s="18">
        <v>-8.4000000000000003E-4</v>
      </c>
      <c r="D108" s="19">
        <v>333</v>
      </c>
      <c r="E108" s="19">
        <v>1920</v>
      </c>
      <c r="F108" s="19">
        <v>650</v>
      </c>
      <c r="G108" s="19">
        <v>-7870</v>
      </c>
      <c r="H108" s="19">
        <v>-5400</v>
      </c>
      <c r="I108" s="19">
        <v>-3600</v>
      </c>
      <c r="J108" s="19">
        <v>-3880</v>
      </c>
      <c r="K108" s="19">
        <v>7060</v>
      </c>
      <c r="L108" s="19">
        <v>877</v>
      </c>
      <c r="M108" s="19">
        <v>-2560</v>
      </c>
      <c r="N108" s="19">
        <v>-1620</v>
      </c>
      <c r="O108" s="20">
        <v>1.06E-4</v>
      </c>
      <c r="Q108" s="307">
        <f t="shared" si="9"/>
        <v>6.5</v>
      </c>
      <c r="R108" s="308">
        <f t="shared" si="9"/>
        <v>0.96699999999999997</v>
      </c>
      <c r="S108" s="309">
        <f t="shared" si="10"/>
        <v>-5.7555260981385192E-2</v>
      </c>
      <c r="T108" s="309">
        <f t="shared" si="10"/>
        <v>22816.549889049129</v>
      </c>
      <c r="U108" s="309">
        <f t="shared" si="10"/>
        <v>131554.88224316612</v>
      </c>
      <c r="V108" s="309">
        <f t="shared" si="10"/>
        <v>44536.809092738535</v>
      </c>
      <c r="W108" s="309">
        <f t="shared" si="10"/>
        <v>-539237.98086131108</v>
      </c>
      <c r="X108" s="309">
        <f t="shared" si="10"/>
        <v>-369998.10630890465</v>
      </c>
      <c r="Y108" s="309">
        <f t="shared" si="10"/>
        <v>-246665.40420593647</v>
      </c>
      <c r="Z108" s="309">
        <f t="shared" si="10"/>
        <v>-265850.49119973154</v>
      </c>
      <c r="AA108" s="309">
        <f t="shared" si="10"/>
        <v>483738.26491497544</v>
      </c>
      <c r="AB108" s="309">
        <f t="shared" si="10"/>
        <v>60090.433191279531</v>
      </c>
      <c r="AC108" s="309">
        <f t="shared" si="10"/>
        <v>-175406.50965755482</v>
      </c>
      <c r="AD108" s="309">
        <f t="shared" si="10"/>
        <v>-110999.43189267142</v>
      </c>
      <c r="AE108" s="309">
        <f t="shared" si="10"/>
        <v>7.2629257905081294E-3</v>
      </c>
    </row>
    <row r="109" spans="1:31" ht="12.75" customHeight="1" x14ac:dyDescent="0.2">
      <c r="A109" s="6">
        <v>6</v>
      </c>
      <c r="B109" s="306">
        <v>1.0469999999999999</v>
      </c>
      <c r="C109" s="18">
        <v>-9.7900000000000005E-4</v>
      </c>
      <c r="D109" s="19">
        <v>1720</v>
      </c>
      <c r="E109" s="19">
        <v>2900</v>
      </c>
      <c r="F109" s="19">
        <v>-4640</v>
      </c>
      <c r="G109" s="19">
        <v>-6560</v>
      </c>
      <c r="H109" s="19">
        <v>-4230</v>
      </c>
      <c r="I109" s="19">
        <v>-5190</v>
      </c>
      <c r="J109" s="19">
        <v>-3100</v>
      </c>
      <c r="K109" s="19">
        <v>3880</v>
      </c>
      <c r="L109" s="19">
        <v>4890</v>
      </c>
      <c r="M109" s="19">
        <v>839</v>
      </c>
      <c r="N109" s="19">
        <v>-1850</v>
      </c>
      <c r="O109" s="20">
        <v>9.6900000000000003E-4</v>
      </c>
      <c r="Q109" s="307">
        <f t="shared" si="9"/>
        <v>6</v>
      </c>
      <c r="R109" s="308">
        <f t="shared" si="9"/>
        <v>1.0469999999999999</v>
      </c>
      <c r="S109" s="309">
        <f t="shared" si="10"/>
        <v>-6.7079286310447725E-2</v>
      </c>
      <c r="T109" s="309">
        <f t="shared" si="10"/>
        <v>117851.24867616965</v>
      </c>
      <c r="U109" s="309">
        <f t="shared" si="10"/>
        <v>198702.68672144884</v>
      </c>
      <c r="V109" s="309">
        <f t="shared" si="10"/>
        <v>-317924.29875431815</v>
      </c>
      <c r="W109" s="309">
        <f t="shared" si="10"/>
        <v>-449479.18099748425</v>
      </c>
      <c r="X109" s="309">
        <f t="shared" si="10"/>
        <v>-289831.84994197538</v>
      </c>
      <c r="Y109" s="309">
        <f t="shared" si="10"/>
        <v>-355609.29106355848</v>
      </c>
      <c r="Z109" s="309">
        <f t="shared" si="10"/>
        <v>-212406.32028844531</v>
      </c>
      <c r="AA109" s="309">
        <f t="shared" si="10"/>
        <v>265850.49119973154</v>
      </c>
      <c r="AB109" s="309">
        <f t="shared" si="10"/>
        <v>335053.84071306372</v>
      </c>
      <c r="AC109" s="309">
        <f t="shared" si="10"/>
        <v>57486.74281355019</v>
      </c>
      <c r="AD109" s="309">
        <f t="shared" si="10"/>
        <v>-126758.61049471736</v>
      </c>
      <c r="AE109" s="309">
        <f t="shared" si="10"/>
        <v>6.6394104632097897E-2</v>
      </c>
    </row>
    <row r="110" spans="1:31" ht="12.75" customHeight="1" x14ac:dyDescent="0.2">
      <c r="A110" s="6">
        <v>5.5</v>
      </c>
      <c r="B110" s="306">
        <v>1.1419999999999999</v>
      </c>
      <c r="C110" s="18">
        <v>3.13E-3</v>
      </c>
      <c r="D110" s="19">
        <v>2220</v>
      </c>
      <c r="E110" s="19">
        <v>524</v>
      </c>
      <c r="F110" s="19">
        <v>-7430</v>
      </c>
      <c r="G110" s="19">
        <v>-4510</v>
      </c>
      <c r="H110" s="19">
        <v>-4980</v>
      </c>
      <c r="I110" s="19">
        <v>-4050</v>
      </c>
      <c r="J110" s="19">
        <v>-325</v>
      </c>
      <c r="K110" s="19">
        <v>-347</v>
      </c>
      <c r="L110" s="19">
        <v>6280</v>
      </c>
      <c r="M110" s="19">
        <v>2810</v>
      </c>
      <c r="N110" s="19">
        <v>-470</v>
      </c>
      <c r="O110" s="20">
        <v>-1.5499999999999999E-3</v>
      </c>
      <c r="Q110" s="307">
        <f t="shared" si="9"/>
        <v>5.5</v>
      </c>
      <c r="R110" s="308">
        <f t="shared" si="9"/>
        <v>1.1419999999999999</v>
      </c>
      <c r="S110" s="309">
        <f t="shared" si="10"/>
        <v>0.21446186532349476</v>
      </c>
      <c r="T110" s="309">
        <f t="shared" si="10"/>
        <v>152110.33259366083</v>
      </c>
      <c r="U110" s="309">
        <f t="shared" si="10"/>
        <v>35903.519945530759</v>
      </c>
      <c r="V110" s="309">
        <f t="shared" si="10"/>
        <v>-509089.98701391887</v>
      </c>
      <c r="W110" s="309">
        <f t="shared" si="10"/>
        <v>-309016.93693577038</v>
      </c>
      <c r="X110" s="309">
        <f t="shared" si="10"/>
        <v>-341220.47581821214</v>
      </c>
      <c r="Y110" s="309">
        <f t="shared" si="10"/>
        <v>-277498.57973167853</v>
      </c>
      <c r="Z110" s="309">
        <f t="shared" si="10"/>
        <v>-22268.404546369267</v>
      </c>
      <c r="AA110" s="309">
        <f t="shared" si="10"/>
        <v>-23775.804238738881</v>
      </c>
      <c r="AB110" s="309">
        <f t="shared" si="10"/>
        <v>430294.09400368924</v>
      </c>
      <c r="AC110" s="309">
        <f t="shared" si="10"/>
        <v>192536.05161630042</v>
      </c>
      <c r="AD110" s="309">
        <f t="shared" si="10"/>
        <v>-32203.53888244171</v>
      </c>
      <c r="AE110" s="309">
        <f t="shared" si="10"/>
        <v>-0.10620316014422265</v>
      </c>
    </row>
    <row r="111" spans="1:31" ht="12.75" customHeight="1" x14ac:dyDescent="0.2">
      <c r="A111" s="6">
        <v>5</v>
      </c>
      <c r="B111" s="306">
        <v>1.2569999999999999</v>
      </c>
      <c r="C111" s="18">
        <v>-9.7999999999999997E-4</v>
      </c>
      <c r="D111" s="19">
        <v>-496</v>
      </c>
      <c r="E111" s="19">
        <v>-3970</v>
      </c>
      <c r="F111" s="19">
        <v>-5530</v>
      </c>
      <c r="G111" s="19">
        <v>-6080</v>
      </c>
      <c r="H111" s="19">
        <v>-4680</v>
      </c>
      <c r="I111" s="19">
        <v>-259</v>
      </c>
      <c r="J111" s="19">
        <v>683</v>
      </c>
      <c r="K111" s="19">
        <v>555</v>
      </c>
      <c r="L111" s="19">
        <v>3330</v>
      </c>
      <c r="M111" s="19">
        <v>5730</v>
      </c>
      <c r="N111" s="19">
        <v>1870</v>
      </c>
      <c r="O111" s="20">
        <v>-1.5E-3</v>
      </c>
      <c r="Q111" s="307">
        <f t="shared" si="9"/>
        <v>5</v>
      </c>
      <c r="R111" s="308">
        <f t="shared" si="9"/>
        <v>1.2569999999999999</v>
      </c>
      <c r="S111" s="309">
        <f t="shared" si="10"/>
        <v>-6.714780447828271E-2</v>
      </c>
      <c r="T111" s="309">
        <f t="shared" si="10"/>
        <v>-33985.011246151247</v>
      </c>
      <c r="U111" s="309">
        <f t="shared" si="10"/>
        <v>-272017.12630487996</v>
      </c>
      <c r="V111" s="309">
        <f t="shared" si="10"/>
        <v>-378905.46812745248</v>
      </c>
      <c r="W111" s="309">
        <f t="shared" si="10"/>
        <v>-416590.46043669269</v>
      </c>
      <c r="X111" s="309">
        <f t="shared" si="10"/>
        <v>-320665.02546771738</v>
      </c>
      <c r="Y111" s="309">
        <f t="shared" si="10"/>
        <v>-17746.205469260429</v>
      </c>
      <c r="Z111" s="309">
        <f t="shared" si="10"/>
        <v>46797.908631292958</v>
      </c>
      <c r="AA111" s="309">
        <f t="shared" si="10"/>
        <v>38027.583148415208</v>
      </c>
      <c r="AB111" s="309">
        <f t="shared" si="10"/>
        <v>228165.49889049123</v>
      </c>
      <c r="AC111" s="309">
        <f t="shared" si="10"/>
        <v>392609.10169444885</v>
      </c>
      <c r="AD111" s="309">
        <f t="shared" si="10"/>
        <v>128128.97385141699</v>
      </c>
      <c r="AE111" s="309">
        <f t="shared" si="10"/>
        <v>-0.10277725175247353</v>
      </c>
    </row>
    <row r="112" spans="1:31" ht="12.75" customHeight="1" x14ac:dyDescent="0.2">
      <c r="A112" s="6">
        <v>4.5</v>
      </c>
      <c r="B112" s="306">
        <v>1.3959999999999999</v>
      </c>
      <c r="C112" s="18">
        <v>3.0699999999999998E-3</v>
      </c>
      <c r="D112" s="19">
        <v>-971</v>
      </c>
      <c r="E112" s="19">
        <v>-4260</v>
      </c>
      <c r="F112" s="19">
        <v>-4540</v>
      </c>
      <c r="G112" s="19">
        <v>-5770</v>
      </c>
      <c r="H112" s="19">
        <v>-3320</v>
      </c>
      <c r="I112" s="19">
        <v>527</v>
      </c>
      <c r="J112" s="19">
        <v>58.1</v>
      </c>
      <c r="K112" s="19">
        <v>1680</v>
      </c>
      <c r="L112" s="19">
        <v>3530</v>
      </c>
      <c r="M112" s="19">
        <v>5190</v>
      </c>
      <c r="N112" s="19">
        <v>3040</v>
      </c>
      <c r="O112" s="20">
        <v>2.4599999999999999E-3</v>
      </c>
      <c r="Q112" s="307">
        <f t="shared" si="9"/>
        <v>4.5</v>
      </c>
      <c r="R112" s="308">
        <f t="shared" si="9"/>
        <v>1.3959999999999999</v>
      </c>
      <c r="S112" s="309">
        <f t="shared" si="10"/>
        <v>0.21035077525339582</v>
      </c>
      <c r="T112" s="309">
        <f t="shared" si="10"/>
        <v>-66531.140967767875</v>
      </c>
      <c r="U112" s="309">
        <f t="shared" si="10"/>
        <v>-291887.39497702481</v>
      </c>
      <c r="V112" s="309">
        <f t="shared" si="10"/>
        <v>-311072.48197081994</v>
      </c>
      <c r="W112" s="309">
        <f t="shared" si="10"/>
        <v>-395349.8284078482</v>
      </c>
      <c r="X112" s="309">
        <f t="shared" si="10"/>
        <v>-227480.31721214144</v>
      </c>
      <c r="Y112" s="309">
        <f t="shared" si="10"/>
        <v>36109.074449035696</v>
      </c>
      <c r="Z112" s="309">
        <f t="shared" si="10"/>
        <v>3980.9055512124751</v>
      </c>
      <c r="AA112" s="309">
        <f t="shared" si="10"/>
        <v>115110.52196277035</v>
      </c>
      <c r="AB112" s="309">
        <f t="shared" si="10"/>
        <v>241869.13245748772</v>
      </c>
      <c r="AC112" s="309">
        <f t="shared" si="10"/>
        <v>355609.29106355848</v>
      </c>
      <c r="AD112" s="309">
        <f t="shared" si="10"/>
        <v>208295.23021834635</v>
      </c>
      <c r="AE112" s="309">
        <f t="shared" si="10"/>
        <v>0.16855469287405656</v>
      </c>
    </row>
    <row r="113" spans="1:31" ht="12.75" customHeight="1" x14ac:dyDescent="0.2">
      <c r="A113" s="6">
        <v>4</v>
      </c>
      <c r="B113" s="306">
        <v>1.571</v>
      </c>
      <c r="C113" s="18">
        <v>-1.1400000000000001E-4</v>
      </c>
      <c r="D113" s="19">
        <v>-1560</v>
      </c>
      <c r="E113" s="19">
        <v>-3560</v>
      </c>
      <c r="F113" s="19">
        <v>-4380</v>
      </c>
      <c r="G113" s="19">
        <v>-4090</v>
      </c>
      <c r="H113" s="19">
        <v>-3830</v>
      </c>
      <c r="I113" s="19">
        <v>-1350</v>
      </c>
      <c r="J113" s="19">
        <v>-826</v>
      </c>
      <c r="K113" s="19">
        <v>530</v>
      </c>
      <c r="L113" s="19">
        <v>3910</v>
      </c>
      <c r="M113" s="19">
        <v>4460</v>
      </c>
      <c r="N113" s="19">
        <v>3150</v>
      </c>
      <c r="O113" s="20">
        <v>-2.7699999999999999E-3</v>
      </c>
      <c r="Q113" s="307">
        <f t="shared" si="9"/>
        <v>4</v>
      </c>
      <c r="R113" s="308">
        <f t="shared" si="9"/>
        <v>1.571</v>
      </c>
      <c r="S113" s="309">
        <f t="shared" si="10"/>
        <v>-7.8110711331879894E-3</v>
      </c>
      <c r="T113" s="309">
        <f t="shared" si="10"/>
        <v>-106888.34182257247</v>
      </c>
      <c r="U113" s="309">
        <f t="shared" si="10"/>
        <v>-243924.67749253719</v>
      </c>
      <c r="V113" s="309">
        <f t="shared" si="10"/>
        <v>-300109.57511722273</v>
      </c>
      <c r="W113" s="309">
        <f t="shared" si="10"/>
        <v>-280239.30644507782</v>
      </c>
      <c r="X113" s="309">
        <f t="shared" si="10"/>
        <v>-262424.58280798246</v>
      </c>
      <c r="Y113" s="309">
        <f t="shared" si="10"/>
        <v>-92499.526577226163</v>
      </c>
      <c r="Z113" s="309">
        <f t="shared" si="10"/>
        <v>-56596.006631695425</v>
      </c>
      <c r="AA113" s="309">
        <f t="shared" si="10"/>
        <v>36314.628952540646</v>
      </c>
      <c r="AB113" s="309">
        <f t="shared" si="10"/>
        <v>267906.03623478097</v>
      </c>
      <c r="AC113" s="309">
        <f t="shared" si="10"/>
        <v>305591.0285440213</v>
      </c>
      <c r="AD113" s="309">
        <f t="shared" si="10"/>
        <v>215832.22868019444</v>
      </c>
      <c r="AE113" s="309">
        <f t="shared" si="10"/>
        <v>-0.18979532490290113</v>
      </c>
    </row>
    <row r="114" spans="1:31" ht="12.75" customHeight="1" x14ac:dyDescent="0.2">
      <c r="A114" s="6">
        <v>3.5</v>
      </c>
      <c r="B114" s="306">
        <v>1.7949999999999999</v>
      </c>
      <c r="C114" s="18">
        <v>6.6299999999999996E-4</v>
      </c>
      <c r="D114" s="19">
        <v>-1650</v>
      </c>
      <c r="E114" s="19">
        <v>-1290</v>
      </c>
      <c r="F114" s="19">
        <v>-4570</v>
      </c>
      <c r="G114" s="19">
        <v>-2340</v>
      </c>
      <c r="H114" s="19">
        <v>-3220</v>
      </c>
      <c r="I114" s="19">
        <v>-1490</v>
      </c>
      <c r="J114" s="19">
        <v>-716</v>
      </c>
      <c r="K114" s="19">
        <v>-758</v>
      </c>
      <c r="L114" s="19">
        <v>3040</v>
      </c>
      <c r="M114" s="19">
        <v>3200</v>
      </c>
      <c r="N114" s="19">
        <v>3720</v>
      </c>
      <c r="O114" s="20">
        <v>9.6299999999999996E-5</v>
      </c>
      <c r="Q114" s="307">
        <f t="shared" si="9"/>
        <v>3.5</v>
      </c>
      <c r="R114" s="308">
        <f t="shared" si="9"/>
        <v>1.7949999999999999</v>
      </c>
      <c r="S114" s="309">
        <f t="shared" si="10"/>
        <v>4.5427545274593299E-2</v>
      </c>
      <c r="T114" s="309">
        <f t="shared" si="10"/>
        <v>-113054.97692772087</v>
      </c>
      <c r="U114" s="309">
        <f t="shared" si="10"/>
        <v>-88388.436507127233</v>
      </c>
      <c r="V114" s="309">
        <f t="shared" si="10"/>
        <v>-313128.02700586937</v>
      </c>
      <c r="W114" s="309">
        <f t="shared" si="10"/>
        <v>-160332.51273385869</v>
      </c>
      <c r="X114" s="309">
        <f t="shared" si="10"/>
        <v>-220628.50042864316</v>
      </c>
      <c r="Y114" s="309">
        <f t="shared" si="10"/>
        <v>-102092.07007412372</v>
      </c>
      <c r="Z114" s="309">
        <f t="shared" si="10"/>
        <v>-49059.008169847366</v>
      </c>
      <c r="AA114" s="309">
        <f t="shared" si="10"/>
        <v>-51936.771218916627</v>
      </c>
      <c r="AB114" s="309">
        <f t="shared" si="10"/>
        <v>208295.23021834635</v>
      </c>
      <c r="AC114" s="309">
        <f t="shared" si="10"/>
        <v>219258.13707194355</v>
      </c>
      <c r="AD114" s="309">
        <f t="shared" si="10"/>
        <v>254887.58434613436</v>
      </c>
      <c r="AE114" s="309">
        <f t="shared" si="10"/>
        <v>6.598299562508801E-3</v>
      </c>
    </row>
    <row r="115" spans="1:31" ht="12.75" customHeight="1" x14ac:dyDescent="0.2">
      <c r="A115" s="6">
        <v>3.24</v>
      </c>
      <c r="B115" s="306">
        <v>1.9390000000000001</v>
      </c>
      <c r="C115" s="18">
        <v>1.42E-3</v>
      </c>
      <c r="D115" s="19">
        <v>-1770</v>
      </c>
      <c r="E115" s="19">
        <v>-1440</v>
      </c>
      <c r="F115" s="19">
        <v>-5070</v>
      </c>
      <c r="G115" s="19">
        <v>-4050</v>
      </c>
      <c r="H115" s="19">
        <v>-2900</v>
      </c>
      <c r="I115" s="19">
        <v>-120</v>
      </c>
      <c r="J115" s="19">
        <v>182</v>
      </c>
      <c r="K115" s="19">
        <v>1380</v>
      </c>
      <c r="L115" s="19">
        <v>2870</v>
      </c>
      <c r="M115" s="19">
        <v>3470</v>
      </c>
      <c r="N115" s="19">
        <v>3760</v>
      </c>
      <c r="O115" s="20">
        <v>3.2399999999999998E-3</v>
      </c>
      <c r="Q115" s="307">
        <f t="shared" si="9"/>
        <v>3.24</v>
      </c>
      <c r="R115" s="308">
        <f t="shared" si="9"/>
        <v>1.9390000000000001</v>
      </c>
      <c r="S115" s="309">
        <f t="shared" si="10"/>
        <v>9.7295798325674934E-2</v>
      </c>
      <c r="T115" s="309">
        <f t="shared" si="10"/>
        <v>-121277.15706791877</v>
      </c>
      <c r="U115" s="309">
        <f t="shared" si="10"/>
        <v>-98666.161682374586</v>
      </c>
      <c r="V115" s="309">
        <f t="shared" si="10"/>
        <v>-347387.11092336051</v>
      </c>
      <c r="W115" s="309">
        <f t="shared" si="10"/>
        <v>-277498.57973167853</v>
      </c>
      <c r="X115" s="309">
        <f t="shared" si="10"/>
        <v>-198702.68672144884</v>
      </c>
      <c r="Y115" s="309">
        <f t="shared" si="10"/>
        <v>-8222.1801401978828</v>
      </c>
      <c r="Z115" s="309">
        <f t="shared" si="10"/>
        <v>12470.306545966789</v>
      </c>
      <c r="AA115" s="309">
        <f t="shared" si="10"/>
        <v>94555.071612275657</v>
      </c>
      <c r="AB115" s="309">
        <f t="shared" si="10"/>
        <v>196647.14168639935</v>
      </c>
      <c r="AC115" s="309">
        <f t="shared" si="10"/>
        <v>237758.04238738873</v>
      </c>
      <c r="AD115" s="309">
        <f t="shared" si="10"/>
        <v>257628.31105953368</v>
      </c>
      <c r="AE115" s="309">
        <f t="shared" si="10"/>
        <v>0.22199886378534281</v>
      </c>
    </row>
    <row r="116" spans="1:31" ht="12.75" customHeight="1" x14ac:dyDescent="0.2">
      <c r="A116" s="6">
        <v>0</v>
      </c>
      <c r="B116" s="306">
        <v>0</v>
      </c>
      <c r="C116" s="18">
        <v>0</v>
      </c>
      <c r="D116" s="19">
        <v>0</v>
      </c>
      <c r="E116" s="19">
        <v>0</v>
      </c>
      <c r="F116" s="19">
        <v>0</v>
      </c>
      <c r="G116" s="19">
        <v>0</v>
      </c>
      <c r="H116" s="19">
        <v>0</v>
      </c>
      <c r="I116" s="19">
        <v>0</v>
      </c>
      <c r="J116" s="19">
        <v>0</v>
      </c>
      <c r="K116" s="19">
        <v>0</v>
      </c>
      <c r="L116" s="19">
        <v>0</v>
      </c>
      <c r="M116" s="19">
        <v>0</v>
      </c>
      <c r="N116" s="19">
        <v>0</v>
      </c>
      <c r="O116" s="20">
        <v>0</v>
      </c>
    </row>
    <row r="117" spans="1:31" ht="12.75" customHeight="1" x14ac:dyDescent="0.2">
      <c r="A117" s="6">
        <v>0</v>
      </c>
      <c r="B117" s="306">
        <v>0</v>
      </c>
      <c r="C117" s="18">
        <v>0</v>
      </c>
      <c r="D117" s="19">
        <v>0</v>
      </c>
      <c r="E117" s="19">
        <v>0</v>
      </c>
      <c r="F117" s="19">
        <v>0</v>
      </c>
      <c r="G117" s="19">
        <v>0</v>
      </c>
      <c r="H117" s="19">
        <v>0</v>
      </c>
      <c r="I117" s="19">
        <v>0</v>
      </c>
      <c r="J117" s="19">
        <v>0</v>
      </c>
      <c r="K117" s="19">
        <v>0</v>
      </c>
      <c r="L117" s="19">
        <v>0</v>
      </c>
      <c r="M117" s="19">
        <v>0</v>
      </c>
      <c r="N117" s="19">
        <v>0</v>
      </c>
      <c r="O117" s="20">
        <v>0</v>
      </c>
    </row>
    <row r="118" spans="1:31" ht="12.75" customHeight="1" x14ac:dyDescent="0.2">
      <c r="A118" s="6">
        <v>0</v>
      </c>
      <c r="B118" s="306">
        <v>0</v>
      </c>
      <c r="C118" s="18">
        <v>0</v>
      </c>
      <c r="D118" s="19">
        <v>0</v>
      </c>
      <c r="E118" s="19">
        <v>0</v>
      </c>
      <c r="F118" s="19">
        <v>0</v>
      </c>
      <c r="G118" s="19">
        <v>0</v>
      </c>
      <c r="H118" s="19">
        <v>0</v>
      </c>
      <c r="I118" s="19">
        <v>0</v>
      </c>
      <c r="J118" s="19">
        <v>0</v>
      </c>
      <c r="K118" s="19">
        <v>0</v>
      </c>
      <c r="L118" s="19">
        <v>0</v>
      </c>
      <c r="M118" s="19">
        <v>0</v>
      </c>
      <c r="N118" s="19">
        <v>0</v>
      </c>
      <c r="O118" s="20">
        <v>0</v>
      </c>
    </row>
    <row r="119" spans="1:31" ht="12.75" customHeight="1" x14ac:dyDescent="0.2">
      <c r="A119" s="6">
        <v>0</v>
      </c>
      <c r="B119" s="306">
        <v>0</v>
      </c>
      <c r="C119" s="18">
        <v>0</v>
      </c>
      <c r="D119" s="19">
        <v>0</v>
      </c>
      <c r="E119" s="19">
        <v>0</v>
      </c>
      <c r="F119" s="19">
        <v>0</v>
      </c>
      <c r="G119" s="19">
        <v>0</v>
      </c>
      <c r="H119" s="19">
        <v>0</v>
      </c>
      <c r="I119" s="19">
        <v>0</v>
      </c>
      <c r="J119" s="19">
        <v>0</v>
      </c>
      <c r="K119" s="19">
        <v>0</v>
      </c>
      <c r="L119" s="19">
        <v>0</v>
      </c>
      <c r="M119" s="19">
        <v>0</v>
      </c>
      <c r="N119" s="19">
        <v>0</v>
      </c>
      <c r="O119" s="20">
        <v>0</v>
      </c>
    </row>
    <row r="120" spans="1:31" ht="12.75" customHeight="1" thickBot="1" x14ac:dyDescent="0.25">
      <c r="A120" s="10">
        <v>0</v>
      </c>
      <c r="B120" s="310">
        <v>0</v>
      </c>
      <c r="C120" s="21">
        <v>0</v>
      </c>
      <c r="D120" s="22">
        <v>0</v>
      </c>
      <c r="E120" s="22">
        <v>0</v>
      </c>
      <c r="F120" s="22">
        <v>0</v>
      </c>
      <c r="G120" s="22">
        <v>0</v>
      </c>
      <c r="H120" s="22">
        <v>0</v>
      </c>
      <c r="I120" s="22">
        <v>0</v>
      </c>
      <c r="J120" s="22">
        <v>0</v>
      </c>
      <c r="K120" s="22">
        <v>0</v>
      </c>
      <c r="L120" s="22">
        <v>0</v>
      </c>
      <c r="M120" s="22">
        <v>0</v>
      </c>
      <c r="N120" s="22">
        <v>0</v>
      </c>
      <c r="O120" s="23">
        <v>0</v>
      </c>
    </row>
  </sheetData>
  <sheetProtection password="F3C4" sheet="1" objects="1" scenarios="1"/>
  <mergeCells count="18">
    <mergeCell ref="A81:O81"/>
    <mergeCell ref="A82:O82"/>
    <mergeCell ref="A83:A84"/>
    <mergeCell ref="B83:B84"/>
    <mergeCell ref="C83:O83"/>
    <mergeCell ref="C84:O84"/>
    <mergeCell ref="A41:O41"/>
    <mergeCell ref="A42:O42"/>
    <mergeCell ref="A43:A44"/>
    <mergeCell ref="B43:B44"/>
    <mergeCell ref="C43:O43"/>
    <mergeCell ref="C44:O44"/>
    <mergeCell ref="A1:O1"/>
    <mergeCell ref="A2:O2"/>
    <mergeCell ref="A3:A4"/>
    <mergeCell ref="B3:B4"/>
    <mergeCell ref="C3:O3"/>
    <mergeCell ref="C4:O4"/>
  </mergeCells>
  <printOptions horizontalCentered="1"/>
  <pageMargins left="0.75" right="0.75" top="0.75" bottom="0.75" header="0.5" footer="0.5"/>
  <pageSetup scale="59" fitToWidth="2" fitToHeight="2" orientation="portrait" r:id="rId1"/>
  <headerFooter alignWithMargins="0">
    <oddHeader>&amp;L&amp;"Arial,Bold"DTCEL Motion RAOs&amp;R&amp;"Arial,Bold"&amp;D</oddHeader>
  </headerFooter>
  <rowBreaks count="1" manualBreakCount="1">
    <brk id="80" max="21"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DriftOff</vt:lpstr>
      <vt:lpstr>RAOs</vt:lpstr>
      <vt:lpstr>WindCurrent</vt:lpstr>
      <vt:lpstr>Drifts</vt:lpstr>
      <vt:lpstr>DriftOff!Print_Area</vt:lpstr>
      <vt:lpstr>Drifts!Print_Area</vt:lpstr>
      <vt:lpstr>RAOs!Print_Area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DTCEL</dc:creator>
  <cp:lastModifiedBy>Donghui Chen</cp:lastModifiedBy>
  <cp:lastPrinted>2014-12-05T17:31:40Z</cp:lastPrinted>
  <dcterms:created xsi:type="dcterms:W3CDTF">1999-04-02T15:14:56Z</dcterms:created>
  <dcterms:modified xsi:type="dcterms:W3CDTF">2015-04-17T18:13:07Z</dcterms:modified>
</cp:coreProperties>
</file>