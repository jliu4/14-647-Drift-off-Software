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575" yWindow="210" windowWidth="16950" windowHeight="11205" tabRatio="645"/>
  </bookViews>
  <sheets>
    <sheet name="DriftOff" sheetId="18" r:id="rId1"/>
    <sheet name="RAOs" sheetId="29" state="hidden" r:id="rId2"/>
    <sheet name="WindCurrent" sheetId="27" state="hidden" r:id="rId3"/>
    <sheet name="Drifts" sheetId="30" state="hidden" r:id="rId4"/>
  </sheets>
  <functionGroups builtInGroupCount="17"/>
  <definedNames>
    <definedName name="_xlnm.Print_Area" localSheetId="0">DriftOff!$B$1:$O$165</definedName>
    <definedName name="_xlnm.Print_Area" localSheetId="3">Drifts!$A$1:$K$120</definedName>
    <definedName name="_xlnm.Print_Area" localSheetId="1">RAOs!$A$1:$N$360</definedName>
    <definedName name="_xlnm.Print_Titles" localSheetId="0">DriftOff!$1:$15</definedName>
    <definedName name="Wind">#REF!</definedName>
  </definedNames>
  <calcPr calcId="145621"/>
</workbook>
</file>

<file path=xl/calcChain.xml><?xml version="1.0" encoding="utf-8"?>
<calcChain xmlns="http://schemas.openxmlformats.org/spreadsheetml/2006/main">
  <c r="H4" i="27" l="1"/>
  <c r="C46" i="18" l="1"/>
  <c r="H5" i="27" l="1"/>
  <c r="H6" i="27"/>
  <c r="H7" i="27"/>
  <c r="H8" i="27"/>
  <c r="H9" i="27"/>
  <c r="H10" i="27"/>
  <c r="H11" i="27"/>
  <c r="H12" i="27"/>
  <c r="H13" i="27"/>
  <c r="H14" i="27"/>
  <c r="H15" i="27"/>
  <c r="H16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18" i="27"/>
  <c r="K70" i="18" l="1"/>
  <c r="K77" i="18" l="1"/>
  <c r="K78" i="18" s="1"/>
  <c r="H78" i="18" s="1"/>
  <c r="K76" i="18"/>
  <c r="H77" i="18" l="1"/>
  <c r="AH114" i="18"/>
  <c r="G41" i="18"/>
  <c r="K41" i="18" s="1"/>
  <c r="K72" i="18" l="1"/>
  <c r="H69" i="18" l="1"/>
  <c r="H31" i="18"/>
  <c r="I31" i="18" s="1"/>
  <c r="H30" i="18"/>
  <c r="I30" i="18" s="1"/>
  <c r="K71" i="18" s="1"/>
  <c r="H29" i="18"/>
  <c r="I29" i="18" s="1"/>
  <c r="K24" i="18"/>
  <c r="J69" i="18" l="1"/>
  <c r="J70" i="18" s="1"/>
  <c r="AY96" i="18" l="1"/>
  <c r="AY91" i="18"/>
  <c r="AY100" i="18"/>
  <c r="AY99" i="18"/>
  <c r="AY98" i="18"/>
  <c r="AY95" i="18"/>
  <c r="AY94" i="18"/>
  <c r="AY93" i="18"/>
  <c r="I56" i="18"/>
  <c r="I53" i="18"/>
  <c r="BB96" i="18" l="1"/>
  <c r="BB91" i="18"/>
  <c r="AY92" i="18"/>
  <c r="BA93" i="18" s="1"/>
  <c r="BB92" i="18"/>
  <c r="BB95" i="18" s="1"/>
  <c r="AY97" i="18"/>
  <c r="BA99" i="18" s="1"/>
  <c r="BB97" i="18"/>
  <c r="BB100" i="18" s="1"/>
  <c r="BA96" i="18"/>
  <c r="BA91" i="18"/>
  <c r="BA97" i="18"/>
  <c r="BA100" i="18" s="1"/>
  <c r="BA92" i="18"/>
  <c r="BA95" i="18" s="1"/>
  <c r="BA94" i="18" l="1"/>
  <c r="BB99" i="18"/>
  <c r="BB98" i="18"/>
  <c r="BA98" i="18"/>
  <c r="BB93" i="18"/>
  <c r="BB94" i="18"/>
  <c r="AQ74" i="18"/>
  <c r="M41" i="18" l="1"/>
  <c r="AR66" i="18" l="1"/>
  <c r="AT66" i="18"/>
  <c r="AU66" i="18" s="1"/>
  <c r="AS66" i="18" s="1"/>
  <c r="AD115" i="30"/>
  <c r="S115" i="30"/>
  <c r="AE115" i="30"/>
  <c r="AC115" i="30"/>
  <c r="AB115" i="30"/>
  <c r="AA115" i="30"/>
  <c r="Z115" i="30"/>
  <c r="Y115" i="30"/>
  <c r="X115" i="30"/>
  <c r="W115" i="30"/>
  <c r="V115" i="30"/>
  <c r="U115" i="30"/>
  <c r="T115" i="30"/>
  <c r="R115" i="30"/>
  <c r="Q115" i="30"/>
  <c r="AC114" i="30"/>
  <c r="Y114" i="30"/>
  <c r="Q114" i="30"/>
  <c r="AE114" i="30"/>
  <c r="AD114" i="30"/>
  <c r="AB114" i="30"/>
  <c r="AA114" i="30"/>
  <c r="Z114" i="30"/>
  <c r="X114" i="30"/>
  <c r="W114" i="30"/>
  <c r="V114" i="30"/>
  <c r="U114" i="30"/>
  <c r="T114" i="30"/>
  <c r="S114" i="30"/>
  <c r="R114" i="30"/>
  <c r="AE113" i="30"/>
  <c r="W113" i="30"/>
  <c r="S113" i="30"/>
  <c r="R113" i="30"/>
  <c r="AD113" i="30"/>
  <c r="AC113" i="30"/>
  <c r="AB113" i="30"/>
  <c r="AA113" i="30"/>
  <c r="Z113" i="30"/>
  <c r="Y113" i="30"/>
  <c r="X113" i="30"/>
  <c r="V113" i="30"/>
  <c r="U113" i="30"/>
  <c r="T113" i="30"/>
  <c r="Q113" i="30"/>
  <c r="AC112" i="30"/>
  <c r="U112" i="30"/>
  <c r="Q112" i="30"/>
  <c r="AE112" i="30"/>
  <c r="AD112" i="30"/>
  <c r="AB112" i="30"/>
  <c r="AA112" i="30"/>
  <c r="Z112" i="30"/>
  <c r="Y112" i="30"/>
  <c r="X112" i="30"/>
  <c r="W112" i="30"/>
  <c r="V112" i="30"/>
  <c r="T112" i="30"/>
  <c r="S112" i="30"/>
  <c r="R112" i="30"/>
  <c r="AE111" i="30"/>
  <c r="W111" i="30"/>
  <c r="S111" i="30"/>
  <c r="AD111" i="30"/>
  <c r="AC111" i="30"/>
  <c r="AB111" i="30"/>
  <c r="AA111" i="30"/>
  <c r="Z111" i="30"/>
  <c r="Y111" i="30"/>
  <c r="X111" i="30"/>
  <c r="V111" i="30"/>
  <c r="U111" i="30"/>
  <c r="T111" i="30"/>
  <c r="R111" i="30"/>
  <c r="Q111" i="30"/>
  <c r="AC110" i="30"/>
  <c r="AA110" i="30"/>
  <c r="Y110" i="30"/>
  <c r="S110" i="30"/>
  <c r="Q110" i="30"/>
  <c r="AE110" i="30"/>
  <c r="AD110" i="30"/>
  <c r="AB110" i="30"/>
  <c r="Z110" i="30"/>
  <c r="X110" i="30"/>
  <c r="W110" i="30"/>
  <c r="V110" i="30"/>
  <c r="U110" i="30"/>
  <c r="T110" i="30"/>
  <c r="R110" i="30"/>
  <c r="AE109" i="30"/>
  <c r="AA109" i="30"/>
  <c r="Y109" i="30"/>
  <c r="W109" i="30"/>
  <c r="AD109" i="30"/>
  <c r="AC109" i="30"/>
  <c r="AB109" i="30"/>
  <c r="Z109" i="30"/>
  <c r="X109" i="30"/>
  <c r="V109" i="30"/>
  <c r="U109" i="30"/>
  <c r="T109" i="30"/>
  <c r="S109" i="30"/>
  <c r="R109" i="30"/>
  <c r="Q109" i="30"/>
  <c r="Y108" i="30"/>
  <c r="X108" i="30"/>
  <c r="Q108" i="30"/>
  <c r="AE108" i="30"/>
  <c r="AD108" i="30"/>
  <c r="AC108" i="30"/>
  <c r="AB108" i="30"/>
  <c r="AA108" i="30"/>
  <c r="Z108" i="30"/>
  <c r="W108" i="30"/>
  <c r="V108" i="30"/>
  <c r="U108" i="30"/>
  <c r="T108" i="30"/>
  <c r="S108" i="30"/>
  <c r="R108" i="30"/>
  <c r="AA107" i="30"/>
  <c r="V107" i="30"/>
  <c r="S107" i="30"/>
  <c r="AE107" i="30"/>
  <c r="AD107" i="30"/>
  <c r="AC107" i="30"/>
  <c r="AB107" i="30"/>
  <c r="Z107" i="30"/>
  <c r="Y107" i="30"/>
  <c r="X107" i="30"/>
  <c r="W107" i="30"/>
  <c r="U107" i="30"/>
  <c r="T107" i="30"/>
  <c r="R107" i="30"/>
  <c r="Q107" i="30"/>
  <c r="S106" i="30"/>
  <c r="AE106" i="30"/>
  <c r="AD106" i="30"/>
  <c r="AC106" i="30"/>
  <c r="AB106" i="30"/>
  <c r="AA106" i="30"/>
  <c r="Z106" i="30"/>
  <c r="Y106" i="30"/>
  <c r="X106" i="30"/>
  <c r="W106" i="30"/>
  <c r="V106" i="30"/>
  <c r="U106" i="30"/>
  <c r="T106" i="30"/>
  <c r="R106" i="30"/>
  <c r="Q106" i="30"/>
  <c r="AE105" i="30"/>
  <c r="W105" i="30"/>
  <c r="S105" i="30"/>
  <c r="AD105" i="30"/>
  <c r="AC105" i="30"/>
  <c r="AB105" i="30"/>
  <c r="AA105" i="30"/>
  <c r="Z105" i="30"/>
  <c r="Y105" i="30"/>
  <c r="X105" i="30"/>
  <c r="V105" i="30"/>
  <c r="U105" i="30"/>
  <c r="T105" i="30"/>
  <c r="R105" i="30"/>
  <c r="Q105" i="30"/>
  <c r="AE104" i="30"/>
  <c r="U104" i="30"/>
  <c r="AD104" i="30"/>
  <c r="AC104" i="30"/>
  <c r="AB104" i="30"/>
  <c r="AA104" i="30"/>
  <c r="Z104" i="30"/>
  <c r="Y104" i="30"/>
  <c r="X104" i="30"/>
  <c r="W104" i="30"/>
  <c r="V104" i="30"/>
  <c r="T104" i="30"/>
  <c r="S104" i="30"/>
  <c r="R104" i="30"/>
  <c r="Q104" i="30"/>
  <c r="AE103" i="30"/>
  <c r="AA103" i="30"/>
  <c r="W103" i="30"/>
  <c r="S103" i="30"/>
  <c r="AD103" i="30"/>
  <c r="AC103" i="30"/>
  <c r="AB103" i="30"/>
  <c r="Z103" i="30"/>
  <c r="Y103" i="30"/>
  <c r="X103" i="30"/>
  <c r="V103" i="30"/>
  <c r="U103" i="30"/>
  <c r="T103" i="30"/>
  <c r="R103" i="30"/>
  <c r="Q103" i="30"/>
  <c r="AC102" i="30"/>
  <c r="U102" i="30"/>
  <c r="AE102" i="30"/>
  <c r="AD102" i="30"/>
  <c r="AB102" i="30"/>
  <c r="AA102" i="30"/>
  <c r="Z102" i="30"/>
  <c r="Y102" i="30"/>
  <c r="X102" i="30"/>
  <c r="W102" i="30"/>
  <c r="V102" i="30"/>
  <c r="T102" i="30"/>
  <c r="S102" i="30"/>
  <c r="R102" i="30"/>
  <c r="Q102" i="30"/>
  <c r="AE101" i="30"/>
  <c r="W101" i="30"/>
  <c r="S101" i="30"/>
  <c r="AD101" i="30"/>
  <c r="AC101" i="30"/>
  <c r="AB101" i="30"/>
  <c r="AA101" i="30"/>
  <c r="Z101" i="30"/>
  <c r="Y101" i="30"/>
  <c r="X101" i="30"/>
  <c r="V101" i="30"/>
  <c r="U101" i="30"/>
  <c r="T101" i="30"/>
  <c r="R101" i="30"/>
  <c r="Q101" i="30"/>
  <c r="W100" i="30"/>
  <c r="U100" i="30"/>
  <c r="AE100" i="30"/>
  <c r="AD100" i="30"/>
  <c r="AC100" i="30"/>
  <c r="AB100" i="30"/>
  <c r="AA100" i="30"/>
  <c r="Z100" i="30"/>
  <c r="Y100" i="30"/>
  <c r="X100" i="30"/>
  <c r="V100" i="30"/>
  <c r="T100" i="30"/>
  <c r="S100" i="30"/>
  <c r="R100" i="30"/>
  <c r="Q100" i="30"/>
  <c r="V99" i="30"/>
  <c r="U99" i="30"/>
  <c r="AE99" i="30"/>
  <c r="AD99" i="30"/>
  <c r="AC99" i="30"/>
  <c r="AB99" i="30"/>
  <c r="AA99" i="30"/>
  <c r="Z99" i="30"/>
  <c r="Y99" i="30"/>
  <c r="X99" i="30"/>
  <c r="W99" i="30"/>
  <c r="T99" i="30"/>
  <c r="S99" i="30"/>
  <c r="R99" i="30"/>
  <c r="Q99" i="30"/>
  <c r="Y98" i="30"/>
  <c r="Q98" i="30"/>
  <c r="AE98" i="30"/>
  <c r="AD98" i="30"/>
  <c r="AC98" i="30"/>
  <c r="AB98" i="30"/>
  <c r="AA98" i="30"/>
  <c r="Z98" i="30"/>
  <c r="X98" i="30"/>
  <c r="W98" i="30"/>
  <c r="V98" i="30"/>
  <c r="U98" i="30"/>
  <c r="T98" i="30"/>
  <c r="S98" i="30"/>
  <c r="R98" i="30"/>
  <c r="AE97" i="30"/>
  <c r="AA97" i="30"/>
  <c r="W97" i="30"/>
  <c r="S97" i="30"/>
  <c r="AD97" i="30"/>
  <c r="AC97" i="30"/>
  <c r="AB97" i="30"/>
  <c r="Z97" i="30"/>
  <c r="Y97" i="30"/>
  <c r="X97" i="30"/>
  <c r="V97" i="30"/>
  <c r="U97" i="30"/>
  <c r="T97" i="30"/>
  <c r="R97" i="30"/>
  <c r="Q97" i="30"/>
  <c r="X96" i="30"/>
  <c r="U96" i="30"/>
  <c r="AE96" i="30"/>
  <c r="AD96" i="30"/>
  <c r="AC96" i="30"/>
  <c r="AB96" i="30"/>
  <c r="AA96" i="30"/>
  <c r="Z96" i="30"/>
  <c r="Y96" i="30"/>
  <c r="W96" i="30"/>
  <c r="V96" i="30"/>
  <c r="T96" i="30"/>
  <c r="S96" i="30"/>
  <c r="R96" i="30"/>
  <c r="Q96" i="30"/>
  <c r="AC95" i="30"/>
  <c r="AE95" i="30"/>
  <c r="AD95" i="30"/>
  <c r="AB95" i="30"/>
  <c r="AA95" i="30"/>
  <c r="Z95" i="30"/>
  <c r="Y95" i="30"/>
  <c r="X95" i="30"/>
  <c r="W95" i="30"/>
  <c r="V95" i="30"/>
  <c r="U95" i="30"/>
  <c r="T95" i="30"/>
  <c r="S95" i="30"/>
  <c r="R95" i="30"/>
  <c r="Q95" i="30"/>
  <c r="AC94" i="30"/>
  <c r="Y94" i="30"/>
  <c r="U94" i="30"/>
  <c r="Q94" i="30"/>
  <c r="AE94" i="30"/>
  <c r="AD94" i="30"/>
  <c r="AB94" i="30"/>
  <c r="AA94" i="30"/>
  <c r="Z94" i="30"/>
  <c r="X94" i="30"/>
  <c r="W94" i="30"/>
  <c r="V94" i="30"/>
  <c r="T94" i="30"/>
  <c r="S94" i="30"/>
  <c r="R94" i="30"/>
  <c r="AE93" i="30"/>
  <c r="AD93" i="30"/>
  <c r="AC93" i="30"/>
  <c r="AB93" i="30"/>
  <c r="AA93" i="30"/>
  <c r="Z93" i="30"/>
  <c r="Y93" i="30"/>
  <c r="X93" i="30"/>
  <c r="W93" i="30"/>
  <c r="V93" i="30"/>
  <c r="U93" i="30"/>
  <c r="T93" i="30"/>
  <c r="S93" i="30"/>
  <c r="R93" i="30"/>
  <c r="Q93" i="30"/>
  <c r="U92" i="30"/>
  <c r="AE92" i="30"/>
  <c r="AD92" i="30"/>
  <c r="AC92" i="30"/>
  <c r="AB92" i="30"/>
  <c r="AA92" i="30"/>
  <c r="Z92" i="30"/>
  <c r="Y92" i="30"/>
  <c r="X92" i="30"/>
  <c r="W92" i="30"/>
  <c r="V92" i="30"/>
  <c r="T92" i="30"/>
  <c r="S92" i="30"/>
  <c r="R92" i="30"/>
  <c r="Q92" i="30"/>
  <c r="AC91" i="30"/>
  <c r="AE91" i="30"/>
  <c r="AD91" i="30"/>
  <c r="AB91" i="30"/>
  <c r="AA91" i="30"/>
  <c r="Z91" i="30"/>
  <c r="Y91" i="30"/>
  <c r="X91" i="30"/>
  <c r="W91" i="30"/>
  <c r="V91" i="30"/>
  <c r="U91" i="30"/>
  <c r="T91" i="30"/>
  <c r="S91" i="30"/>
  <c r="R91" i="30"/>
  <c r="Q91" i="30"/>
  <c r="AA90" i="30"/>
  <c r="S90" i="30"/>
  <c r="AE90" i="30"/>
  <c r="AD90" i="30"/>
  <c r="AC90" i="30"/>
  <c r="AB90" i="30"/>
  <c r="Z90" i="30"/>
  <c r="Y90" i="30"/>
  <c r="X90" i="30"/>
  <c r="W90" i="30"/>
  <c r="V90" i="30"/>
  <c r="U90" i="30"/>
  <c r="T90" i="30"/>
  <c r="R90" i="30"/>
  <c r="Q90" i="30"/>
  <c r="Z89" i="30"/>
  <c r="W89" i="30"/>
  <c r="R89" i="30"/>
  <c r="Q89" i="30"/>
  <c r="AE89" i="30"/>
  <c r="AD89" i="30"/>
  <c r="AC89" i="30"/>
  <c r="AB89" i="30"/>
  <c r="AA89" i="30"/>
  <c r="Y89" i="30"/>
  <c r="X89" i="30"/>
  <c r="V89" i="30"/>
  <c r="U89" i="30"/>
  <c r="T89" i="30"/>
  <c r="S89" i="30"/>
  <c r="AE88" i="30"/>
  <c r="X88" i="30"/>
  <c r="W88" i="30"/>
  <c r="U88" i="30"/>
  <c r="AD88" i="30"/>
  <c r="AC88" i="30"/>
  <c r="AB88" i="30"/>
  <c r="AA88" i="30"/>
  <c r="Z88" i="30"/>
  <c r="Y88" i="30"/>
  <c r="V88" i="30"/>
  <c r="T88" i="30"/>
  <c r="S88" i="30"/>
  <c r="R88" i="30"/>
  <c r="Q88" i="30"/>
  <c r="AA87" i="30"/>
  <c r="W87" i="30"/>
  <c r="U87" i="30"/>
  <c r="AE87" i="30"/>
  <c r="AD87" i="30"/>
  <c r="AC87" i="30"/>
  <c r="AB87" i="30"/>
  <c r="Z87" i="30"/>
  <c r="Y87" i="30"/>
  <c r="X87" i="30"/>
  <c r="V87" i="30"/>
  <c r="T87" i="30"/>
  <c r="S87" i="30"/>
  <c r="R87" i="30"/>
  <c r="Q87" i="30"/>
  <c r="U86" i="30"/>
  <c r="S86" i="30"/>
  <c r="Q86" i="30"/>
  <c r="AE86" i="30"/>
  <c r="AD86" i="30"/>
  <c r="AC86" i="30"/>
  <c r="AB86" i="30"/>
  <c r="AA86" i="30"/>
  <c r="Z86" i="30"/>
  <c r="Y86" i="30"/>
  <c r="X86" i="30"/>
  <c r="W86" i="30"/>
  <c r="V86" i="30"/>
  <c r="T86" i="30"/>
  <c r="R86" i="30"/>
  <c r="AB75" i="30"/>
  <c r="X75" i="30"/>
  <c r="AE75" i="30"/>
  <c r="AD75" i="30"/>
  <c r="AC75" i="30"/>
  <c r="AA75" i="30"/>
  <c r="Z75" i="30"/>
  <c r="Y75" i="30"/>
  <c r="W75" i="30"/>
  <c r="V75" i="30"/>
  <c r="U75" i="30"/>
  <c r="T75" i="30"/>
  <c r="S75" i="30"/>
  <c r="R75" i="30"/>
  <c r="Q75" i="30"/>
  <c r="AD74" i="30"/>
  <c r="Z74" i="30"/>
  <c r="AE74" i="30"/>
  <c r="AC74" i="30"/>
  <c r="AB74" i="30"/>
  <c r="AA74" i="30"/>
  <c r="Y74" i="30"/>
  <c r="X74" i="30"/>
  <c r="W74" i="30"/>
  <c r="V74" i="30"/>
  <c r="U74" i="30"/>
  <c r="T74" i="30"/>
  <c r="S74" i="30"/>
  <c r="R74" i="30"/>
  <c r="Q74" i="30"/>
  <c r="AD73" i="30"/>
  <c r="AB73" i="30"/>
  <c r="T73" i="30"/>
  <c r="AE73" i="30"/>
  <c r="AC73" i="30"/>
  <c r="AA73" i="30"/>
  <c r="Z73" i="30"/>
  <c r="Y73" i="30"/>
  <c r="X73" i="30"/>
  <c r="W73" i="30"/>
  <c r="V73" i="30"/>
  <c r="U73" i="30"/>
  <c r="S73" i="30"/>
  <c r="R73" i="30"/>
  <c r="Q73" i="30"/>
  <c r="Z72" i="30"/>
  <c r="U72" i="30"/>
  <c r="AE72" i="30"/>
  <c r="AD72" i="30"/>
  <c r="AC72" i="30"/>
  <c r="AB72" i="30"/>
  <c r="AA72" i="30"/>
  <c r="Y72" i="30"/>
  <c r="X72" i="30"/>
  <c r="W72" i="30"/>
  <c r="V72" i="30"/>
  <c r="T72" i="30"/>
  <c r="S72" i="30"/>
  <c r="R72" i="30"/>
  <c r="Q72" i="30"/>
  <c r="AB71" i="30"/>
  <c r="X71" i="30"/>
  <c r="T71" i="30"/>
  <c r="AE71" i="30"/>
  <c r="AD71" i="30"/>
  <c r="AC71" i="30"/>
  <c r="AA71" i="30"/>
  <c r="Z71" i="30"/>
  <c r="Y71" i="30"/>
  <c r="W71" i="30"/>
  <c r="V71" i="30"/>
  <c r="U71" i="30"/>
  <c r="S71" i="30"/>
  <c r="R71" i="30"/>
  <c r="Q71" i="30"/>
  <c r="AD70" i="30"/>
  <c r="V70" i="30"/>
  <c r="R70" i="30"/>
  <c r="AE70" i="30"/>
  <c r="AC70" i="30"/>
  <c r="AB70" i="30"/>
  <c r="AA70" i="30"/>
  <c r="Z70" i="30"/>
  <c r="Y70" i="30"/>
  <c r="X70" i="30"/>
  <c r="W70" i="30"/>
  <c r="U70" i="30"/>
  <c r="T70" i="30"/>
  <c r="S70" i="30"/>
  <c r="Q70" i="30"/>
  <c r="AE69" i="30"/>
  <c r="AB69" i="30"/>
  <c r="T69" i="30"/>
  <c r="AD69" i="30"/>
  <c r="AC69" i="30"/>
  <c r="AA69" i="30"/>
  <c r="Z69" i="30"/>
  <c r="Y69" i="30"/>
  <c r="X69" i="30"/>
  <c r="W69" i="30"/>
  <c r="V69" i="30"/>
  <c r="U69" i="30"/>
  <c r="S69" i="30"/>
  <c r="R69" i="30"/>
  <c r="Q69" i="30"/>
  <c r="AD68" i="30"/>
  <c r="Z68" i="30"/>
  <c r="V68" i="30"/>
  <c r="AE68" i="30"/>
  <c r="AC68" i="30"/>
  <c r="AB68" i="30"/>
  <c r="AA68" i="30"/>
  <c r="Y68" i="30"/>
  <c r="X68" i="30"/>
  <c r="W68" i="30"/>
  <c r="U68" i="30"/>
  <c r="T68" i="30"/>
  <c r="S68" i="30"/>
  <c r="R68" i="30"/>
  <c r="Q68" i="30"/>
  <c r="AE67" i="30"/>
  <c r="AD67" i="30"/>
  <c r="AC67" i="30"/>
  <c r="AB67" i="30"/>
  <c r="AA67" i="30"/>
  <c r="Z67" i="30"/>
  <c r="Y67" i="30"/>
  <c r="X67" i="30"/>
  <c r="W67" i="30"/>
  <c r="V67" i="30"/>
  <c r="U67" i="30"/>
  <c r="T67" i="30"/>
  <c r="S67" i="30"/>
  <c r="R67" i="30"/>
  <c r="Q67" i="30"/>
  <c r="AD66" i="30"/>
  <c r="Z66" i="30"/>
  <c r="R66" i="30"/>
  <c r="Q66" i="30"/>
  <c r="AE66" i="30"/>
  <c r="AC66" i="30"/>
  <c r="AB66" i="30"/>
  <c r="AA66" i="30"/>
  <c r="Y66" i="30"/>
  <c r="X66" i="30"/>
  <c r="W66" i="30"/>
  <c r="V66" i="30"/>
  <c r="U66" i="30"/>
  <c r="T66" i="30"/>
  <c r="S66" i="30"/>
  <c r="AE65" i="30"/>
  <c r="AD65" i="30"/>
  <c r="AC65" i="30"/>
  <c r="AB65" i="30"/>
  <c r="AA65" i="30"/>
  <c r="Z65" i="30"/>
  <c r="Y65" i="30"/>
  <c r="X65" i="30"/>
  <c r="W65" i="30"/>
  <c r="V65" i="30"/>
  <c r="U65" i="30"/>
  <c r="T65" i="30"/>
  <c r="S65" i="30"/>
  <c r="R65" i="30"/>
  <c r="Q65" i="30"/>
  <c r="AD64" i="30"/>
  <c r="Z64" i="30"/>
  <c r="R64" i="30"/>
  <c r="AE64" i="30"/>
  <c r="AC64" i="30"/>
  <c r="AB64" i="30"/>
  <c r="AA64" i="30"/>
  <c r="Y64" i="30"/>
  <c r="X64" i="30"/>
  <c r="W64" i="30"/>
  <c r="V64" i="30"/>
  <c r="U64" i="30"/>
  <c r="T64" i="30"/>
  <c r="S64" i="30"/>
  <c r="Q64" i="30"/>
  <c r="AB63" i="30"/>
  <c r="T63" i="30"/>
  <c r="AE63" i="30"/>
  <c r="AD63" i="30"/>
  <c r="AC63" i="30"/>
  <c r="AA63" i="30"/>
  <c r="Z63" i="30"/>
  <c r="Y63" i="30"/>
  <c r="X63" i="30"/>
  <c r="W63" i="30"/>
  <c r="V63" i="30"/>
  <c r="U63" i="30"/>
  <c r="S63" i="30"/>
  <c r="R63" i="30"/>
  <c r="Q63" i="30"/>
  <c r="AA62" i="30"/>
  <c r="T62" i="30"/>
  <c r="R62" i="30"/>
  <c r="AE62" i="30"/>
  <c r="AD62" i="30"/>
  <c r="AC62" i="30"/>
  <c r="AB62" i="30"/>
  <c r="Z62" i="30"/>
  <c r="Y62" i="30"/>
  <c r="X62" i="30"/>
  <c r="W62" i="30"/>
  <c r="V62" i="30"/>
  <c r="U62" i="30"/>
  <c r="S62" i="30"/>
  <c r="Q62" i="30"/>
  <c r="R61" i="30"/>
  <c r="AE61" i="30"/>
  <c r="AD61" i="30"/>
  <c r="AC61" i="30"/>
  <c r="AB61" i="30"/>
  <c r="AA61" i="30"/>
  <c r="Z61" i="30"/>
  <c r="Y61" i="30"/>
  <c r="X61" i="30"/>
  <c r="W61" i="30"/>
  <c r="V61" i="30"/>
  <c r="U61" i="30"/>
  <c r="T61" i="30"/>
  <c r="S61" i="30"/>
  <c r="Q61" i="30"/>
  <c r="X60" i="30"/>
  <c r="U60" i="30"/>
  <c r="AE60" i="30"/>
  <c r="AD60" i="30"/>
  <c r="AC60" i="30"/>
  <c r="AB60" i="30"/>
  <c r="AA60" i="30"/>
  <c r="Z60" i="30"/>
  <c r="Y60" i="30"/>
  <c r="W60" i="30"/>
  <c r="V60" i="30"/>
  <c r="T60" i="30"/>
  <c r="S60" i="30"/>
  <c r="R60" i="30"/>
  <c r="Q60" i="30"/>
  <c r="X59" i="30"/>
  <c r="V59" i="30"/>
  <c r="AE59" i="30"/>
  <c r="AD59" i="30"/>
  <c r="AC59" i="30"/>
  <c r="AB59" i="30"/>
  <c r="AA59" i="30"/>
  <c r="Z59" i="30"/>
  <c r="Y59" i="30"/>
  <c r="W59" i="30"/>
  <c r="U59" i="30"/>
  <c r="T59" i="30"/>
  <c r="S59" i="30"/>
  <c r="R59" i="30"/>
  <c r="Q59" i="30"/>
  <c r="AB58" i="30"/>
  <c r="S58" i="30"/>
  <c r="R58" i="30"/>
  <c r="AE58" i="30"/>
  <c r="AD58" i="30"/>
  <c r="AC58" i="30"/>
  <c r="AA58" i="30"/>
  <c r="Z58" i="30"/>
  <c r="Y58" i="30"/>
  <c r="X58" i="30"/>
  <c r="W58" i="30"/>
  <c r="V58" i="30"/>
  <c r="U58" i="30"/>
  <c r="T58" i="30"/>
  <c r="Q58" i="30"/>
  <c r="Z57" i="30"/>
  <c r="T57" i="30"/>
  <c r="AE57" i="30"/>
  <c r="AD57" i="30"/>
  <c r="AC57" i="30"/>
  <c r="AB57" i="30"/>
  <c r="AA57" i="30"/>
  <c r="Y57" i="30"/>
  <c r="X57" i="30"/>
  <c r="W57" i="30"/>
  <c r="V57" i="30"/>
  <c r="U57" i="30"/>
  <c r="S57" i="30"/>
  <c r="R57" i="30"/>
  <c r="Q57" i="30"/>
  <c r="V56" i="30"/>
  <c r="R56" i="30"/>
  <c r="AE56" i="30"/>
  <c r="AD56" i="30"/>
  <c r="AC56" i="30"/>
  <c r="AB56" i="30"/>
  <c r="AA56" i="30"/>
  <c r="Z56" i="30"/>
  <c r="Y56" i="30"/>
  <c r="X56" i="30"/>
  <c r="W56" i="30"/>
  <c r="U56" i="30"/>
  <c r="T56" i="30"/>
  <c r="S56" i="30"/>
  <c r="Q56" i="30"/>
  <c r="AD55" i="30"/>
  <c r="AC55" i="30"/>
  <c r="X55" i="30"/>
  <c r="U55" i="30"/>
  <c r="T55" i="30"/>
  <c r="AE55" i="30"/>
  <c r="AB55" i="30"/>
  <c r="AA55" i="30"/>
  <c r="Z55" i="30"/>
  <c r="Y55" i="30"/>
  <c r="W55" i="30"/>
  <c r="V55" i="30"/>
  <c r="S55" i="30"/>
  <c r="R55" i="30"/>
  <c r="Q55" i="30"/>
  <c r="AB54" i="30"/>
  <c r="V54" i="30"/>
  <c r="S54" i="30"/>
  <c r="Q54" i="30"/>
  <c r="AE54" i="30"/>
  <c r="AD54" i="30"/>
  <c r="AC54" i="30"/>
  <c r="AA54" i="30"/>
  <c r="Z54" i="30"/>
  <c r="Y54" i="30"/>
  <c r="X54" i="30"/>
  <c r="W54" i="30"/>
  <c r="U54" i="30"/>
  <c r="T54" i="30"/>
  <c r="R54" i="30"/>
  <c r="AE53" i="30"/>
  <c r="AB53" i="30"/>
  <c r="W53" i="30"/>
  <c r="T53" i="30"/>
  <c r="AD53" i="30"/>
  <c r="AC53" i="30"/>
  <c r="AA53" i="30"/>
  <c r="Z53" i="30"/>
  <c r="Y53" i="30"/>
  <c r="X53" i="30"/>
  <c r="V53" i="30"/>
  <c r="U53" i="30"/>
  <c r="S53" i="30"/>
  <c r="R53" i="30"/>
  <c r="Q53" i="30"/>
  <c r="AE52" i="30"/>
  <c r="Z52" i="30"/>
  <c r="X52" i="30"/>
  <c r="W52" i="30"/>
  <c r="U52" i="30"/>
  <c r="R52" i="30"/>
  <c r="AD52" i="30"/>
  <c r="AC52" i="30"/>
  <c r="AB52" i="30"/>
  <c r="AA52" i="30"/>
  <c r="Y52" i="30"/>
  <c r="V52" i="30"/>
  <c r="T52" i="30"/>
  <c r="S52" i="30"/>
  <c r="Q52" i="30"/>
  <c r="X51" i="30"/>
  <c r="U51" i="30"/>
  <c r="T51" i="30"/>
  <c r="AE51" i="30"/>
  <c r="AD51" i="30"/>
  <c r="AC51" i="30"/>
  <c r="AB51" i="30"/>
  <c r="AA51" i="30"/>
  <c r="Z51" i="30"/>
  <c r="Y51" i="30"/>
  <c r="W51" i="30"/>
  <c r="V51" i="30"/>
  <c r="S51" i="30"/>
  <c r="R51" i="30"/>
  <c r="Q51" i="30"/>
  <c r="V50" i="30"/>
  <c r="R50" i="30"/>
  <c r="AE50" i="30"/>
  <c r="AD50" i="30"/>
  <c r="AC50" i="30"/>
  <c r="AB50" i="30"/>
  <c r="AA50" i="30"/>
  <c r="Z50" i="30"/>
  <c r="Y50" i="30"/>
  <c r="X50" i="30"/>
  <c r="W50" i="30"/>
  <c r="U50" i="30"/>
  <c r="T50" i="30"/>
  <c r="S50" i="30"/>
  <c r="Q50" i="30"/>
  <c r="Z49" i="30"/>
  <c r="X49" i="30"/>
  <c r="R49" i="30"/>
  <c r="AE49" i="30"/>
  <c r="AD49" i="30"/>
  <c r="AC49" i="30"/>
  <c r="AB49" i="30"/>
  <c r="AA49" i="30"/>
  <c r="Y49" i="30"/>
  <c r="W49" i="30"/>
  <c r="V49" i="30"/>
  <c r="U49" i="30"/>
  <c r="T49" i="30"/>
  <c r="S49" i="30"/>
  <c r="Q49" i="30"/>
  <c r="AD48" i="30"/>
  <c r="V48" i="30"/>
  <c r="U48" i="30"/>
  <c r="AE48" i="30"/>
  <c r="AC48" i="30"/>
  <c r="AB48" i="30"/>
  <c r="AA48" i="30"/>
  <c r="Z48" i="30"/>
  <c r="Y48" i="30"/>
  <c r="X48" i="30"/>
  <c r="W48" i="30"/>
  <c r="T48" i="30"/>
  <c r="S48" i="30"/>
  <c r="R48" i="30"/>
  <c r="Q48" i="30"/>
  <c r="AA47" i="30"/>
  <c r="S47" i="30"/>
  <c r="Q47" i="30"/>
  <c r="AE47" i="30"/>
  <c r="AD47" i="30"/>
  <c r="AC47" i="30"/>
  <c r="AB47" i="30"/>
  <c r="Z47" i="30"/>
  <c r="Y47" i="30"/>
  <c r="X47" i="30"/>
  <c r="W47" i="30"/>
  <c r="V47" i="30"/>
  <c r="U47" i="30"/>
  <c r="T47" i="30"/>
  <c r="R47" i="30"/>
  <c r="AE46" i="30"/>
  <c r="AB46" i="30"/>
  <c r="V46" i="30"/>
  <c r="T46" i="30"/>
  <c r="Q46" i="30"/>
  <c r="AD46" i="30"/>
  <c r="AC46" i="30"/>
  <c r="AA46" i="30"/>
  <c r="Z46" i="30"/>
  <c r="Y46" i="30"/>
  <c r="X46" i="30"/>
  <c r="W46" i="30"/>
  <c r="U46" i="30"/>
  <c r="S46" i="30"/>
  <c r="R46" i="30"/>
  <c r="AD35" i="30"/>
  <c r="AA35" i="30"/>
  <c r="X35" i="30"/>
  <c r="U35" i="30"/>
  <c r="S35" i="30"/>
  <c r="AE35" i="30"/>
  <c r="AC35" i="30"/>
  <c r="AB35" i="30"/>
  <c r="Z35" i="30"/>
  <c r="Y35" i="30"/>
  <c r="W35" i="30"/>
  <c r="V35" i="30"/>
  <c r="T35" i="30"/>
  <c r="R35" i="30"/>
  <c r="Q35" i="30"/>
  <c r="AA34" i="30"/>
  <c r="Y34" i="30"/>
  <c r="AE34" i="30"/>
  <c r="AD34" i="30"/>
  <c r="AC34" i="30"/>
  <c r="AB34" i="30"/>
  <c r="Z34" i="30"/>
  <c r="X34" i="30"/>
  <c r="W34" i="30"/>
  <c r="V34" i="30"/>
  <c r="U34" i="30"/>
  <c r="T34" i="30"/>
  <c r="S34" i="30"/>
  <c r="R34" i="30"/>
  <c r="Q34" i="30"/>
  <c r="AE33" i="30"/>
  <c r="W33" i="30"/>
  <c r="T33" i="30"/>
  <c r="R33" i="30"/>
  <c r="Q33" i="30"/>
  <c r="AD33" i="30"/>
  <c r="AC33" i="30"/>
  <c r="AB33" i="30"/>
  <c r="AA33" i="30"/>
  <c r="Z33" i="30"/>
  <c r="Y33" i="30"/>
  <c r="X33" i="30"/>
  <c r="V33" i="30"/>
  <c r="U33" i="30"/>
  <c r="S33" i="30"/>
  <c r="AE32" i="30"/>
  <c r="Z32" i="30"/>
  <c r="X32" i="30"/>
  <c r="U32" i="30"/>
  <c r="R32" i="30"/>
  <c r="AD32" i="30"/>
  <c r="AC32" i="30"/>
  <c r="AB32" i="30"/>
  <c r="AA32" i="30"/>
  <c r="Y32" i="30"/>
  <c r="W32" i="30"/>
  <c r="V32" i="30"/>
  <c r="T32" i="30"/>
  <c r="S32" i="30"/>
  <c r="Q32" i="30"/>
  <c r="AD31" i="30"/>
  <c r="AA31" i="30"/>
  <c r="Y31" i="30"/>
  <c r="X31" i="30"/>
  <c r="V31" i="30"/>
  <c r="S31" i="30"/>
  <c r="Q31" i="30"/>
  <c r="AE31" i="30"/>
  <c r="AC31" i="30"/>
  <c r="AB31" i="30"/>
  <c r="Z31" i="30"/>
  <c r="W31" i="30"/>
  <c r="U31" i="30"/>
  <c r="T31" i="30"/>
  <c r="R31" i="30"/>
  <c r="AD30" i="30"/>
  <c r="AB30" i="30"/>
  <c r="Y30" i="30"/>
  <c r="T30" i="30"/>
  <c r="Q30" i="30"/>
  <c r="AE30" i="30"/>
  <c r="AC30" i="30"/>
  <c r="AA30" i="30"/>
  <c r="Z30" i="30"/>
  <c r="X30" i="30"/>
  <c r="W30" i="30"/>
  <c r="V30" i="30"/>
  <c r="U30" i="30"/>
  <c r="S30" i="30"/>
  <c r="R30" i="30"/>
  <c r="Z29" i="30"/>
  <c r="Y29" i="30"/>
  <c r="U29" i="30"/>
  <c r="R29" i="30"/>
  <c r="AE29" i="30"/>
  <c r="AD29" i="30"/>
  <c r="AC29" i="30"/>
  <c r="AB29" i="30"/>
  <c r="AA29" i="30"/>
  <c r="X29" i="30"/>
  <c r="W29" i="30"/>
  <c r="V29" i="30"/>
  <c r="T29" i="30"/>
  <c r="S29" i="30"/>
  <c r="Q29" i="30"/>
  <c r="AC28" i="30"/>
  <c r="X28" i="30"/>
  <c r="W28" i="30"/>
  <c r="AE28" i="30"/>
  <c r="AD28" i="30"/>
  <c r="AB28" i="30"/>
  <c r="AA28" i="30"/>
  <c r="Z28" i="30"/>
  <c r="Y28" i="30"/>
  <c r="V28" i="30"/>
  <c r="U28" i="30"/>
  <c r="T28" i="30"/>
  <c r="S28" i="30"/>
  <c r="R28" i="30"/>
  <c r="Q28" i="30"/>
  <c r="AC27" i="30"/>
  <c r="Z27" i="30"/>
  <c r="U27" i="30"/>
  <c r="R27" i="30"/>
  <c r="AE27" i="30"/>
  <c r="AD27" i="30"/>
  <c r="AB27" i="30"/>
  <c r="AA27" i="30"/>
  <c r="Y27" i="30"/>
  <c r="X27" i="30"/>
  <c r="W27" i="30"/>
  <c r="V27" i="30"/>
  <c r="T27" i="30"/>
  <c r="S27" i="30"/>
  <c r="Q27" i="30"/>
  <c r="Y26" i="30"/>
  <c r="AE26" i="30"/>
  <c r="AD26" i="30"/>
  <c r="AC26" i="30"/>
  <c r="AB26" i="30"/>
  <c r="AA26" i="30"/>
  <c r="Z26" i="30"/>
  <c r="X26" i="30"/>
  <c r="W26" i="30"/>
  <c r="V26" i="30"/>
  <c r="U26" i="30"/>
  <c r="T26" i="30"/>
  <c r="S26" i="30"/>
  <c r="R26" i="30"/>
  <c r="Q26" i="30"/>
  <c r="Y25" i="30"/>
  <c r="V25" i="30"/>
  <c r="Q25" i="30"/>
  <c r="AE25" i="30"/>
  <c r="AD25" i="30"/>
  <c r="AC25" i="30"/>
  <c r="AB25" i="30"/>
  <c r="AA25" i="30"/>
  <c r="Z25" i="30"/>
  <c r="X25" i="30"/>
  <c r="W25" i="30"/>
  <c r="U25" i="30"/>
  <c r="T25" i="30"/>
  <c r="S25" i="30"/>
  <c r="R25" i="30"/>
  <c r="AA24" i="30"/>
  <c r="T24" i="30"/>
  <c r="AE24" i="30"/>
  <c r="AD24" i="30"/>
  <c r="AC24" i="30"/>
  <c r="AB24" i="30"/>
  <c r="Z24" i="30"/>
  <c r="Y24" i="30"/>
  <c r="X24" i="30"/>
  <c r="W24" i="30"/>
  <c r="V24" i="30"/>
  <c r="U24" i="30"/>
  <c r="S24" i="30"/>
  <c r="R24" i="30"/>
  <c r="Q24" i="30"/>
  <c r="AC23" i="30"/>
  <c r="Z23" i="30"/>
  <c r="V23" i="30"/>
  <c r="R23" i="30"/>
  <c r="AE23" i="30"/>
  <c r="AD23" i="30"/>
  <c r="AB23" i="30"/>
  <c r="AA23" i="30"/>
  <c r="Y23" i="30"/>
  <c r="X23" i="30"/>
  <c r="W23" i="30"/>
  <c r="U23" i="30"/>
  <c r="T23" i="30"/>
  <c r="S23" i="30"/>
  <c r="Q23" i="30"/>
  <c r="AE22" i="30"/>
  <c r="W22" i="30"/>
  <c r="V22" i="30"/>
  <c r="AD22" i="30"/>
  <c r="AC22" i="30"/>
  <c r="AB22" i="30"/>
  <c r="AA22" i="30"/>
  <c r="Z22" i="30"/>
  <c r="Y22" i="30"/>
  <c r="X22" i="30"/>
  <c r="U22" i="30"/>
  <c r="T22" i="30"/>
  <c r="S22" i="30"/>
  <c r="R22" i="30"/>
  <c r="Q22" i="30"/>
  <c r="AE21" i="30"/>
  <c r="W21" i="30"/>
  <c r="V21" i="30"/>
  <c r="R21" i="30"/>
  <c r="AD21" i="30"/>
  <c r="AC21" i="30"/>
  <c r="AB21" i="30"/>
  <c r="AA21" i="30"/>
  <c r="Z21" i="30"/>
  <c r="Y21" i="30"/>
  <c r="X21" i="30"/>
  <c r="U21" i="30"/>
  <c r="T21" i="30"/>
  <c r="S21" i="30"/>
  <c r="Q21" i="30"/>
  <c r="AC20" i="30"/>
  <c r="AA20" i="30"/>
  <c r="Z20" i="30"/>
  <c r="S20" i="30"/>
  <c r="R20" i="30"/>
  <c r="AE20" i="30"/>
  <c r="AD20" i="30"/>
  <c r="AB20" i="30"/>
  <c r="Y20" i="30"/>
  <c r="X20" i="30"/>
  <c r="W20" i="30"/>
  <c r="V20" i="30"/>
  <c r="U20" i="30"/>
  <c r="T20" i="30"/>
  <c r="Q20" i="30"/>
  <c r="S19" i="30"/>
  <c r="Q19" i="30"/>
  <c r="AE19" i="30"/>
  <c r="AD19" i="30"/>
  <c r="AC19" i="30"/>
  <c r="AB19" i="30"/>
  <c r="AA19" i="30"/>
  <c r="Z19" i="30"/>
  <c r="Y19" i="30"/>
  <c r="X19" i="30"/>
  <c r="W19" i="30"/>
  <c r="V19" i="30"/>
  <c r="U19" i="30"/>
  <c r="T19" i="30"/>
  <c r="R19" i="30"/>
  <c r="AB18" i="30"/>
  <c r="Y18" i="30"/>
  <c r="W18" i="30"/>
  <c r="T18" i="30"/>
  <c r="Q18" i="30"/>
  <c r="AE18" i="30"/>
  <c r="AD18" i="30"/>
  <c r="AC18" i="30"/>
  <c r="AA18" i="30"/>
  <c r="Z18" i="30"/>
  <c r="X18" i="30"/>
  <c r="V18" i="30"/>
  <c r="U18" i="30"/>
  <c r="S18" i="30"/>
  <c r="R18" i="30"/>
  <c r="W17" i="30"/>
  <c r="V17" i="30"/>
  <c r="AE17" i="30"/>
  <c r="AD17" i="30"/>
  <c r="AC17" i="30"/>
  <c r="AB17" i="30"/>
  <c r="AA17" i="30"/>
  <c r="Z17" i="30"/>
  <c r="Y17" i="30"/>
  <c r="X17" i="30"/>
  <c r="U17" i="30"/>
  <c r="T17" i="30"/>
  <c r="S17" i="30"/>
  <c r="R17" i="30"/>
  <c r="Q17" i="30"/>
  <c r="AB16" i="30"/>
  <c r="V16" i="30"/>
  <c r="U16" i="30"/>
  <c r="T16" i="30"/>
  <c r="AE16" i="30"/>
  <c r="AD16" i="30"/>
  <c r="AC16" i="30"/>
  <c r="AA16" i="30"/>
  <c r="Z16" i="30"/>
  <c r="Y16" i="30"/>
  <c r="X16" i="30"/>
  <c r="W16" i="30"/>
  <c r="S16" i="30"/>
  <c r="R16" i="30"/>
  <c r="Q16" i="30"/>
  <c r="AA15" i="30"/>
  <c r="Z15" i="30"/>
  <c r="T15" i="30"/>
  <c r="R15" i="30"/>
  <c r="Q15" i="30"/>
  <c r="AE15" i="30"/>
  <c r="AD15" i="30"/>
  <c r="AC15" i="30"/>
  <c r="AB15" i="30"/>
  <c r="Y15" i="30"/>
  <c r="X15" i="30"/>
  <c r="W15" i="30"/>
  <c r="V15" i="30"/>
  <c r="U15" i="30"/>
  <c r="S15" i="30"/>
  <c r="Z14" i="30"/>
  <c r="X14" i="30"/>
  <c r="R14" i="30"/>
  <c r="Q14" i="30"/>
  <c r="AE14" i="30"/>
  <c r="AD14" i="30"/>
  <c r="AC14" i="30"/>
  <c r="AB14" i="30"/>
  <c r="AA14" i="30"/>
  <c r="Y14" i="30"/>
  <c r="W14" i="30"/>
  <c r="V14" i="30"/>
  <c r="U14" i="30"/>
  <c r="T14" i="30"/>
  <c r="S14" i="30"/>
  <c r="AC13" i="30"/>
  <c r="X13" i="30"/>
  <c r="U13" i="30"/>
  <c r="R13" i="30"/>
  <c r="AE13" i="30"/>
  <c r="AD13" i="30"/>
  <c r="AB13" i="30"/>
  <c r="AA13" i="30"/>
  <c r="Z13" i="30"/>
  <c r="Y13" i="30"/>
  <c r="W13" i="30"/>
  <c r="V13" i="30"/>
  <c r="T13" i="30"/>
  <c r="S13" i="30"/>
  <c r="Q13" i="30"/>
  <c r="AC12" i="30"/>
  <c r="X12" i="30"/>
  <c r="V12" i="30"/>
  <c r="U12" i="30"/>
  <c r="AE12" i="30"/>
  <c r="AD12" i="30"/>
  <c r="AB12" i="30"/>
  <c r="AA12" i="30"/>
  <c r="Z12" i="30"/>
  <c r="Y12" i="30"/>
  <c r="W12" i="30"/>
  <c r="T12" i="30"/>
  <c r="S12" i="30"/>
  <c r="R12" i="30"/>
  <c r="Q12" i="30"/>
  <c r="AD11" i="30"/>
  <c r="AB11" i="30"/>
  <c r="AA11" i="30"/>
  <c r="Y11" i="30"/>
  <c r="V11" i="30"/>
  <c r="S11" i="30"/>
  <c r="Q11" i="30"/>
  <c r="AE11" i="30"/>
  <c r="AC11" i="30"/>
  <c r="Z11" i="30"/>
  <c r="X11" i="30"/>
  <c r="W11" i="30"/>
  <c r="U11" i="30"/>
  <c r="T11" i="30"/>
  <c r="R11" i="30"/>
  <c r="Y10" i="30"/>
  <c r="X10" i="30"/>
  <c r="Q10" i="30"/>
  <c r="AE10" i="30"/>
  <c r="AD10" i="30"/>
  <c r="AC10" i="30"/>
  <c r="AB10" i="30"/>
  <c r="AA10" i="30"/>
  <c r="Z10" i="30"/>
  <c r="W10" i="30"/>
  <c r="V10" i="30"/>
  <c r="U10" i="30"/>
  <c r="T10" i="30"/>
  <c r="S10" i="30"/>
  <c r="R10" i="30"/>
  <c r="AD9" i="30"/>
  <c r="Z9" i="30"/>
  <c r="X9" i="30"/>
  <c r="V9" i="30"/>
  <c r="R9" i="30"/>
  <c r="AE9" i="30"/>
  <c r="AC9" i="30"/>
  <c r="AB9" i="30"/>
  <c r="AA9" i="30"/>
  <c r="Y9" i="30"/>
  <c r="W9" i="30"/>
  <c r="U9" i="30"/>
  <c r="T9" i="30"/>
  <c r="S9" i="30"/>
  <c r="Q9" i="30"/>
  <c r="AD8" i="30"/>
  <c r="AC8" i="30"/>
  <c r="AA8" i="30"/>
  <c r="V8" i="30"/>
  <c r="S8" i="30"/>
  <c r="AE8" i="30"/>
  <c r="AB8" i="30"/>
  <c r="Z8" i="30"/>
  <c r="Y8" i="30"/>
  <c r="X8" i="30"/>
  <c r="W8" i="30"/>
  <c r="U8" i="30"/>
  <c r="T8" i="30"/>
  <c r="R8" i="30"/>
  <c r="Q8" i="30"/>
  <c r="AD7" i="30"/>
  <c r="AB7" i="30"/>
  <c r="Z7" i="30"/>
  <c r="Y7" i="30"/>
  <c r="T7" i="30"/>
  <c r="S7" i="30"/>
  <c r="R7" i="30"/>
  <c r="Q7" i="30"/>
  <c r="AE7" i="30"/>
  <c r="AC7" i="30"/>
  <c r="AA7" i="30"/>
  <c r="X7" i="30"/>
  <c r="W7" i="30"/>
  <c r="V7" i="30"/>
  <c r="U7" i="30"/>
  <c r="AE6" i="30"/>
  <c r="Z6" i="30"/>
  <c r="W6" i="30"/>
  <c r="T6" i="30"/>
  <c r="R6" i="30"/>
  <c r="Q6" i="30"/>
  <c r="AD6" i="30"/>
  <c r="AC6" i="30"/>
  <c r="AB6" i="30"/>
  <c r="AA6" i="30"/>
  <c r="Y6" i="30"/>
  <c r="X6" i="30"/>
  <c r="V6" i="30"/>
  <c r="U6" i="30"/>
  <c r="S6" i="30"/>
  <c r="AE5" i="30"/>
  <c r="AC5" i="30"/>
  <c r="X5" i="30"/>
  <c r="U5" i="30"/>
  <c r="AB5" i="30"/>
  <c r="T5" i="30"/>
  <c r="AT68" i="18" l="1"/>
  <c r="AU68" i="18"/>
  <c r="V5" i="30"/>
  <c r="AD5" i="30"/>
  <c r="W5" i="30"/>
  <c r="Y5" i="30"/>
  <c r="Z5" i="30"/>
  <c r="S5" i="30"/>
  <c r="AA5" i="30"/>
  <c r="T13" i="29"/>
  <c r="T12" i="29"/>
  <c r="T11" i="29"/>
  <c r="T10" i="29"/>
  <c r="T5" i="29"/>
  <c r="T4" i="29"/>
  <c r="AR68" i="18" l="1"/>
  <c r="AS68" i="18"/>
  <c r="A1" i="29"/>
  <c r="A41" i="29" s="1"/>
  <c r="A81" i="29" s="1"/>
  <c r="A121" i="29" s="1"/>
  <c r="A161" i="29" s="1"/>
  <c r="A201" i="29" s="1"/>
  <c r="A241" i="29" s="1"/>
  <c r="A281" i="29" s="1"/>
  <c r="A321" i="29" s="1"/>
  <c r="A361" i="29" s="1"/>
  <c r="A401" i="29" s="1"/>
  <c r="A441" i="29" s="1"/>
  <c r="A481" i="29" s="1"/>
  <c r="V11" i="29"/>
  <c r="V10" i="29"/>
  <c r="AT65" i="18" l="1"/>
  <c r="AR65" i="18"/>
  <c r="V12" i="29"/>
  <c r="I21" i="18" l="1"/>
  <c r="G16" i="27" l="1"/>
  <c r="E16" i="27"/>
  <c r="D16" i="27"/>
  <c r="C16" i="27"/>
  <c r="B16" i="27"/>
  <c r="G15" i="27"/>
  <c r="F15" i="27"/>
  <c r="E15" i="27"/>
  <c r="D15" i="27"/>
  <c r="C15" i="27"/>
  <c r="B15" i="27"/>
  <c r="G14" i="27"/>
  <c r="F14" i="27"/>
  <c r="E14" i="27"/>
  <c r="D14" i="27"/>
  <c r="C14" i="27"/>
  <c r="B14" i="27"/>
  <c r="G13" i="27"/>
  <c r="F13" i="27"/>
  <c r="E13" i="27"/>
  <c r="D13" i="27"/>
  <c r="C13" i="27"/>
  <c r="B13" i="27"/>
  <c r="G12" i="27"/>
  <c r="F12" i="27"/>
  <c r="E12" i="27"/>
  <c r="D12" i="27"/>
  <c r="C12" i="27"/>
  <c r="B12" i="27"/>
  <c r="G11" i="27"/>
  <c r="F11" i="27"/>
  <c r="E11" i="27"/>
  <c r="D11" i="27"/>
  <c r="C11" i="27"/>
  <c r="B11" i="27"/>
  <c r="G10" i="27"/>
  <c r="F10" i="27"/>
  <c r="E10" i="27"/>
  <c r="D10" i="27"/>
  <c r="C10" i="27"/>
  <c r="B10" i="27"/>
  <c r="G9" i="27"/>
  <c r="F9" i="27"/>
  <c r="E9" i="27"/>
  <c r="D9" i="27"/>
  <c r="C9" i="27"/>
  <c r="B9" i="27"/>
  <c r="G8" i="27"/>
  <c r="F8" i="27"/>
  <c r="E8" i="27"/>
  <c r="D8" i="27"/>
  <c r="C8" i="27"/>
  <c r="B8" i="27"/>
  <c r="G7" i="27"/>
  <c r="F7" i="27"/>
  <c r="E7" i="27"/>
  <c r="D7" i="27"/>
  <c r="C7" i="27"/>
  <c r="B7" i="27"/>
  <c r="G6" i="27"/>
  <c r="F6" i="27"/>
  <c r="E6" i="27"/>
  <c r="D6" i="27"/>
  <c r="C6" i="27"/>
  <c r="B6" i="27"/>
  <c r="G5" i="27"/>
  <c r="F5" i="27"/>
  <c r="E5" i="27"/>
  <c r="D5" i="27"/>
  <c r="C5" i="27"/>
  <c r="B5" i="27"/>
  <c r="G4" i="27"/>
  <c r="E4" i="27"/>
  <c r="D4" i="27"/>
  <c r="C4" i="27"/>
  <c r="B4" i="27"/>
  <c r="AD466" i="18" l="1"/>
  <c r="AC466" i="18"/>
  <c r="AD465" i="18"/>
  <c r="AC465" i="18"/>
  <c r="AD464" i="18"/>
  <c r="AC464" i="18"/>
  <c r="AD463" i="18"/>
  <c r="AC463" i="18"/>
  <c r="AD462" i="18"/>
  <c r="AC462" i="18"/>
  <c r="AD461" i="18"/>
  <c r="AC461" i="18"/>
  <c r="AD460" i="18"/>
  <c r="AC460" i="18"/>
  <c r="AD459" i="18"/>
  <c r="AC459" i="18"/>
  <c r="AD458" i="18"/>
  <c r="AC458" i="18"/>
  <c r="AD457" i="18"/>
  <c r="AC457" i="18"/>
  <c r="AD456" i="18"/>
  <c r="AC456" i="18"/>
  <c r="AD455" i="18"/>
  <c r="AC455" i="18"/>
  <c r="AD454" i="18"/>
  <c r="AC454" i="18"/>
  <c r="AD453" i="18"/>
  <c r="AC453" i="18"/>
  <c r="AD452" i="18"/>
  <c r="AC452" i="18"/>
  <c r="AD451" i="18"/>
  <c r="AC451" i="18"/>
  <c r="AD450" i="18"/>
  <c r="AC450" i="18"/>
  <c r="AD449" i="18"/>
  <c r="AC449" i="18"/>
  <c r="AD448" i="18"/>
  <c r="AC448" i="18"/>
  <c r="AD447" i="18"/>
  <c r="AC447" i="18"/>
  <c r="AD446" i="18"/>
  <c r="AC446" i="18"/>
  <c r="AD445" i="18"/>
  <c r="AC445" i="18"/>
  <c r="AD444" i="18"/>
  <c r="AC444" i="18"/>
  <c r="AD443" i="18"/>
  <c r="AC443" i="18"/>
  <c r="AD442" i="18"/>
  <c r="AC442" i="18"/>
  <c r="AD441" i="18"/>
  <c r="AC441" i="18"/>
  <c r="AD440" i="18"/>
  <c r="AC440" i="18"/>
  <c r="AD439" i="18"/>
  <c r="AC439" i="18"/>
  <c r="AD438" i="18"/>
  <c r="AC438" i="18"/>
  <c r="AD437" i="18"/>
  <c r="AC437" i="18"/>
  <c r="AD436" i="18"/>
  <c r="AC436" i="18"/>
  <c r="AD435" i="18"/>
  <c r="AC435" i="18"/>
  <c r="AD434" i="18"/>
  <c r="AC434" i="18"/>
  <c r="AD433" i="18"/>
  <c r="AC433" i="18"/>
  <c r="AD432" i="18"/>
  <c r="AC432" i="18"/>
  <c r="AD431" i="18"/>
  <c r="AC431" i="18"/>
  <c r="AD430" i="18"/>
  <c r="AC430" i="18"/>
  <c r="AD429" i="18"/>
  <c r="AC429" i="18"/>
  <c r="AD428" i="18"/>
  <c r="AC428" i="18"/>
  <c r="AD427" i="18"/>
  <c r="AC427" i="18"/>
  <c r="AD426" i="18"/>
  <c r="AC426" i="18"/>
  <c r="AD425" i="18"/>
  <c r="AC425" i="18"/>
  <c r="AD424" i="18"/>
  <c r="AC424" i="18"/>
  <c r="AD423" i="18"/>
  <c r="AC423" i="18"/>
  <c r="AD422" i="18"/>
  <c r="AC422" i="18"/>
  <c r="AD421" i="18"/>
  <c r="AC421" i="18"/>
  <c r="AD420" i="18"/>
  <c r="AC420" i="18"/>
  <c r="AD419" i="18"/>
  <c r="AC419" i="18"/>
  <c r="AD418" i="18"/>
  <c r="AC418" i="18"/>
  <c r="AD417" i="18"/>
  <c r="AC417" i="18"/>
  <c r="AD416" i="18"/>
  <c r="AC416" i="18"/>
  <c r="AD415" i="18"/>
  <c r="AC415" i="18"/>
  <c r="AD414" i="18"/>
  <c r="AC414" i="18"/>
  <c r="AD413" i="18"/>
  <c r="AC413" i="18"/>
  <c r="AD412" i="18"/>
  <c r="AC412" i="18"/>
  <c r="AD411" i="18"/>
  <c r="AC411" i="18"/>
  <c r="AD410" i="18"/>
  <c r="AC410" i="18"/>
  <c r="AD409" i="18"/>
  <c r="AC409" i="18"/>
  <c r="AD408" i="18"/>
  <c r="AC408" i="18"/>
  <c r="AD407" i="18"/>
  <c r="AC407" i="18"/>
  <c r="AD406" i="18"/>
  <c r="AC406" i="18"/>
  <c r="AD405" i="18"/>
  <c r="AC405" i="18"/>
  <c r="AD404" i="18"/>
  <c r="AC404" i="18"/>
  <c r="AD403" i="18"/>
  <c r="AC403" i="18"/>
  <c r="AD402" i="18"/>
  <c r="AC402" i="18"/>
  <c r="AD401" i="18"/>
  <c r="AC401" i="18"/>
  <c r="AD400" i="18"/>
  <c r="AC400" i="18"/>
  <c r="AD399" i="18"/>
  <c r="AC399" i="18"/>
  <c r="AD398" i="18"/>
  <c r="AC398" i="18"/>
  <c r="AD397" i="18"/>
  <c r="AC397" i="18"/>
  <c r="AD396" i="18"/>
  <c r="AC396" i="18"/>
  <c r="AD395" i="18"/>
  <c r="AC395" i="18"/>
  <c r="AD394" i="18"/>
  <c r="AC394" i="18"/>
  <c r="AD393" i="18"/>
  <c r="AC393" i="18"/>
  <c r="AD392" i="18"/>
  <c r="AC392" i="18"/>
  <c r="AD391" i="18"/>
  <c r="AC391" i="18"/>
  <c r="AD390" i="18"/>
  <c r="AC390" i="18"/>
  <c r="AD389" i="18"/>
  <c r="AC389" i="18"/>
  <c r="AD388" i="18"/>
  <c r="AC388" i="18"/>
  <c r="AD387" i="18"/>
  <c r="AC387" i="18"/>
  <c r="AD386" i="18"/>
  <c r="AC386" i="18"/>
  <c r="AD385" i="18"/>
  <c r="AC385" i="18"/>
  <c r="AD384" i="18"/>
  <c r="AC384" i="18"/>
  <c r="AD383" i="18"/>
  <c r="AC383" i="18"/>
  <c r="AD382" i="18"/>
  <c r="AC382" i="18"/>
  <c r="AD381" i="18"/>
  <c r="AC381" i="18"/>
  <c r="AD380" i="18"/>
  <c r="AC380" i="18"/>
  <c r="AD379" i="18"/>
  <c r="AC379" i="18"/>
  <c r="AD378" i="18"/>
  <c r="AC378" i="18"/>
  <c r="AD377" i="18"/>
  <c r="AC377" i="18"/>
  <c r="AD376" i="18"/>
  <c r="AC376" i="18"/>
  <c r="AD375" i="18"/>
  <c r="AC375" i="18"/>
  <c r="AD374" i="18"/>
  <c r="AC374" i="18"/>
  <c r="AD373" i="18"/>
  <c r="AC373" i="18"/>
  <c r="AD372" i="18"/>
  <c r="AC372" i="18"/>
  <c r="AD371" i="18"/>
  <c r="AC371" i="18"/>
  <c r="AD370" i="18"/>
  <c r="AC370" i="18"/>
  <c r="AD369" i="18"/>
  <c r="AC369" i="18"/>
  <c r="AD368" i="18"/>
  <c r="AC368" i="18"/>
  <c r="AD367" i="18"/>
  <c r="AC367" i="18"/>
  <c r="AD366" i="18"/>
  <c r="AC366" i="18"/>
  <c r="AD365" i="18"/>
  <c r="AC365" i="18"/>
  <c r="AD364" i="18"/>
  <c r="AC364" i="18"/>
  <c r="AD363" i="18"/>
  <c r="AC363" i="18"/>
  <c r="AD362" i="18"/>
  <c r="AC362" i="18"/>
  <c r="AD361" i="18"/>
  <c r="AC361" i="18"/>
  <c r="AD360" i="18"/>
  <c r="AC360" i="18"/>
  <c r="AD359" i="18"/>
  <c r="AC359" i="18"/>
  <c r="AD358" i="18"/>
  <c r="AC358" i="18"/>
  <c r="AD357" i="18"/>
  <c r="AC357" i="18"/>
  <c r="AD356" i="18"/>
  <c r="AC356" i="18"/>
  <c r="AD355" i="18"/>
  <c r="AC355" i="18"/>
  <c r="AD354" i="18"/>
  <c r="AC354" i="18"/>
  <c r="AD353" i="18"/>
  <c r="AC353" i="18"/>
  <c r="AD352" i="18"/>
  <c r="AC352" i="18"/>
  <c r="AD351" i="18"/>
  <c r="AC351" i="18"/>
  <c r="AD350" i="18"/>
  <c r="AC350" i="18"/>
  <c r="AD349" i="18"/>
  <c r="AC349" i="18"/>
  <c r="AD348" i="18"/>
  <c r="AC348" i="18"/>
  <c r="AD347" i="18"/>
  <c r="AC347" i="18"/>
  <c r="AD346" i="18"/>
  <c r="AC346" i="18"/>
  <c r="AD345" i="18"/>
  <c r="AC345" i="18"/>
  <c r="AD344" i="18"/>
  <c r="AC344" i="18"/>
  <c r="AD343" i="18"/>
  <c r="AC343" i="18"/>
  <c r="AD342" i="18"/>
  <c r="AC342" i="18"/>
  <c r="AD341" i="18"/>
  <c r="AC341" i="18"/>
  <c r="AD340" i="18"/>
  <c r="AC340" i="18"/>
  <c r="AD339" i="18"/>
  <c r="AC339" i="18"/>
  <c r="AD338" i="18"/>
  <c r="AC338" i="18"/>
  <c r="AD337" i="18"/>
  <c r="AC337" i="18"/>
  <c r="AD336" i="18"/>
  <c r="AC336" i="18"/>
  <c r="AD335" i="18"/>
  <c r="AC335" i="18"/>
  <c r="AD334" i="18"/>
  <c r="AC334" i="18"/>
  <c r="AD333" i="18"/>
  <c r="AC333" i="18"/>
  <c r="AD332" i="18"/>
  <c r="AC332" i="18"/>
  <c r="AD331" i="18"/>
  <c r="AC331" i="18"/>
  <c r="AD330" i="18"/>
  <c r="AC330" i="18"/>
  <c r="AD329" i="18"/>
  <c r="AC329" i="18"/>
  <c r="AD328" i="18"/>
  <c r="AC328" i="18"/>
  <c r="AD327" i="18"/>
  <c r="AC327" i="18"/>
  <c r="AD326" i="18"/>
  <c r="AC326" i="18"/>
  <c r="AD325" i="18"/>
  <c r="AC325" i="18"/>
  <c r="AD324" i="18"/>
  <c r="AC324" i="18"/>
  <c r="AD323" i="18"/>
  <c r="AC323" i="18"/>
  <c r="AD322" i="18"/>
  <c r="AC322" i="18"/>
  <c r="AD321" i="18"/>
  <c r="AC321" i="18"/>
  <c r="AD320" i="18"/>
  <c r="AC320" i="18"/>
  <c r="AD319" i="18"/>
  <c r="AC319" i="18"/>
  <c r="AD318" i="18"/>
  <c r="AC318" i="18"/>
  <c r="AD317" i="18"/>
  <c r="AC317" i="18"/>
  <c r="AD316" i="18"/>
  <c r="AC316" i="18"/>
  <c r="AD315" i="18"/>
  <c r="AC315" i="18"/>
  <c r="AD314" i="18"/>
  <c r="AC314" i="18"/>
  <c r="AD313" i="18"/>
  <c r="AC313" i="18"/>
  <c r="AD312" i="18"/>
  <c r="AC312" i="18"/>
  <c r="AD311" i="18"/>
  <c r="AC311" i="18"/>
  <c r="AD310" i="18"/>
  <c r="AC310" i="18"/>
  <c r="AD309" i="18"/>
  <c r="AC309" i="18"/>
  <c r="AD308" i="18"/>
  <c r="AC308" i="18"/>
  <c r="AD307" i="18"/>
  <c r="AC307" i="18"/>
  <c r="AD306" i="18"/>
  <c r="AC306" i="18"/>
  <c r="AD305" i="18"/>
  <c r="AC305" i="18"/>
  <c r="AD304" i="18"/>
  <c r="AC304" i="18"/>
  <c r="AD303" i="18"/>
  <c r="AC303" i="18"/>
  <c r="AD302" i="18"/>
  <c r="AC302" i="18"/>
  <c r="AD301" i="18"/>
  <c r="AC301" i="18"/>
  <c r="AD300" i="18"/>
  <c r="AC300" i="18"/>
  <c r="AD299" i="18"/>
  <c r="AC299" i="18"/>
  <c r="AD298" i="18"/>
  <c r="AC298" i="18"/>
  <c r="AD297" i="18"/>
  <c r="AC297" i="18"/>
  <c r="AD296" i="18"/>
  <c r="AC296" i="18"/>
  <c r="AD295" i="18"/>
  <c r="AC295" i="18"/>
  <c r="AD294" i="18"/>
  <c r="AC294" i="18"/>
  <c r="AD293" i="18"/>
  <c r="AC293" i="18"/>
  <c r="AD292" i="18"/>
  <c r="AC292" i="18"/>
  <c r="AD291" i="18"/>
  <c r="AC291" i="18"/>
  <c r="AD290" i="18"/>
  <c r="AC290" i="18"/>
  <c r="AD289" i="18"/>
  <c r="AC289" i="18"/>
  <c r="AD288" i="18"/>
  <c r="AC288" i="18"/>
  <c r="AD287" i="18"/>
  <c r="AC287" i="18"/>
  <c r="AD286" i="18"/>
  <c r="AC286" i="18"/>
  <c r="AD285" i="18"/>
  <c r="AC285" i="18"/>
  <c r="AD284" i="18"/>
  <c r="AC284" i="18"/>
  <c r="AD283" i="18"/>
  <c r="AC283" i="18"/>
  <c r="AD282" i="18"/>
  <c r="AC282" i="18"/>
  <c r="AD281" i="18"/>
  <c r="AC281" i="18"/>
  <c r="AD280" i="18"/>
  <c r="AC280" i="18"/>
  <c r="AD279" i="18"/>
  <c r="AC279" i="18"/>
  <c r="AD278" i="18"/>
  <c r="AC278" i="18"/>
  <c r="AD277" i="18"/>
  <c r="AC277" i="18"/>
  <c r="AD276" i="18"/>
  <c r="AC276" i="18"/>
  <c r="AD275" i="18"/>
  <c r="AC275" i="18"/>
  <c r="AD274" i="18"/>
  <c r="AC274" i="18"/>
  <c r="AD273" i="18"/>
  <c r="AC273" i="18"/>
  <c r="AD272" i="18"/>
  <c r="AC272" i="18"/>
  <c r="AD271" i="18"/>
  <c r="AC271" i="18"/>
  <c r="AD270" i="18"/>
  <c r="AC270" i="18"/>
  <c r="AD269" i="18"/>
  <c r="AC269" i="18"/>
  <c r="AD268" i="18"/>
  <c r="AC268" i="18"/>
  <c r="AD267" i="18"/>
  <c r="AC267" i="18"/>
  <c r="L72" i="18" l="1"/>
  <c r="AG99" i="18" l="1"/>
  <c r="AY71" i="18" l="1"/>
  <c r="AY66" i="18"/>
  <c r="BA66" i="18"/>
  <c r="BB66" i="18"/>
  <c r="AQ73" i="18" l="1"/>
  <c r="AQ75" i="18"/>
  <c r="AQ76" i="18" l="1"/>
  <c r="AQ72" i="18"/>
  <c r="AQ71" i="18" l="1"/>
  <c r="AQ70" i="18" s="1"/>
  <c r="AQ77" i="18"/>
  <c r="AQ78" i="18" l="1"/>
  <c r="AP65" i="18" l="1"/>
  <c r="AR70" i="18" s="1"/>
  <c r="AG94" i="18"/>
  <c r="AG95" i="18" s="1"/>
  <c r="AO65" i="18"/>
  <c r="AP91" i="18" l="1"/>
  <c r="AO91" i="18"/>
  <c r="AO67" i="18"/>
  <c r="AP67" i="18"/>
  <c r="AU63" i="18"/>
  <c r="AT62" i="18"/>
  <c r="AU62" i="18" s="1"/>
  <c r="AS63" i="18"/>
  <c r="AT70" i="18"/>
  <c r="AT71" i="18"/>
  <c r="AT78" i="18"/>
  <c r="AT73" i="18"/>
  <c r="AT74" i="18"/>
  <c r="AT72" i="18"/>
  <c r="AT75" i="18"/>
  <c r="AT76" i="18"/>
  <c r="AT77" i="18"/>
  <c r="AU70" i="18" l="1"/>
  <c r="AU76" i="18"/>
  <c r="AU71" i="18"/>
  <c r="AU75" i="18"/>
  <c r="AU73" i="18"/>
  <c r="AU77" i="18"/>
  <c r="AU74" i="18"/>
  <c r="AU78" i="18"/>
  <c r="AU72" i="18"/>
  <c r="AC265" i="18"/>
  <c r="AC266" i="18"/>
  <c r="AC263" i="18"/>
  <c r="AC264" i="18"/>
  <c r="AC261" i="18"/>
  <c r="AC262" i="18"/>
  <c r="AC259" i="18"/>
  <c r="AC260" i="18"/>
  <c r="AC257" i="18"/>
  <c r="AC258" i="18"/>
  <c r="AC255" i="18"/>
  <c r="AC256" i="18"/>
  <c r="AC253" i="18"/>
  <c r="AC254" i="18"/>
  <c r="AC251" i="18"/>
  <c r="AC252" i="18"/>
  <c r="AC249" i="18"/>
  <c r="AC250" i="18"/>
  <c r="AC247" i="18"/>
  <c r="AC248" i="18"/>
  <c r="AC245" i="18"/>
  <c r="AC246" i="18"/>
  <c r="AC243" i="18"/>
  <c r="AC244" i="18"/>
  <c r="AC241" i="18"/>
  <c r="AC242" i="18"/>
  <c r="AC239" i="18"/>
  <c r="AC240" i="18"/>
  <c r="AC237" i="18"/>
  <c r="AC238" i="18"/>
  <c r="AC235" i="18"/>
  <c r="AC236" i="18"/>
  <c r="AC233" i="18"/>
  <c r="AC234" i="18"/>
  <c r="AC231" i="18"/>
  <c r="AC232" i="18"/>
  <c r="AC229" i="18"/>
  <c r="AC230" i="18"/>
  <c r="AC227" i="18"/>
  <c r="AC228" i="18"/>
  <c r="AC225" i="18"/>
  <c r="AC226" i="18"/>
  <c r="AC223" i="18"/>
  <c r="AC224" i="18"/>
  <c r="AC221" i="18"/>
  <c r="AC222" i="18"/>
  <c r="AC219" i="18"/>
  <c r="AC220" i="18"/>
  <c r="AC217" i="18"/>
  <c r="AC218" i="18"/>
  <c r="AC215" i="18"/>
  <c r="AC216" i="18"/>
  <c r="AC213" i="18"/>
  <c r="AC214" i="18"/>
  <c r="AC211" i="18"/>
  <c r="AC212" i="18"/>
  <c r="AC209" i="18"/>
  <c r="AC210" i="18"/>
  <c r="AC207" i="18"/>
  <c r="AC208" i="18"/>
  <c r="AC205" i="18"/>
  <c r="AC206" i="18"/>
  <c r="AC203" i="18"/>
  <c r="AC204" i="18"/>
  <c r="AC201" i="18"/>
  <c r="AC202" i="18"/>
  <c r="AC199" i="18"/>
  <c r="AC200" i="18"/>
  <c r="AC197" i="18"/>
  <c r="AC198" i="18"/>
  <c r="AC195" i="18"/>
  <c r="AC196" i="18"/>
  <c r="AC193" i="18"/>
  <c r="AC194" i="18"/>
  <c r="AC191" i="18"/>
  <c r="AC192" i="18"/>
  <c r="AC189" i="18"/>
  <c r="AC190" i="18"/>
  <c r="AC187" i="18"/>
  <c r="AC188" i="18"/>
  <c r="AC185" i="18"/>
  <c r="AC186" i="18"/>
  <c r="AC183" i="18"/>
  <c r="AC184" i="18"/>
  <c r="AC181" i="18"/>
  <c r="AC182" i="18"/>
  <c r="AC179" i="18"/>
  <c r="AC180" i="18"/>
  <c r="AC177" i="18"/>
  <c r="AC178" i="18"/>
  <c r="AC175" i="18"/>
  <c r="AC176" i="18"/>
  <c r="AC173" i="18"/>
  <c r="AC174" i="18"/>
  <c r="AC171" i="18"/>
  <c r="AC172" i="18"/>
  <c r="AC169" i="18"/>
  <c r="AC170" i="18"/>
  <c r="AC167" i="18"/>
  <c r="AC168" i="18"/>
  <c r="AC165" i="18"/>
  <c r="AC159" i="18"/>
  <c r="AC153" i="18"/>
  <c r="AC147" i="18"/>
  <c r="AC141" i="18"/>
  <c r="AC135" i="18"/>
  <c r="AC129" i="18"/>
  <c r="AC123" i="18"/>
  <c r="AC117" i="18"/>
  <c r="AC111" i="18"/>
  <c r="AC105" i="18"/>
  <c r="AC99" i="18"/>
  <c r="AC93" i="18"/>
  <c r="AC87" i="18"/>
  <c r="AC81" i="18"/>
  <c r="AC75" i="18"/>
  <c r="AC69" i="18"/>
  <c r="AC138" i="18"/>
  <c r="AC84" i="18"/>
  <c r="AC155" i="18"/>
  <c r="AC113" i="18"/>
  <c r="AC77" i="18"/>
  <c r="AC118" i="18"/>
  <c r="AC73" i="18"/>
  <c r="AC156" i="18"/>
  <c r="AC150" i="18"/>
  <c r="AC126" i="18"/>
  <c r="AC108" i="18"/>
  <c r="AC78" i="18"/>
  <c r="AC101" i="18"/>
  <c r="AC106" i="18"/>
  <c r="AC164" i="18"/>
  <c r="AC158" i="18"/>
  <c r="AC152" i="18"/>
  <c r="AC146" i="18"/>
  <c r="AC140" i="18"/>
  <c r="AC134" i="18"/>
  <c r="AC128" i="18"/>
  <c r="AC122" i="18"/>
  <c r="AC116" i="18"/>
  <c r="AC110" i="18"/>
  <c r="AC104" i="18"/>
  <c r="AC98" i="18"/>
  <c r="AC92" i="18"/>
  <c r="AC86" i="18"/>
  <c r="AC80" i="18"/>
  <c r="AC74" i="18"/>
  <c r="AC68" i="18"/>
  <c r="AC91" i="18"/>
  <c r="AC67" i="18"/>
  <c r="AC102" i="18"/>
  <c r="AC131" i="18"/>
  <c r="AC83" i="18"/>
  <c r="AC136" i="18"/>
  <c r="AC70" i="18"/>
  <c r="AC79" i="18"/>
  <c r="AC96" i="18"/>
  <c r="AC119" i="18"/>
  <c r="AC166" i="18"/>
  <c r="AC148" i="18"/>
  <c r="AC130" i="18"/>
  <c r="AC88" i="18"/>
  <c r="AC163" i="18"/>
  <c r="AC157" i="18"/>
  <c r="AC151" i="18"/>
  <c r="AC145" i="18"/>
  <c r="AC139" i="18"/>
  <c r="AC133" i="18"/>
  <c r="AC127" i="18"/>
  <c r="AC121" i="18"/>
  <c r="AC115" i="18"/>
  <c r="AC109" i="18"/>
  <c r="AC103" i="18"/>
  <c r="AC97" i="18"/>
  <c r="AC85" i="18"/>
  <c r="AC120" i="18"/>
  <c r="AC72" i="18"/>
  <c r="AC161" i="18"/>
  <c r="AC149" i="18"/>
  <c r="AC143" i="18"/>
  <c r="AC125" i="18"/>
  <c r="AC95" i="18"/>
  <c r="AC71" i="18"/>
  <c r="AC154" i="18"/>
  <c r="AC112" i="18"/>
  <c r="AC94" i="18"/>
  <c r="AC76" i="18"/>
  <c r="AC162" i="18"/>
  <c r="AC144" i="18"/>
  <c r="AC132" i="18"/>
  <c r="AC114" i="18"/>
  <c r="AC90" i="18"/>
  <c r="AC66" i="18"/>
  <c r="AC137" i="18"/>
  <c r="AC107" i="18"/>
  <c r="AC89" i="18"/>
  <c r="AC160" i="18"/>
  <c r="AC142" i="18"/>
  <c r="AC124" i="18"/>
  <c r="AC100" i="18"/>
  <c r="AC82" i="18"/>
  <c r="L71" i="18"/>
  <c r="I50" i="18"/>
  <c r="I47" i="18"/>
  <c r="AY86" i="18"/>
  <c r="AY81" i="18"/>
  <c r="AY76" i="18"/>
  <c r="AF68" i="18"/>
  <c r="K23" i="18"/>
  <c r="K21" i="18"/>
  <c r="I20" i="18"/>
  <c r="I13" i="18"/>
  <c r="L24" i="18" s="1"/>
  <c r="AO68" i="18" l="1"/>
  <c r="AP68" i="18"/>
  <c r="J74" i="18"/>
  <c r="AU61" i="18"/>
  <c r="AS73" i="18"/>
  <c r="AS78" i="18"/>
  <c r="AS77" i="18"/>
  <c r="AS75" i="18"/>
  <c r="AS70" i="18"/>
  <c r="AS74" i="18"/>
  <c r="AS72" i="18"/>
  <c r="AS76" i="18"/>
  <c r="AS71" i="18"/>
  <c r="AR72" i="18"/>
  <c r="AR71" i="18"/>
  <c r="AR75" i="18"/>
  <c r="AR77" i="18"/>
  <c r="AR73" i="18"/>
  <c r="AR74" i="18"/>
  <c r="AR76" i="18"/>
  <c r="AR78" i="18"/>
  <c r="AF69" i="18"/>
  <c r="AD266" i="18"/>
  <c r="AD265" i="18"/>
  <c r="AD264" i="18"/>
  <c r="AD263" i="18"/>
  <c r="AD262" i="18"/>
  <c r="AD261" i="18"/>
  <c r="AD260" i="18"/>
  <c r="AD259" i="18"/>
  <c r="AD258" i="18"/>
  <c r="AD257" i="18"/>
  <c r="AD256" i="18"/>
  <c r="AD255" i="18"/>
  <c r="AD254" i="18"/>
  <c r="AD253" i="18"/>
  <c r="AD252" i="18"/>
  <c r="AD251" i="18"/>
  <c r="AD250" i="18"/>
  <c r="AD249" i="18"/>
  <c r="AD248" i="18"/>
  <c r="AD247" i="18"/>
  <c r="AD246" i="18"/>
  <c r="AD245" i="18"/>
  <c r="AD244" i="18"/>
  <c r="AD243" i="18"/>
  <c r="AD242" i="18"/>
  <c r="AD241" i="18"/>
  <c r="AD240" i="18"/>
  <c r="AD239" i="18"/>
  <c r="AD238" i="18"/>
  <c r="AD237" i="18"/>
  <c r="AD236" i="18"/>
  <c r="AD235" i="18"/>
  <c r="AD234" i="18"/>
  <c r="AD233" i="18"/>
  <c r="AD232" i="18"/>
  <c r="AD231" i="18"/>
  <c r="AD230" i="18"/>
  <c r="AD229" i="18"/>
  <c r="AD228" i="18"/>
  <c r="AD227" i="18"/>
  <c r="AD226" i="18"/>
  <c r="AD225" i="18"/>
  <c r="AD224" i="18"/>
  <c r="AD223" i="18"/>
  <c r="AD222" i="18"/>
  <c r="AD221" i="18"/>
  <c r="AD220" i="18"/>
  <c r="AD219" i="18"/>
  <c r="AD218" i="18"/>
  <c r="AD217" i="18"/>
  <c r="AD216" i="18"/>
  <c r="AD215" i="18"/>
  <c r="AD214" i="18"/>
  <c r="AD213" i="18"/>
  <c r="AD212" i="18"/>
  <c r="AD211" i="18"/>
  <c r="AD210" i="18"/>
  <c r="AD209" i="18"/>
  <c r="AD208" i="18"/>
  <c r="AD207" i="18"/>
  <c r="AD206" i="18"/>
  <c r="AD205" i="18"/>
  <c r="AD204" i="18"/>
  <c r="AD203" i="18"/>
  <c r="AD202" i="18"/>
  <c r="AD201" i="18"/>
  <c r="AD200" i="18"/>
  <c r="AD199" i="18"/>
  <c r="AD198" i="18"/>
  <c r="AD197" i="18"/>
  <c r="AD196" i="18"/>
  <c r="AD195" i="18"/>
  <c r="AD194" i="18"/>
  <c r="AD193" i="18"/>
  <c r="AD192" i="18"/>
  <c r="AD191" i="18"/>
  <c r="AD190" i="18"/>
  <c r="AD189" i="18"/>
  <c r="AD188" i="18"/>
  <c r="AD187" i="18"/>
  <c r="AD186" i="18"/>
  <c r="AD185" i="18"/>
  <c r="AD184" i="18"/>
  <c r="AD183" i="18"/>
  <c r="AD182" i="18"/>
  <c r="AD181" i="18"/>
  <c r="AD180" i="18"/>
  <c r="AD179" i="18"/>
  <c r="AD178" i="18"/>
  <c r="AD177" i="18"/>
  <c r="AD176" i="18"/>
  <c r="AD175" i="18"/>
  <c r="AD174" i="18"/>
  <c r="AD173" i="18"/>
  <c r="AD172" i="18"/>
  <c r="AD171" i="18"/>
  <c r="AD170" i="18"/>
  <c r="AD169" i="18"/>
  <c r="AD168" i="18"/>
  <c r="AD167" i="18"/>
  <c r="AD155" i="18"/>
  <c r="AD125" i="18"/>
  <c r="AD101" i="18"/>
  <c r="AD89" i="18"/>
  <c r="AD130" i="18"/>
  <c r="AD70" i="18"/>
  <c r="AD165" i="18"/>
  <c r="AD153" i="18"/>
  <c r="AD129" i="18"/>
  <c r="AD105" i="18"/>
  <c r="AD93" i="18"/>
  <c r="AD69" i="18"/>
  <c r="AD164" i="18"/>
  <c r="AD158" i="18"/>
  <c r="AD152" i="18"/>
  <c r="AD146" i="18"/>
  <c r="AD140" i="18"/>
  <c r="AD134" i="18"/>
  <c r="AD128" i="18"/>
  <c r="AD122" i="18"/>
  <c r="AD116" i="18"/>
  <c r="AD110" i="18"/>
  <c r="AD104" i="18"/>
  <c r="AD98" i="18"/>
  <c r="AD92" i="18"/>
  <c r="AD86" i="18"/>
  <c r="AD80" i="18"/>
  <c r="AD74" i="18"/>
  <c r="AD68" i="18"/>
  <c r="AD133" i="18"/>
  <c r="AD115" i="18"/>
  <c r="AD97" i="18"/>
  <c r="AD79" i="18"/>
  <c r="AD67" i="18"/>
  <c r="AD138" i="18"/>
  <c r="AD108" i="18"/>
  <c r="AD78" i="18"/>
  <c r="AD113" i="18"/>
  <c r="AD166" i="18"/>
  <c r="AD148" i="18"/>
  <c r="AD118" i="18"/>
  <c r="AD82" i="18"/>
  <c r="AD147" i="18"/>
  <c r="AD111" i="18"/>
  <c r="AD87" i="18"/>
  <c r="AD151" i="18"/>
  <c r="AD127" i="18"/>
  <c r="AD109" i="18"/>
  <c r="AD91" i="18"/>
  <c r="AD73" i="18"/>
  <c r="AD132" i="18"/>
  <c r="AD102" i="18"/>
  <c r="AD72" i="18"/>
  <c r="AD161" i="18"/>
  <c r="AD131" i="18"/>
  <c r="AD95" i="18"/>
  <c r="AD124" i="18"/>
  <c r="AD76" i="18"/>
  <c r="AD135" i="18"/>
  <c r="AD75" i="18"/>
  <c r="AD163" i="18"/>
  <c r="AD157" i="18"/>
  <c r="AD145" i="18"/>
  <c r="AD139" i="18"/>
  <c r="AD121" i="18"/>
  <c r="AD103" i="18"/>
  <c r="AD85" i="18"/>
  <c r="AD120" i="18"/>
  <c r="AD90" i="18"/>
  <c r="AD66" i="18"/>
  <c r="AD149" i="18"/>
  <c r="AD137" i="18"/>
  <c r="AD107" i="18"/>
  <c r="AD83" i="18"/>
  <c r="AD154" i="18"/>
  <c r="AD100" i="18"/>
  <c r="AD159" i="18"/>
  <c r="AD123" i="18"/>
  <c r="AD81" i="18"/>
  <c r="AD114" i="18"/>
  <c r="AD84" i="18"/>
  <c r="AD119" i="18"/>
  <c r="AD77" i="18"/>
  <c r="AD142" i="18"/>
  <c r="AD112" i="18"/>
  <c r="AD94" i="18"/>
  <c r="AD117" i="18"/>
  <c r="AD162" i="18"/>
  <c r="AD156" i="18"/>
  <c r="AD150" i="18"/>
  <c r="AD144" i="18"/>
  <c r="AD126" i="18"/>
  <c r="AD96" i="18"/>
  <c r="AD143" i="18"/>
  <c r="AD71" i="18"/>
  <c r="AD160" i="18"/>
  <c r="AD136" i="18"/>
  <c r="AD106" i="18"/>
  <c r="AD88" i="18"/>
  <c r="AD141" i="18"/>
  <c r="AD99" i="18"/>
  <c r="I22" i="18"/>
  <c r="K22" i="18" s="1"/>
  <c r="H75" i="18"/>
  <c r="J75" i="18" s="1"/>
  <c r="K75" i="18" s="1"/>
  <c r="L20" i="18"/>
  <c r="L21" i="18"/>
  <c r="L23" i="18"/>
  <c r="K20" i="18"/>
  <c r="AO69" i="18" l="1"/>
  <c r="AP69" i="18"/>
  <c r="J73" i="18"/>
  <c r="H73" i="18" s="1"/>
  <c r="AF70" i="18"/>
  <c r="AH102" i="18"/>
  <c r="AH103" i="18" s="1"/>
  <c r="AH104" i="18" s="1"/>
  <c r="AY73" i="18"/>
  <c r="AY78" i="18"/>
  <c r="BB76" i="18" s="1"/>
  <c r="AY68" i="18"/>
  <c r="BA67" i="18" s="1"/>
  <c r="L22" i="18"/>
  <c r="H76" i="18"/>
  <c r="AG65" i="18"/>
  <c r="AH63" i="18" s="1"/>
  <c r="AY89" i="18"/>
  <c r="AY87" i="18" s="1"/>
  <c r="AY88" i="18"/>
  <c r="AY80" i="18"/>
  <c r="AY74" i="18"/>
  <c r="AG96" i="18"/>
  <c r="AY69" i="18"/>
  <c r="AY67" i="18" s="1"/>
  <c r="AY84" i="18"/>
  <c r="BB82" i="18" s="1"/>
  <c r="AY70" i="18"/>
  <c r="AY90" i="18"/>
  <c r="AY85" i="18"/>
  <c r="AY83" i="18"/>
  <c r="BB81" i="18" s="1"/>
  <c r="AY79" i="18"/>
  <c r="BB77" i="18" s="1"/>
  <c r="AY75" i="18"/>
  <c r="AP70" i="18" l="1"/>
  <c r="AO70" i="18"/>
  <c r="BB72" i="18"/>
  <c r="BB75" i="18" s="1"/>
  <c r="AY72" i="18"/>
  <c r="BA71" i="18"/>
  <c r="BB71" i="18"/>
  <c r="J76" i="18"/>
  <c r="AH65" i="18"/>
  <c r="AF71" i="18"/>
  <c r="AK94" i="18"/>
  <c r="AK95" i="18" s="1"/>
  <c r="H74" i="18"/>
  <c r="AG102" i="18" s="1"/>
  <c r="AG104" i="18" s="1"/>
  <c r="AG105" i="18" s="1"/>
  <c r="AG106" i="18"/>
  <c r="BA68" i="18"/>
  <c r="BB86" i="18"/>
  <c r="BA86" i="18"/>
  <c r="BB87" i="18"/>
  <c r="BB90" i="18" s="1"/>
  <c r="BA89" i="18"/>
  <c r="BA87" i="18"/>
  <c r="BA90" i="18" s="1"/>
  <c r="BA76" i="18"/>
  <c r="AY82" i="18"/>
  <c r="BA82" i="18"/>
  <c r="BA85" i="18" s="1"/>
  <c r="BB85" i="18"/>
  <c r="BA81" i="18"/>
  <c r="AY77" i="18"/>
  <c r="BA77" i="18"/>
  <c r="BA80" i="18" s="1"/>
  <c r="BB80" i="18"/>
  <c r="BB69" i="18"/>
  <c r="BB68" i="18"/>
  <c r="BA69" i="18"/>
  <c r="BA72" i="18"/>
  <c r="BA75" i="18" s="1"/>
  <c r="BB67" i="18"/>
  <c r="BB70" i="18" s="1"/>
  <c r="BA70" i="18"/>
  <c r="AP71" i="18" l="1"/>
  <c r="AO71" i="18"/>
  <c r="AH70" i="18"/>
  <c r="AG71" i="18"/>
  <c r="AH69" i="18"/>
  <c r="AG70" i="18"/>
  <c r="AH68" i="18"/>
  <c r="AG69" i="18"/>
  <c r="AG68" i="18"/>
  <c r="AG67" i="18"/>
  <c r="AG91" i="18"/>
  <c r="AH71" i="18"/>
  <c r="AH67" i="18"/>
  <c r="AH91" i="18"/>
  <c r="AG110" i="18"/>
  <c r="AG112" i="18" s="1"/>
  <c r="AG113" i="18" s="1"/>
  <c r="AJ65" i="18"/>
  <c r="AI65" i="18"/>
  <c r="AI62" i="18" s="1"/>
  <c r="AJ62" i="18" s="1"/>
  <c r="AH110" i="18"/>
  <c r="AH111" i="18" s="1"/>
  <c r="AH112" i="18" s="1"/>
  <c r="AF72" i="18"/>
  <c r="AH72" i="18" s="1"/>
  <c r="AH98" i="18"/>
  <c r="AH99" i="18" s="1"/>
  <c r="AH100" i="18" s="1"/>
  <c r="L75" i="18"/>
  <c r="AH106" i="18"/>
  <c r="BB79" i="18"/>
  <c r="BB78" i="18"/>
  <c r="BB83" i="18"/>
  <c r="BB84" i="18"/>
  <c r="BB74" i="18"/>
  <c r="BB73" i="18"/>
  <c r="BA88" i="18"/>
  <c r="BB89" i="18"/>
  <c r="BB88" i="18"/>
  <c r="BA84" i="18"/>
  <c r="BA83" i="18"/>
  <c r="BA73" i="18"/>
  <c r="BA74" i="18"/>
  <c r="BA78" i="18"/>
  <c r="BA79" i="18"/>
  <c r="AG72" i="18" l="1"/>
  <c r="AP72" i="18"/>
  <c r="AO72" i="18"/>
  <c r="AI72" i="18"/>
  <c r="AJ71" i="18"/>
  <c r="AI71" i="18"/>
  <c r="AJ70" i="18"/>
  <c r="AI70" i="18"/>
  <c r="AJ69" i="18"/>
  <c r="AI69" i="18"/>
  <c r="AI68" i="18"/>
  <c r="AJ72" i="18"/>
  <c r="AI67" i="18"/>
  <c r="AJ68" i="18"/>
  <c r="AI91" i="18"/>
  <c r="AJ67" i="18"/>
  <c r="AJ91" i="18"/>
  <c r="AJ63" i="18"/>
  <c r="AJ61" i="18" s="1"/>
  <c r="L76" i="18"/>
  <c r="AF73" i="18"/>
  <c r="AG98" i="18"/>
  <c r="AG100" i="18" s="1"/>
  <c r="AG101" i="18" s="1"/>
  <c r="AG108" i="18"/>
  <c r="AG109" i="18" s="1"/>
  <c r="AP73" i="18" l="1"/>
  <c r="AO73" i="18"/>
  <c r="AG73" i="18"/>
  <c r="AH73" i="18"/>
  <c r="AJ73" i="18"/>
  <c r="AI73" i="18"/>
  <c r="AF74" i="18"/>
  <c r="AH107" i="18"/>
  <c r="AH108" i="18" s="1"/>
  <c r="AO74" i="18" l="1"/>
  <c r="AP74" i="18"/>
  <c r="AG74" i="18"/>
  <c r="AH74" i="18"/>
  <c r="AJ74" i="18"/>
  <c r="AI74" i="18"/>
  <c r="AF75" i="18"/>
  <c r="AO75" i="18" l="1"/>
  <c r="AP75" i="18"/>
  <c r="AG75" i="18"/>
  <c r="AH75" i="18"/>
  <c r="AI75" i="18"/>
  <c r="AJ75" i="18"/>
  <c r="AF76" i="18"/>
  <c r="AO76" i="18" l="1"/>
  <c r="AP76" i="18"/>
  <c r="AH76" i="18"/>
  <c r="AG76" i="18"/>
  <c r="AJ76" i="18"/>
  <c r="AI76" i="18"/>
  <c r="AF77" i="18"/>
  <c r="AP77" i="18" l="1"/>
  <c r="AO77" i="18"/>
  <c r="AG77" i="18"/>
  <c r="AH77" i="18"/>
  <c r="AI77" i="18"/>
  <c r="AJ77" i="18"/>
  <c r="AF78" i="18"/>
  <c r="AP78" i="18" l="1"/>
  <c r="AO78" i="18"/>
  <c r="AH78" i="18"/>
  <c r="AG78" i="18"/>
  <c r="AJ78" i="18"/>
  <c r="AI78" i="18"/>
  <c r="AF79" i="18"/>
  <c r="AO79" i="18" l="1"/>
  <c r="AP79" i="18"/>
  <c r="AG79" i="18"/>
  <c r="AH79" i="18"/>
  <c r="AI79" i="18"/>
  <c r="AJ79" i="18"/>
  <c r="AF80" i="18"/>
  <c r="AP80" i="18" l="1"/>
  <c r="AO80" i="18"/>
  <c r="AG80" i="18"/>
  <c r="AH80" i="18"/>
  <c r="AI80" i="18"/>
  <c r="AJ80" i="18"/>
  <c r="AF81" i="18"/>
  <c r="AO81" i="18" l="1"/>
  <c r="AP81" i="18"/>
  <c r="AG81" i="18"/>
  <c r="AH81" i="18"/>
  <c r="AJ81" i="18"/>
  <c r="AI81" i="18"/>
  <c r="AF82" i="18"/>
  <c r="AP82" i="18" l="1"/>
  <c r="AO82" i="18"/>
  <c r="AG82" i="18"/>
  <c r="AH82" i="18"/>
  <c r="AI82" i="18"/>
  <c r="AJ82" i="18"/>
  <c r="AF83" i="18"/>
  <c r="AO83" i="18" l="1"/>
  <c r="AP83" i="18"/>
  <c r="AG83" i="18"/>
  <c r="AH83" i="18"/>
  <c r="AJ83" i="18"/>
  <c r="AI83" i="18"/>
  <c r="AF84" i="18"/>
  <c r="AO84" i="18" l="1"/>
  <c r="AP84" i="18"/>
  <c r="AH84" i="18"/>
  <c r="AG84" i="18"/>
  <c r="AI84" i="18"/>
  <c r="AJ84" i="18"/>
  <c r="AF85" i="18"/>
  <c r="AP85" i="18" l="1"/>
  <c r="AO85" i="18"/>
  <c r="AG85" i="18"/>
  <c r="AH85" i="18"/>
  <c r="AJ85" i="18"/>
  <c r="AI85" i="18"/>
  <c r="AF86" i="18"/>
  <c r="AO86" i="18" l="1"/>
  <c r="AP86" i="18"/>
  <c r="AH86" i="18"/>
  <c r="AG86" i="18"/>
  <c r="AJ86" i="18"/>
  <c r="AI86" i="18"/>
  <c r="AF87" i="18"/>
  <c r="AP87" i="18" l="1"/>
  <c r="AO87" i="18"/>
  <c r="AG87" i="18"/>
  <c r="AH87" i="18"/>
  <c r="AI87" i="18"/>
  <c r="AJ87" i="18"/>
  <c r="AF88" i="18"/>
  <c r="AO88" i="18" l="1"/>
  <c r="AP88" i="18"/>
  <c r="AH88" i="18"/>
  <c r="AG88" i="18"/>
  <c r="AJ88" i="18"/>
  <c r="AI88" i="18"/>
  <c r="AF89" i="18"/>
  <c r="AP89" i="18" l="1"/>
  <c r="AO89" i="18"/>
  <c r="AG89" i="18"/>
  <c r="AH89" i="18"/>
  <c r="AI89" i="18"/>
  <c r="AJ89" i="18"/>
  <c r="AF90" i="18"/>
  <c r="AO90" i="18" l="1"/>
  <c r="AP90" i="18"/>
  <c r="AG90" i="18"/>
  <c r="AH90" i="18"/>
  <c r="AJ90" i="18"/>
  <c r="AI90" i="18"/>
  <c r="L70" i="18"/>
  <c r="AH95" i="18"/>
  <c r="AH96" i="18" s="1"/>
  <c r="AH97" i="18" s="1"/>
  <c r="H70" i="18"/>
  <c r="L77" i="18"/>
  <c r="J77" i="18" l="1"/>
  <c r="AL65" i="18" s="1"/>
  <c r="AH115" i="18"/>
  <c r="AH116" i="18" s="1"/>
  <c r="AK67" i="18" l="1"/>
  <c r="AK68" i="18"/>
  <c r="AK65" i="18"/>
  <c r="AL63" i="18" s="1"/>
  <c r="AG114" i="18"/>
  <c r="AG116" i="18" s="1"/>
  <c r="AG117" i="18" s="1"/>
  <c r="AH118" i="18"/>
  <c r="AH119" i="18" s="1"/>
  <c r="AH120" i="18" s="1"/>
  <c r="J78" i="18"/>
  <c r="AN65" i="18" s="1"/>
  <c r="L78" i="18"/>
  <c r="AL67" i="18" l="1"/>
  <c r="AK69" i="18"/>
  <c r="AL77" i="18"/>
  <c r="AK81" i="18"/>
  <c r="AK85" i="18"/>
  <c r="AK89" i="18"/>
  <c r="AK91" i="18"/>
  <c r="AK70" i="18"/>
  <c r="AK77" i="18"/>
  <c r="AL81" i="18"/>
  <c r="AL85" i="18"/>
  <c r="AL89" i="18"/>
  <c r="AL71" i="18"/>
  <c r="AK74" i="18"/>
  <c r="AK78" i="18"/>
  <c r="AK82" i="18"/>
  <c r="AL86" i="18"/>
  <c r="AL90" i="18"/>
  <c r="AL68" i="18"/>
  <c r="AL74" i="18"/>
  <c r="AL78" i="18"/>
  <c r="AK86" i="18"/>
  <c r="AK90" i="18"/>
  <c r="AL73" i="18"/>
  <c r="AL75" i="18"/>
  <c r="AK87" i="18"/>
  <c r="AL82" i="18"/>
  <c r="AL79" i="18"/>
  <c r="AL91" i="18"/>
  <c r="AK71" i="18"/>
  <c r="AK75" i="18"/>
  <c r="AK79" i="18"/>
  <c r="AL83" i="18"/>
  <c r="AL87" i="18"/>
  <c r="AL70" i="18"/>
  <c r="AK83" i="18"/>
  <c r="AL69" i="18"/>
  <c r="AL72" i="18"/>
  <c r="AL76" i="18"/>
  <c r="AK80" i="18"/>
  <c r="AL84" i="18"/>
  <c r="AL88" i="18"/>
  <c r="AK73" i="18"/>
  <c r="AK72" i="18"/>
  <c r="AK76" i="18"/>
  <c r="AL80" i="18"/>
  <c r="AK84" i="18"/>
  <c r="AK88" i="18"/>
  <c r="AN67" i="18"/>
  <c r="AN73" i="18"/>
  <c r="AN71" i="18"/>
  <c r="AN69" i="18"/>
  <c r="AM67" i="18"/>
  <c r="AN68" i="18"/>
  <c r="AM70" i="18"/>
  <c r="AN72" i="18"/>
  <c r="AM91" i="18"/>
  <c r="AM73" i="18"/>
  <c r="AM71" i="18"/>
  <c r="AM69" i="18"/>
  <c r="AN70" i="18"/>
  <c r="AM72" i="18"/>
  <c r="AN91" i="18"/>
  <c r="AM68" i="18"/>
  <c r="AM74" i="18"/>
  <c r="AN74" i="18"/>
  <c r="AN75" i="18"/>
  <c r="AM75" i="18"/>
  <c r="AN76" i="18"/>
  <c r="AM76" i="18"/>
  <c r="AN77" i="18"/>
  <c r="AM77" i="18"/>
  <c r="AN78" i="18"/>
  <c r="AM78" i="18"/>
  <c r="AN79" i="18"/>
  <c r="AM79" i="18"/>
  <c r="AM80" i="18"/>
  <c r="AN80" i="18"/>
  <c r="AM81" i="18"/>
  <c r="AN81" i="18"/>
  <c r="AN82" i="18"/>
  <c r="AM82" i="18"/>
  <c r="AM83" i="18"/>
  <c r="AN83" i="18"/>
  <c r="AM84" i="18"/>
  <c r="AN84" i="18"/>
  <c r="AN85" i="18"/>
  <c r="AM85" i="18"/>
  <c r="AN86" i="18"/>
  <c r="AM86" i="18"/>
  <c r="AN87" i="18"/>
  <c r="AM87" i="18"/>
  <c r="AM88" i="18"/>
  <c r="AN88" i="18"/>
  <c r="AM89" i="18"/>
  <c r="AN89" i="18"/>
  <c r="AM90" i="18"/>
  <c r="AN90" i="18"/>
  <c r="AM65" i="18"/>
  <c r="AG118" i="18"/>
  <c r="AG120" i="18" s="1"/>
  <c r="AG121" i="18" s="1"/>
  <c r="AN63" i="18" l="1"/>
  <c r="AM62" i="18"/>
  <c r="AN62" i="18" s="1"/>
  <c r="AN61" i="18" l="1"/>
</calcChain>
</file>

<file path=xl/comments1.xml><?xml version="1.0" encoding="utf-8"?>
<comments xmlns="http://schemas.openxmlformats.org/spreadsheetml/2006/main">
  <authors>
    <author>Bill Ambrose</author>
  </authors>
  <commentList>
    <comment ref="K49" authorId="0">
      <text>
        <r>
          <rPr>
            <sz val="9"/>
            <color indexed="81"/>
            <rFont val="Tahoma"/>
            <family val="2"/>
          </rPr>
          <t>Typical Values based on Region of Operation:
GOMEX = 1.0 (Hs &lt;= 6.5m)
Brazil = 1.9
West Africa = 1.5
North Sea = 3.3</t>
        </r>
      </text>
    </comment>
    <comment ref="K52" authorId="0">
      <text>
        <r>
          <rPr>
            <sz val="9"/>
            <color indexed="81"/>
            <rFont val="Tahoma"/>
            <family val="2"/>
          </rPr>
          <t>Typical Value 7.0</t>
        </r>
      </text>
    </comment>
    <comment ref="K55" authorId="0">
      <text>
        <r>
          <rPr>
            <sz val="9"/>
            <color indexed="81"/>
            <rFont val="Tahoma"/>
            <family val="2"/>
          </rPr>
          <t>Typical Value 7.0</t>
        </r>
      </text>
    </comment>
    <comment ref="K58" authorId="0">
      <text>
        <r>
          <rPr>
            <sz val="9"/>
            <color indexed="81"/>
            <rFont val="Tahoma"/>
            <family val="2"/>
          </rPr>
          <t>Typical Value 7.0</t>
        </r>
      </text>
    </comment>
  </commentList>
</comments>
</file>

<file path=xl/sharedStrings.xml><?xml version="1.0" encoding="utf-8"?>
<sst xmlns="http://schemas.openxmlformats.org/spreadsheetml/2006/main" count="844" uniqueCount="226">
  <si>
    <t>AMP</t>
  </si>
  <si>
    <t>PHASE</t>
  </si>
  <si>
    <t>Surge</t>
  </si>
  <si>
    <t>Sway</t>
  </si>
  <si>
    <t>Yaw</t>
  </si>
  <si>
    <t>Motion RAOs</t>
  </si>
  <si>
    <t>SURGE</t>
  </si>
  <si>
    <t>SWAY</t>
  </si>
  <si>
    <t>HEAVE</t>
  </si>
  <si>
    <t>ROLL</t>
  </si>
  <si>
    <t>PITCH</t>
  </si>
  <si>
    <t>YAW</t>
  </si>
  <si>
    <t>Period</t>
  </si>
  <si>
    <t>Heading</t>
  </si>
  <si>
    <t>(sec)</t>
  </si>
  <si>
    <t>(deg)</t>
  </si>
  <si>
    <t>Wave Drift Force Coefficients</t>
  </si>
  <si>
    <t>Freq.</t>
  </si>
  <si>
    <t>(rad/s)</t>
  </si>
  <si>
    <t>(m/m)</t>
  </si>
  <si>
    <t>(deg/m)</t>
  </si>
  <si>
    <r>
      <t>kN/m</t>
    </r>
    <r>
      <rPr>
        <vertAlign val="superscript"/>
        <sz val="10"/>
        <rFont val="Arial"/>
        <family val="2"/>
      </rPr>
      <t>2</t>
    </r>
  </si>
  <si>
    <r>
      <t>kN-m/m</t>
    </r>
    <r>
      <rPr>
        <vertAlign val="superscript"/>
        <sz val="10"/>
        <rFont val="Arial"/>
        <family val="2"/>
      </rPr>
      <t>2</t>
    </r>
  </si>
  <si>
    <t>Wind</t>
  </si>
  <si>
    <t>Current</t>
  </si>
  <si>
    <t>CCW towards</t>
  </si>
  <si>
    <t>Fx, fwd +</t>
  </si>
  <si>
    <t>Fy, port +</t>
  </si>
  <si>
    <t>Mz, ccw +</t>
  </si>
  <si>
    <t>deg</t>
  </si>
  <si>
    <t>kN/(m/s)²</t>
  </si>
  <si>
    <t>kNm/(m/s)²</t>
  </si>
  <si>
    <t>Added Mass</t>
  </si>
  <si>
    <t>Wave</t>
  </si>
  <si>
    <t>x</t>
  </si>
  <si>
    <t>y</t>
  </si>
  <si>
    <t>Vessel Heading</t>
  </si>
  <si>
    <t>tip length</t>
  </si>
  <si>
    <t>base</t>
  </si>
  <si>
    <t>tip loc</t>
  </si>
  <si>
    <t>tip width</t>
  </si>
  <si>
    <t xml:space="preserve">Wind </t>
  </si>
  <si>
    <t>Time</t>
  </si>
  <si>
    <t>Vessel Type</t>
  </si>
  <si>
    <t>Operating Draft</t>
  </si>
  <si>
    <t>m</t>
  </si>
  <si>
    <r>
      <t xml:space="preserve">(This program is </t>
    </r>
    <r>
      <rPr>
        <b/>
        <u/>
        <sz val="10"/>
        <rFont val="Tahoma"/>
        <family val="2"/>
      </rPr>
      <t>only</t>
    </r>
    <r>
      <rPr>
        <sz val="10"/>
        <rFont val="Tahoma"/>
        <family val="2"/>
      </rPr>
      <t xml:space="preserve"> to be used for specified vessel above)</t>
    </r>
  </si>
  <si>
    <t>Site Information</t>
  </si>
  <si>
    <r>
      <t xml:space="preserve">(Items in </t>
    </r>
    <r>
      <rPr>
        <b/>
        <sz val="10"/>
        <color indexed="12"/>
        <rFont val="Tahoma"/>
        <family val="2"/>
      </rPr>
      <t>BLUE</t>
    </r>
    <r>
      <rPr>
        <sz val="10"/>
        <rFont val="Tahoma"/>
        <family val="2"/>
      </rPr>
      <t xml:space="preserve"> need to be updated for each new well)</t>
    </r>
  </si>
  <si>
    <t>Region of Operation:</t>
  </si>
  <si>
    <t>(GOMEX, Brazil, West Africa, North Sea, etc.)</t>
  </si>
  <si>
    <t>Well Name/Number:</t>
  </si>
  <si>
    <t>Operator:</t>
  </si>
  <si>
    <t xml:space="preserve">Spud Date: </t>
  </si>
  <si>
    <t>Water Depth:</t>
  </si>
  <si>
    <t>Riser System &amp; EDS Parameters</t>
  </si>
  <si>
    <t>Riser Point of Disconnect Offset Limits</t>
  </si>
  <si>
    <t>Parameter</t>
  </si>
  <si>
    <t>Allowed Value</t>
  </si>
  <si>
    <t>WD</t>
  </si>
  <si>
    <t xml:space="preserve">Active Emergency Disconnect Sequence </t>
  </si>
  <si>
    <t>Sequence</t>
  </si>
  <si>
    <t>Description</t>
  </si>
  <si>
    <t>Active Seq.</t>
  </si>
  <si>
    <t>sec</t>
  </si>
  <si>
    <t>deg TN</t>
  </si>
  <si>
    <t>Wind (10m, 1-min mean)</t>
  </si>
  <si>
    <t xml:space="preserve">m </t>
  </si>
  <si>
    <t xml:space="preserve">Gamma: </t>
  </si>
  <si>
    <t>Watch Circle and Reaction Time</t>
  </si>
  <si>
    <t>Zero Lines</t>
  </si>
  <si>
    <t>Angle</t>
  </si>
  <si>
    <t>Radius =</t>
  </si>
  <si>
    <t>Environmental and Vessel Heading Plot</t>
  </si>
  <si>
    <t>2-D Plot Lines</t>
  </si>
  <si>
    <t>POD</t>
  </si>
  <si>
    <t>Drift off Path</t>
  </si>
  <si>
    <t>[sec]</t>
  </si>
  <si>
    <t>[m]</t>
  </si>
  <si>
    <t>[deg]</t>
  </si>
  <si>
    <t>Vessel Particular</t>
  </si>
  <si>
    <t>JONSWAP</t>
  </si>
  <si>
    <t>YawRate</t>
  </si>
  <si>
    <t>Radius from WC</t>
  </si>
  <si>
    <t>Velocity</t>
  </si>
  <si>
    <t>slug2mt</t>
  </si>
  <si>
    <t>mT</t>
  </si>
  <si>
    <t>slug</t>
  </si>
  <si>
    <t>Time Duration / Step</t>
  </si>
  <si>
    <t>slug=lb*s/ft^2</t>
  </si>
  <si>
    <t>slug-ft^2</t>
  </si>
  <si>
    <t>mT-m^2</t>
  </si>
  <si>
    <t>lb-ft2kNm</t>
  </si>
  <si>
    <t>kN-m/(radians/s)^2</t>
  </si>
  <si>
    <t>[% WD]</t>
  </si>
  <si>
    <t>Brazil</t>
  </si>
  <si>
    <t>Generic</t>
  </si>
  <si>
    <t>lb-ft/(radians/s)^2</t>
  </si>
  <si>
    <t>Yawmass</t>
  </si>
  <si>
    <t>Mass</t>
  </si>
  <si>
    <t>DP Vessel Drift-off and Watch Circle</t>
  </si>
  <si>
    <t>Radius from SP</t>
  </si>
  <si>
    <t>Other</t>
  </si>
  <si>
    <t>Stroke-out (mean) for reference</t>
  </si>
  <si>
    <t>Upper Flex Joint Angle (max) for reference</t>
  </si>
  <si>
    <t>Lower Flex Joint Angle (max) for reference</t>
  </si>
  <si>
    <t>Maximum allowable offset limit for this evaluation</t>
  </si>
  <si>
    <t>Maximum allowable offset from Drift-off Analysis*</t>
  </si>
  <si>
    <t>Expected Max Motions</t>
  </si>
  <si>
    <t>deg Roll</t>
  </si>
  <si>
    <t>deg Pitch</t>
  </si>
  <si>
    <t>Rig Heading &amp; Environments</t>
  </si>
  <si>
    <t xml:space="preserve">from: </t>
  </si>
  <si>
    <t>* Values should be obtained from riser analysis conducted by Engineering</t>
  </si>
  <si>
    <t>Semi Yellow</t>
  </si>
  <si>
    <t>Semi Red</t>
  </si>
  <si>
    <t>Red</t>
  </si>
  <si>
    <t>Yellow</t>
  </si>
  <si>
    <t>Semi</t>
  </si>
  <si>
    <t>[m/s]</t>
  </si>
  <si>
    <t xml:space="preserve">Yellow </t>
  </si>
  <si>
    <t xml:space="preserve">Red </t>
  </si>
  <si>
    <r>
      <t xml:space="preserve">Red Watch Circle Radius </t>
    </r>
    <r>
      <rPr>
        <sz val="10"/>
        <rFont val="Tahoma"/>
        <family val="2"/>
      </rPr>
      <t>(Op. Manual)</t>
    </r>
  </si>
  <si>
    <r>
      <t xml:space="preserve">Yellow Watch Circle Radius </t>
    </r>
    <r>
      <rPr>
        <sz val="10"/>
        <rFont val="Tahoma"/>
        <family val="2"/>
      </rPr>
      <t>(Op. Manual)</t>
    </r>
  </si>
  <si>
    <r>
      <t xml:space="preserve">Red Watch Circle Radius </t>
    </r>
    <r>
      <rPr>
        <sz val="10"/>
        <rFont val="Tahoma"/>
        <family val="2"/>
      </rPr>
      <t>(By POD)</t>
    </r>
  </si>
  <si>
    <t>YD</t>
  </si>
  <si>
    <t>RD</t>
  </si>
  <si>
    <t>Center</t>
  </si>
  <si>
    <r>
      <t xml:space="preserve">Yellow Watch Circle Radius </t>
    </r>
    <r>
      <rPr>
        <sz val="10"/>
        <rFont val="Tahoma"/>
        <family val="2"/>
      </rPr>
      <t>(By POD)</t>
    </r>
  </si>
  <si>
    <t>*</t>
  </si>
  <si>
    <t>ft2m</t>
  </si>
  <si>
    <t>WCHead</t>
  </si>
  <si>
    <t>lb/(ft/s)²</t>
  </si>
  <si>
    <t>lb-ft/(ft/s)²</t>
  </si>
  <si>
    <t>lb2kN</t>
  </si>
  <si>
    <t>Driftperiod</t>
  </si>
  <si>
    <t>DriftHead</t>
  </si>
  <si>
    <t>Paragon DPDS3</t>
  </si>
  <si>
    <t>Nperiod</t>
  </si>
  <si>
    <t>Nhead</t>
  </si>
  <si>
    <t>Analysis by POD [Y/N]</t>
  </si>
  <si>
    <t xml:space="preserve"> </t>
  </si>
  <si>
    <t>inside circle</t>
  </si>
  <si>
    <t>DP OPERATIONAL STATUS – DEFINITIONS AND REQUIRED ACTIONS</t>
  </si>
  <si>
    <t>GREEN</t>
  </si>
  <si>
    <t>ADVISORY</t>
  </si>
  <si>
    <t>DEGRADED</t>
  </si>
  <si>
    <t>YELLOW</t>
  </si>
  <si>
    <t>RED</t>
  </si>
  <si>
    <t>Definitions</t>
  </si>
  <si>
    <t>Normal Operation.</t>
  </si>
  <si>
    <t>Simple failure of redundant equipment.</t>
  </si>
  <si>
    <t>Loss of minimum redundancy.</t>
  </si>
  <si>
    <t>High-risk event or pre-defined performance limits reached. Recovery still possible.</t>
  </si>
  <si>
    <t xml:space="preserve">High-risk event or pre-defined performance limits reached. Recovery is no longer a possibility. </t>
  </si>
  <si>
    <r>
      <t>Action</t>
    </r>
    <r>
      <rPr>
        <sz val="9"/>
        <color rgb="FF000000"/>
        <rFont val="Arial"/>
        <family val="2"/>
      </rPr>
      <t xml:space="preserve"> </t>
    </r>
    <r>
      <rPr>
        <sz val="10"/>
        <color rgb="FF000000"/>
        <rFont val="Calibri"/>
        <family val="2"/>
      </rPr>
      <t>Required</t>
    </r>
  </si>
  <si>
    <t>N/A</t>
  </si>
  <si>
    <t>Report parties involved and identify risks.</t>
  </si>
  <si>
    <t>Petrobras and Contractor meeting to decide about operational continuity.</t>
  </si>
  <si>
    <t>Activate alert and follow procedures. Prepare to disconnect.</t>
  </si>
  <si>
    <t>Activate alert and follow procedures. Disconnect.</t>
  </si>
  <si>
    <t>DP PARAMETERS</t>
  </si>
  <si>
    <t>Vessel distance from YELLOW or RED watch limits.</t>
  </si>
  <si>
    <r>
      <t>0</t>
    </r>
    <r>
      <rPr>
        <vertAlign val="superscript"/>
        <sz val="8"/>
        <color rgb="FF000000"/>
        <rFont val="Calibri"/>
        <family val="2"/>
      </rPr>
      <t>o</t>
    </r>
    <r>
      <rPr>
        <sz val="8"/>
        <color rgb="FF000000"/>
        <rFont val="Calibri"/>
        <family val="2"/>
      </rPr>
      <t xml:space="preserve"> – 0.5</t>
    </r>
    <r>
      <rPr>
        <vertAlign val="superscript"/>
        <sz val="8"/>
        <color rgb="FF000000"/>
        <rFont val="Calibri"/>
        <family val="2"/>
      </rPr>
      <t>o</t>
    </r>
  </si>
  <si>
    <r>
      <t>0.5</t>
    </r>
    <r>
      <rPr>
        <vertAlign val="superscript"/>
        <sz val="8"/>
        <color rgb="FF000000"/>
        <rFont val="Calibri"/>
        <family val="2"/>
      </rPr>
      <t>o</t>
    </r>
    <r>
      <rPr>
        <sz val="8"/>
        <color rgb="FF000000"/>
        <rFont val="Calibri"/>
        <family val="2"/>
      </rPr>
      <t xml:space="preserve"> – 1</t>
    </r>
  </si>
  <si>
    <r>
      <t>1</t>
    </r>
    <r>
      <rPr>
        <vertAlign val="superscript"/>
        <sz val="8"/>
        <color rgb="FF000000"/>
        <rFont val="Calibri"/>
        <family val="2"/>
      </rPr>
      <t>o</t>
    </r>
    <r>
      <rPr>
        <sz val="8"/>
        <color rgb="FF000000"/>
        <rFont val="Calibri"/>
        <family val="2"/>
      </rPr>
      <t xml:space="preserve"> - </t>
    </r>
    <r>
      <rPr>
        <sz val="8"/>
        <rFont val="Calibri"/>
        <family val="2"/>
      </rPr>
      <t>2</t>
    </r>
    <r>
      <rPr>
        <vertAlign val="superscript"/>
        <sz val="8"/>
        <color rgb="FF000000"/>
        <rFont val="Calibri"/>
        <family val="2"/>
      </rPr>
      <t>o</t>
    </r>
  </si>
  <si>
    <r>
      <t xml:space="preserve">&gt; </t>
    </r>
    <r>
      <rPr>
        <sz val="8"/>
        <rFont val="Calibri"/>
        <family val="2"/>
      </rPr>
      <t>2</t>
    </r>
    <r>
      <rPr>
        <vertAlign val="superscript"/>
        <sz val="8"/>
        <color rgb="FF000000"/>
        <rFont val="Calibri"/>
        <family val="2"/>
      </rPr>
      <t>o</t>
    </r>
  </si>
  <si>
    <r>
      <t>&gt; 5</t>
    </r>
    <r>
      <rPr>
        <vertAlign val="superscript"/>
        <sz val="8"/>
        <color rgb="FF000000"/>
        <rFont val="Calibri"/>
        <family val="2"/>
      </rPr>
      <t>o</t>
    </r>
  </si>
  <si>
    <t>Semi Red (centered at Yellow+ EDS)*</t>
  </si>
  <si>
    <t>Semi Yellow (centered at SP - Reaction - EDS)*</t>
  </si>
  <si>
    <t>PARAMETERS</t>
  </si>
  <si>
    <t>STATUS</t>
  </si>
  <si>
    <t xml:space="preserve">Differential Riser Angle </t>
  </si>
  <si>
    <t>Revision D trial</t>
  </si>
  <si>
    <t>Red (Op. Manual)</t>
  </si>
  <si>
    <t>Yellow (Op. Manual)</t>
  </si>
  <si>
    <t>Red (POD)</t>
  </si>
  <si>
    <t>Yellow (POD)</t>
  </si>
  <si>
    <t>Op. Manual</t>
  </si>
  <si>
    <t>           &gt;=1.5% of WD to YELLOW watch limit</t>
  </si>
  <si>
    <t>Current Point to YELLOW circle</t>
  </si>
  <si>
    <t>set point + Semi circle</t>
  </si>
  <si>
    <t>T to C:</t>
  </si>
  <si>
    <t>No Shear</t>
  </si>
  <si>
    <t>Shear</t>
  </si>
  <si>
    <t>Reaction Time to Activate EDS</t>
  </si>
  <si>
    <t>**</t>
  </si>
  <si>
    <t>Hang Off Time from Yellow To Red</t>
  </si>
  <si>
    <t>Outside YELLOW watch limits</t>
  </si>
  <si>
    <t>Outside RED watch limits</t>
  </si>
  <si>
    <t xml:space="preserve"> Actual Rig Thruster Force:</t>
  </si>
  <si>
    <t>Swell 1</t>
  </si>
  <si>
    <t>Swell 2</t>
  </si>
  <si>
    <t>Swell 3</t>
  </si>
  <si>
    <t>kts</t>
  </si>
  <si>
    <t>&lt; 1.5% of WD to YELLOW watch limit</t>
  </si>
  <si>
    <t>EDS</t>
  </si>
  <si>
    <t>Reaction</t>
  </si>
  <si>
    <t>Total</t>
  </si>
  <si>
    <t>m Heave</t>
  </si>
  <si>
    <t>EDS Sequence + Reaction Duration</t>
  </si>
  <si>
    <t>Hang Off Time from Yellow to Red</t>
  </si>
  <si>
    <t>North (+)</t>
  </si>
  <si>
    <t>East (+)</t>
  </si>
  <si>
    <t>Offset from Set Point at Which Limit Occurs</t>
  </si>
  <si>
    <t>Drifting Time</t>
  </si>
  <si>
    <t>N</t>
  </si>
  <si>
    <t>Using DP Thrust for Calculation?  [Y/N]</t>
  </si>
  <si>
    <t>Distance from Well Center to Disconnect Point</t>
  </si>
  <si>
    <t>Distance from Set Point to Disconnect Point</t>
  </si>
  <si>
    <t>Current By Sea Force? [Y/N]</t>
  </si>
  <si>
    <t>DP Set Point</t>
  </si>
  <si>
    <t>fy/fx</t>
  </si>
  <si>
    <t>(April 2015)</t>
  </si>
  <si>
    <t>Total Force from Environments</t>
  </si>
  <si>
    <t>* Waves for motion estimations only.</t>
  </si>
  <si>
    <t>Seas</t>
  </si>
  <si>
    <t xml:space="preserve">Hs, seas: </t>
  </si>
  <si>
    <t xml:space="preserve">Tp, seas: </t>
  </si>
  <si>
    <t xml:space="preserve">Wave Spectrum: </t>
  </si>
  <si>
    <t xml:space="preserve">Hs, swell: </t>
  </si>
  <si>
    <t xml:space="preserve">Tp, swell: </t>
  </si>
  <si>
    <t>Last Update [Date/Time]</t>
  </si>
  <si>
    <t>Distance DP Set Point from Well Center</t>
  </si>
  <si>
    <t>Rig Heading Set Point Towards</t>
  </si>
  <si>
    <t>Well Position UTM coordination: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</si>
</sst>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64" formatCode="0.0"/>
    <numFmt numFmtId="165" formatCode="0.000"/>
    <numFmt numFmtId="166" formatCode="0.000E+00"/>
    <numFmt numFmtId="167" formatCode="0.0%"/>
    <numFmt numFmtId="168" formatCode="0.0E+00"/>
    <numFmt numFmtId="169" formatCode="0&quot; ft&quot;"/>
    <numFmt numFmtId="170" formatCode="00.0&quot; m&quot;"/>
    <numFmt numFmtId="171" formatCode="0.00&quot; kts&quot;"/>
    <numFmt numFmtId="172" formatCode="0.0&quot; ft&quot;"/>
    <numFmt numFmtId="173" formatCode="0&quot; sec&quot;"/>
    <numFmt numFmtId="174" formatCode="0.0&quot; m&quot;"/>
    <numFmt numFmtId="175" formatCode="\(0.0&quot; min)&quot;"/>
    <numFmt numFmtId="176" formatCode="0.00&quot; ft&quot;"/>
    <numFmt numFmtId="177" formatCode="[$-409]mmmm\ d\,\ yyyy;@"/>
    <numFmt numFmtId="178" formatCode="h:mm;@"/>
    <numFmt numFmtId="179" formatCode="0.00&quot; sec&quot;"/>
    <numFmt numFmtId="180" formatCode="0&quot; m&quot;"/>
  </numFmts>
  <fonts count="51" x14ac:knownFonts="1">
    <font>
      <sz val="10"/>
      <name val="Times New Roman"/>
      <family val="1"/>
    </font>
    <font>
      <b/>
      <sz val="12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0"/>
      <color indexed="18"/>
      <name val="Arial"/>
      <family val="2"/>
    </font>
    <font>
      <vertAlign val="superscript"/>
      <sz val="10"/>
      <name val="Arial"/>
      <family val="2"/>
    </font>
    <font>
      <sz val="10"/>
      <name val="Tahoma"/>
      <family val="2"/>
    </font>
    <font>
      <sz val="10"/>
      <color indexed="12"/>
      <name val="Arial"/>
      <family val="2"/>
    </font>
    <font>
      <b/>
      <sz val="10"/>
      <name val="Arial"/>
      <family val="2"/>
    </font>
    <font>
      <b/>
      <sz val="10"/>
      <name val="Tahoma"/>
      <family val="2"/>
    </font>
    <font>
      <b/>
      <sz val="16"/>
      <name val="Tahoma"/>
      <family val="2"/>
    </font>
    <font>
      <b/>
      <sz val="12"/>
      <name val="Tahoma"/>
      <family val="2"/>
    </font>
    <font>
      <sz val="11"/>
      <name val="Tahoma"/>
      <family val="2"/>
    </font>
    <font>
      <b/>
      <u/>
      <sz val="10"/>
      <name val="Tahoma"/>
      <family val="2"/>
    </font>
    <font>
      <b/>
      <sz val="11"/>
      <name val="Tahoma"/>
      <family val="2"/>
    </font>
    <font>
      <b/>
      <sz val="10"/>
      <color indexed="12"/>
      <name val="Tahoma"/>
      <family val="2"/>
    </font>
    <font>
      <sz val="10"/>
      <color indexed="12"/>
      <name val="Tahoma"/>
      <family val="2"/>
    </font>
    <font>
      <i/>
      <sz val="10"/>
      <name val="Tahoma"/>
      <family val="2"/>
    </font>
    <font>
      <i/>
      <sz val="9.5"/>
      <name val="Tahoma"/>
      <family val="2"/>
    </font>
    <font>
      <b/>
      <sz val="11"/>
      <color indexed="12"/>
      <name val="Tahoma"/>
      <family val="2"/>
    </font>
    <font>
      <b/>
      <sz val="10"/>
      <color indexed="10"/>
      <name val="Tahoma"/>
      <family val="2"/>
    </font>
    <font>
      <b/>
      <sz val="10"/>
      <color indexed="22"/>
      <name val="Tahoma"/>
      <family val="2"/>
    </font>
    <font>
      <sz val="10"/>
      <color rgb="FF3333FF"/>
      <name val="Tahoma"/>
      <family val="2"/>
    </font>
    <font>
      <sz val="9"/>
      <color indexed="81"/>
      <name val="Tahoma"/>
      <family val="2"/>
    </font>
    <font>
      <b/>
      <sz val="9.5"/>
      <color rgb="FF0000FF"/>
      <name val="Arial"/>
      <family val="2"/>
    </font>
    <font>
      <sz val="10"/>
      <color theme="0" tint="-0.249977111117893"/>
      <name val="Tahoma"/>
      <family val="2"/>
    </font>
    <font>
      <sz val="10"/>
      <color theme="0" tint="-0.249977111117893"/>
      <name val="Arial"/>
      <family val="2"/>
    </font>
    <font>
      <sz val="11"/>
      <name val="Arial"/>
      <family val="2"/>
    </font>
    <font>
      <b/>
      <sz val="12"/>
      <color rgb="FFFF0000"/>
      <name val="Tahoma"/>
      <family val="2"/>
    </font>
    <font>
      <sz val="10"/>
      <color rgb="FFFF0000"/>
      <name val="Tahoma"/>
      <family val="2"/>
    </font>
    <font>
      <sz val="10"/>
      <color theme="0"/>
      <name val="Tahoma"/>
      <family val="2"/>
    </font>
    <font>
      <b/>
      <sz val="10"/>
      <color rgb="FFC00000"/>
      <name val="Tahoma"/>
      <family val="2"/>
    </font>
    <font>
      <b/>
      <sz val="10"/>
      <color rgb="FFFF0000"/>
      <name val="Arial"/>
      <family val="2"/>
    </font>
    <font>
      <sz val="10"/>
      <color theme="0" tint="-0.499984740745262"/>
      <name val="Arial"/>
      <family val="2"/>
    </font>
    <font>
      <sz val="10"/>
      <color theme="0" tint="-0.499984740745262"/>
      <name val="Tahoma"/>
      <family val="2"/>
    </font>
    <font>
      <b/>
      <sz val="10"/>
      <color theme="0" tint="-0.499984740745262"/>
      <name val="Arial"/>
      <family val="2"/>
    </font>
    <font>
      <sz val="10"/>
      <color theme="0" tint="-0.14999847407452621"/>
      <name val="Tahoma"/>
      <family val="2"/>
    </font>
    <font>
      <b/>
      <sz val="11"/>
      <color rgb="FFFFFF00"/>
      <name val="Calibri"/>
      <family val="2"/>
    </font>
    <font>
      <b/>
      <sz val="10"/>
      <color rgb="FF000000"/>
      <name val="Calibri"/>
      <family val="2"/>
    </font>
    <font>
      <b/>
      <sz val="10"/>
      <color rgb="FFFFFFFF"/>
      <name val="Calibri"/>
      <family val="2"/>
    </font>
    <font>
      <b/>
      <sz val="10"/>
      <color rgb="FF003300"/>
      <name val="Calibri"/>
      <family val="2"/>
    </font>
    <font>
      <sz val="10"/>
      <color rgb="FF000000"/>
      <name val="Calibri"/>
      <family val="2"/>
    </font>
    <font>
      <sz val="8"/>
      <color rgb="FF000000"/>
      <name val="Calibri"/>
      <family val="2"/>
    </font>
    <font>
      <sz val="9"/>
      <color rgb="FF000000"/>
      <name val="Arial"/>
      <family val="2"/>
    </font>
    <font>
      <vertAlign val="superscript"/>
      <sz val="8"/>
      <color rgb="FF000000"/>
      <name val="Calibri"/>
      <family val="2"/>
    </font>
    <font>
      <sz val="8"/>
      <name val="Calibri"/>
      <family val="2"/>
    </font>
    <font>
      <sz val="10"/>
      <name val="Times New Roman"/>
      <family val="1"/>
    </font>
    <font>
      <sz val="10"/>
      <color theme="0" tint="-0.14999847407452621"/>
      <name val="Arial"/>
      <family val="2"/>
    </font>
    <font>
      <sz val="10"/>
      <color rgb="FFFF0000"/>
      <name val="Arial"/>
      <family val="2"/>
    </font>
    <font>
      <sz val="10"/>
      <color theme="0"/>
      <name val="Arial"/>
      <family val="2"/>
    </font>
    <font>
      <b/>
      <sz val="10"/>
      <color rgb="FFFF0000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8DB3E2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FFFFF"/>
        <bgColor indexed="64"/>
      </patternFill>
    </fill>
  </fills>
  <borders count="7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</borders>
  <cellStyleXfs count="4">
    <xf numFmtId="0" fontId="0" fillId="0" borderId="0"/>
    <xf numFmtId="0" fontId="2" fillId="0" borderId="0">
      <alignment vertical="center"/>
    </xf>
    <xf numFmtId="0" fontId="2" fillId="0" borderId="0"/>
    <xf numFmtId="9" fontId="46" fillId="0" borderId="0" applyFont="0" applyFill="0" applyBorder="0" applyAlignment="0" applyProtection="0"/>
  </cellStyleXfs>
  <cellXfs count="413">
    <xf numFmtId="0" fontId="0" fillId="0" borderId="0" xfId="0"/>
    <xf numFmtId="0" fontId="2" fillId="0" borderId="0" xfId="0" applyFont="1"/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center" vertical="center"/>
    </xf>
    <xf numFmtId="164" fontId="2" fillId="0" borderId="7" xfId="0" applyNumberFormat="1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right" vertical="center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vertical="center"/>
    </xf>
    <xf numFmtId="164" fontId="2" fillId="0" borderId="3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vertical="center"/>
    </xf>
    <xf numFmtId="165" fontId="2" fillId="0" borderId="3" xfId="0" applyNumberFormat="1" applyFont="1" applyBorder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166" fontId="2" fillId="0" borderId="7" xfId="0" applyNumberFormat="1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6" fontId="2" fillId="0" borderId="4" xfId="0" applyNumberFormat="1" applyFont="1" applyBorder="1" applyAlignment="1">
      <alignment horizontal="center" vertical="center"/>
    </xf>
    <xf numFmtId="166" fontId="2" fillId="0" borderId="3" xfId="0" applyNumberFormat="1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6" fontId="2" fillId="0" borderId="5" xfId="0" applyNumberFormat="1" applyFont="1" applyBorder="1" applyAlignment="1">
      <alignment horizontal="center" vertical="center"/>
    </xf>
    <xf numFmtId="0" fontId="2" fillId="0" borderId="0" xfId="2" applyFill="1" applyAlignment="1" applyProtection="1">
      <alignment vertical="center"/>
    </xf>
    <xf numFmtId="0" fontId="6" fillId="0" borderId="0" xfId="2" applyFont="1" applyFill="1" applyAlignment="1" applyProtection="1">
      <alignment vertical="center"/>
    </xf>
    <xf numFmtId="0" fontId="11" fillId="0" borderId="0" xfId="2" applyFont="1" applyFill="1" applyAlignment="1" applyProtection="1">
      <alignment vertical="center"/>
    </xf>
    <xf numFmtId="0" fontId="12" fillId="0" borderId="0" xfId="2" applyFont="1" applyFill="1" applyAlignment="1" applyProtection="1">
      <alignment vertical="center"/>
    </xf>
    <xf numFmtId="0" fontId="6" fillId="0" borderId="0" xfId="2" applyFont="1" applyFill="1" applyBorder="1" applyAlignment="1" applyProtection="1">
      <alignment horizontal="center" vertical="center"/>
    </xf>
    <xf numFmtId="0" fontId="14" fillId="2" borderId="26" xfId="2" applyFont="1" applyFill="1" applyBorder="1" applyAlignment="1" applyProtection="1">
      <alignment vertical="center"/>
    </xf>
    <xf numFmtId="0" fontId="14" fillId="2" borderId="27" xfId="2" applyFont="1" applyFill="1" applyBorder="1" applyAlignment="1" applyProtection="1">
      <alignment vertical="center"/>
    </xf>
    <xf numFmtId="0" fontId="6" fillId="2" borderId="27" xfId="2" applyFont="1" applyFill="1" applyBorder="1" applyAlignment="1" applyProtection="1">
      <alignment vertical="center"/>
    </xf>
    <xf numFmtId="0" fontId="12" fillId="2" borderId="27" xfId="2" applyFont="1" applyFill="1" applyBorder="1" applyAlignment="1" applyProtection="1">
      <alignment vertical="center"/>
    </xf>
    <xf numFmtId="0" fontId="12" fillId="2" borderId="28" xfId="2" applyFont="1" applyFill="1" applyBorder="1" applyAlignment="1" applyProtection="1">
      <alignment vertical="center"/>
    </xf>
    <xf numFmtId="0" fontId="6" fillId="0" borderId="22" xfId="2" applyFont="1" applyFill="1" applyBorder="1" applyAlignment="1" applyProtection="1">
      <alignment vertical="center"/>
    </xf>
    <xf numFmtId="0" fontId="6" fillId="0" borderId="0" xfId="2" applyFont="1" applyFill="1" applyBorder="1" applyAlignment="1" applyProtection="1">
      <alignment vertical="center"/>
    </xf>
    <xf numFmtId="0" fontId="6" fillId="0" borderId="23" xfId="2" applyFont="1" applyFill="1" applyBorder="1" applyAlignment="1" applyProtection="1">
      <alignment vertical="center"/>
    </xf>
    <xf numFmtId="0" fontId="6" fillId="0" borderId="22" xfId="2" applyFont="1" applyFill="1" applyBorder="1" applyAlignment="1" applyProtection="1">
      <alignment horizontal="left" vertical="center"/>
    </xf>
    <xf numFmtId="0" fontId="6" fillId="0" borderId="0" xfId="2" applyFont="1" applyFill="1" applyBorder="1" applyAlignment="1" applyProtection="1">
      <alignment horizontal="right" vertical="center"/>
    </xf>
    <xf numFmtId="0" fontId="6" fillId="0" borderId="24" xfId="2" applyFont="1" applyFill="1" applyBorder="1" applyAlignment="1" applyProtection="1">
      <alignment vertical="center"/>
    </xf>
    <xf numFmtId="0" fontId="6" fillId="0" borderId="1" xfId="2" applyFont="1" applyFill="1" applyBorder="1" applyAlignment="1" applyProtection="1">
      <alignment vertical="center"/>
    </xf>
    <xf numFmtId="0" fontId="6" fillId="0" borderId="25" xfId="2" applyFont="1" applyFill="1" applyBorder="1" applyAlignment="1" applyProtection="1">
      <alignment vertical="center"/>
    </xf>
    <xf numFmtId="0" fontId="9" fillId="0" borderId="0" xfId="2" applyFont="1" applyFill="1" applyBorder="1" applyAlignment="1" applyProtection="1">
      <alignment horizontal="left" vertical="center"/>
    </xf>
    <xf numFmtId="0" fontId="9" fillId="0" borderId="22" xfId="2" applyFont="1" applyFill="1" applyBorder="1" applyAlignment="1" applyProtection="1">
      <alignment vertical="center"/>
    </xf>
    <xf numFmtId="0" fontId="6" fillId="0" borderId="20" xfId="2" applyFont="1" applyFill="1" applyBorder="1" applyAlignment="1" applyProtection="1">
      <alignment vertical="center"/>
    </xf>
    <xf numFmtId="0" fontId="6" fillId="0" borderId="33" xfId="2" applyFont="1" applyFill="1" applyBorder="1" applyAlignment="1" applyProtection="1">
      <alignment vertical="center"/>
    </xf>
    <xf numFmtId="10" fontId="6" fillId="4" borderId="20" xfId="2" applyNumberFormat="1" applyFont="1" applyFill="1" applyBorder="1" applyAlignment="1" applyProtection="1">
      <alignment vertical="center"/>
    </xf>
    <xf numFmtId="0" fontId="6" fillId="0" borderId="34" xfId="2" applyFont="1" applyFill="1" applyBorder="1" applyAlignment="1" applyProtection="1">
      <alignment vertical="center"/>
    </xf>
    <xf numFmtId="0" fontId="6" fillId="0" borderId="35" xfId="2" applyFont="1" applyFill="1" applyBorder="1" applyAlignment="1" applyProtection="1">
      <alignment vertical="center"/>
    </xf>
    <xf numFmtId="167" fontId="16" fillId="3" borderId="20" xfId="2" applyNumberFormat="1" applyFont="1" applyFill="1" applyBorder="1" applyAlignment="1" applyProtection="1">
      <alignment vertical="center"/>
      <protection locked="0"/>
    </xf>
    <xf numFmtId="0" fontId="18" fillId="0" borderId="0" xfId="2" applyFont="1" applyFill="1" applyBorder="1" applyAlignment="1" applyProtection="1">
      <alignment vertical="center"/>
    </xf>
    <xf numFmtId="1" fontId="16" fillId="3" borderId="32" xfId="2" applyNumberFormat="1" applyFont="1" applyFill="1" applyBorder="1" applyAlignment="1" applyProtection="1">
      <alignment vertical="center"/>
      <protection locked="0"/>
    </xf>
    <xf numFmtId="0" fontId="20" fillId="0" borderId="0" xfId="2" applyFont="1" applyFill="1" applyBorder="1" applyAlignment="1" applyProtection="1">
      <alignment vertical="center"/>
    </xf>
    <xf numFmtId="0" fontId="21" fillId="0" borderId="22" xfId="2" applyFont="1" applyFill="1" applyBorder="1" applyAlignment="1" applyProtection="1">
      <alignment horizontal="left" vertical="center" indent="1"/>
    </xf>
    <xf numFmtId="0" fontId="6" fillId="0" borderId="22" xfId="2" applyFont="1" applyFill="1" applyBorder="1" applyAlignment="1" applyProtection="1">
      <alignment horizontal="left" vertical="center" indent="1"/>
    </xf>
    <xf numFmtId="0" fontId="9" fillId="0" borderId="0" xfId="2" applyFont="1" applyFill="1" applyBorder="1" applyAlignment="1" applyProtection="1">
      <alignment vertical="center"/>
    </xf>
    <xf numFmtId="2" fontId="16" fillId="3" borderId="32" xfId="2" applyNumberFormat="1" applyFont="1" applyFill="1" applyBorder="1" applyAlignment="1" applyProtection="1">
      <alignment vertical="center"/>
      <protection locked="0"/>
    </xf>
    <xf numFmtId="0" fontId="6" fillId="0" borderId="0" xfId="2" applyFont="1" applyFill="1" applyBorder="1" applyAlignment="1" applyProtection="1">
      <alignment horizontal="left" vertical="center" indent="1"/>
    </xf>
    <xf numFmtId="0" fontId="2" fillId="0" borderId="0" xfId="2" applyFill="1" applyBorder="1" applyAlignment="1" applyProtection="1">
      <alignment vertical="center"/>
    </xf>
    <xf numFmtId="0" fontId="9" fillId="0" borderId="1" xfId="2" applyFont="1" applyFill="1" applyBorder="1" applyAlignment="1" applyProtection="1">
      <alignment vertical="center"/>
    </xf>
    <xf numFmtId="1" fontId="2" fillId="0" borderId="0" xfId="2" applyNumberFormat="1" applyFill="1" applyAlignment="1" applyProtection="1">
      <alignment vertical="center"/>
    </xf>
    <xf numFmtId="2" fontId="2" fillId="0" borderId="0" xfId="2" applyNumberFormat="1" applyFill="1" applyAlignment="1" applyProtection="1">
      <alignment vertical="center"/>
    </xf>
    <xf numFmtId="2" fontId="6" fillId="0" borderId="0" xfId="2" applyNumberFormat="1" applyFont="1" applyFill="1" applyAlignment="1" applyProtection="1">
      <alignment vertical="center"/>
    </xf>
    <xf numFmtId="164" fontId="2" fillId="0" borderId="0" xfId="2" applyNumberFormat="1" applyFill="1" applyAlignment="1" applyProtection="1">
      <alignment vertical="center"/>
    </xf>
    <xf numFmtId="164" fontId="6" fillId="0" borderId="0" xfId="2" applyNumberFormat="1" applyFont="1" applyFill="1" applyAlignment="1" applyProtection="1">
      <alignment vertical="center"/>
    </xf>
    <xf numFmtId="2" fontId="6" fillId="0" borderId="0" xfId="2" applyNumberFormat="1" applyFont="1" applyFill="1" applyAlignment="1" applyProtection="1">
      <alignment horizontal="center" vertical="center"/>
      <protection locked="0"/>
    </xf>
    <xf numFmtId="0" fontId="6" fillId="0" borderId="29" xfId="2" applyFont="1" applyFill="1" applyBorder="1" applyAlignment="1" applyProtection="1">
      <alignment horizontal="left" vertical="center"/>
    </xf>
    <xf numFmtId="0" fontId="6" fillId="0" borderId="30" xfId="2" applyFont="1" applyFill="1" applyBorder="1" applyAlignment="1" applyProtection="1">
      <alignment vertical="center"/>
    </xf>
    <xf numFmtId="0" fontId="6" fillId="0" borderId="31" xfId="2" applyFont="1" applyFill="1" applyBorder="1" applyAlignment="1" applyProtection="1">
      <alignment vertical="center"/>
    </xf>
    <xf numFmtId="0" fontId="6" fillId="0" borderId="40" xfId="2" applyFont="1" applyFill="1" applyBorder="1" applyAlignment="1" applyProtection="1">
      <alignment vertical="center"/>
    </xf>
    <xf numFmtId="0" fontId="6" fillId="0" borderId="37" xfId="2" applyFont="1" applyFill="1" applyBorder="1" applyAlignment="1" applyProtection="1">
      <alignment vertical="center"/>
    </xf>
    <xf numFmtId="0" fontId="6" fillId="0" borderId="29" xfId="2" applyFont="1" applyFill="1" applyBorder="1" applyAlignment="1" applyProtection="1">
      <alignment vertical="center"/>
    </xf>
    <xf numFmtId="0" fontId="6" fillId="0" borderId="36" xfId="2" applyFont="1" applyFill="1" applyBorder="1" applyAlignment="1" applyProtection="1">
      <alignment vertical="center"/>
    </xf>
    <xf numFmtId="164" fontId="6" fillId="4" borderId="32" xfId="2" applyNumberFormat="1" applyFont="1" applyFill="1" applyBorder="1" applyAlignment="1" applyProtection="1">
      <alignment vertical="center"/>
    </xf>
    <xf numFmtId="2" fontId="14" fillId="0" borderId="0" xfId="2" applyNumberFormat="1" applyFont="1" applyFill="1" applyBorder="1" applyAlignment="1" applyProtection="1">
      <alignment vertical="center"/>
    </xf>
    <xf numFmtId="1" fontId="12" fillId="0" borderId="0" xfId="2" applyNumberFormat="1" applyFont="1" applyFill="1" applyAlignment="1" applyProtection="1">
      <alignment vertical="center"/>
    </xf>
    <xf numFmtId="2" fontId="12" fillId="0" borderId="36" xfId="2" applyNumberFormat="1" applyFont="1" applyFill="1" applyBorder="1" applyAlignment="1" applyProtection="1">
      <alignment vertical="center"/>
    </xf>
    <xf numFmtId="0" fontId="12" fillId="0" borderId="40" xfId="2" applyFont="1" applyFill="1" applyBorder="1" applyAlignment="1" applyProtection="1">
      <alignment vertical="center"/>
    </xf>
    <xf numFmtId="1" fontId="12" fillId="0" borderId="40" xfId="2" applyNumberFormat="1" applyFont="1" applyFill="1" applyBorder="1" applyAlignment="1" applyProtection="1">
      <alignment vertical="center"/>
    </xf>
    <xf numFmtId="2" fontId="12" fillId="0" borderId="38" xfId="2" applyNumberFormat="1" applyFont="1" applyFill="1" applyBorder="1" applyAlignment="1" applyProtection="1">
      <alignment vertical="center"/>
    </xf>
    <xf numFmtId="0" fontId="12" fillId="0" borderId="0" xfId="2" applyFont="1" applyFill="1" applyBorder="1" applyAlignment="1" applyProtection="1">
      <alignment vertical="center"/>
    </xf>
    <xf numFmtId="1" fontId="12" fillId="0" borderId="0" xfId="2" applyNumberFormat="1" applyFont="1" applyFill="1" applyBorder="1" applyAlignment="1" applyProtection="1">
      <alignment vertical="center"/>
    </xf>
    <xf numFmtId="11" fontId="12" fillId="0" borderId="0" xfId="2" applyNumberFormat="1" applyFont="1" applyFill="1" applyBorder="1" applyAlignment="1" applyProtection="1">
      <alignment vertical="center"/>
    </xf>
    <xf numFmtId="11" fontId="27" fillId="0" borderId="0" xfId="2" applyNumberFormat="1" applyFont="1" applyFill="1" applyBorder="1" applyAlignment="1" applyProtection="1">
      <alignment vertical="center"/>
    </xf>
    <xf numFmtId="168" fontId="12" fillId="0" borderId="0" xfId="2" applyNumberFormat="1" applyFont="1" applyFill="1" applyBorder="1" applyAlignment="1" applyProtection="1">
      <alignment vertical="center"/>
    </xf>
    <xf numFmtId="2" fontId="12" fillId="0" borderId="35" xfId="2" applyNumberFormat="1" applyFont="1" applyFill="1" applyBorder="1" applyAlignment="1" applyProtection="1">
      <alignment vertical="center"/>
    </xf>
    <xf numFmtId="168" fontId="12" fillId="0" borderId="20" xfId="2" applyNumberFormat="1" applyFont="1" applyFill="1" applyBorder="1" applyAlignment="1" applyProtection="1">
      <alignment vertical="center"/>
    </xf>
    <xf numFmtId="0" fontId="2" fillId="0" borderId="0" xfId="0" applyFont="1" applyFill="1"/>
    <xf numFmtId="2" fontId="12" fillId="0" borderId="29" xfId="2" applyNumberFormat="1" applyFont="1" applyFill="1" applyBorder="1" applyAlignment="1" applyProtection="1">
      <alignment vertical="center"/>
    </xf>
    <xf numFmtId="2" fontId="12" fillId="0" borderId="30" xfId="2" applyNumberFormat="1" applyFont="1" applyFill="1" applyBorder="1" applyAlignment="1" applyProtection="1">
      <alignment vertical="center"/>
    </xf>
    <xf numFmtId="0" fontId="17" fillId="0" borderId="0" xfId="2" applyFont="1" applyFill="1" applyBorder="1" applyAlignment="1" applyProtection="1">
      <alignment vertical="center"/>
    </xf>
    <xf numFmtId="0" fontId="25" fillId="0" borderId="0" xfId="2" applyFont="1" applyFill="1" applyAlignment="1" applyProtection="1">
      <alignment vertical="center"/>
    </xf>
    <xf numFmtId="1" fontId="6" fillId="0" borderId="0" xfId="2" applyNumberFormat="1" applyFont="1" applyFill="1" applyAlignment="1" applyProtection="1">
      <alignment vertical="center"/>
    </xf>
    <xf numFmtId="2" fontId="2" fillId="0" borderId="36" xfId="1" applyNumberFormat="1" applyFont="1" applyFill="1" applyBorder="1" applyAlignment="1">
      <alignment vertical="center"/>
    </xf>
    <xf numFmtId="2" fontId="2" fillId="0" borderId="38" xfId="1" applyNumberFormat="1" applyFont="1" applyFill="1" applyBorder="1" applyAlignment="1">
      <alignment vertical="center"/>
    </xf>
    <xf numFmtId="2" fontId="2" fillId="0" borderId="35" xfId="1" applyNumberFormat="1" applyFont="1" applyFill="1" applyBorder="1" applyAlignment="1">
      <alignment vertical="center"/>
    </xf>
    <xf numFmtId="0" fontId="2" fillId="0" borderId="41" xfId="1" applyFont="1" applyFill="1" applyBorder="1" applyAlignment="1">
      <alignment vertical="center"/>
    </xf>
    <xf numFmtId="174" fontId="2" fillId="0" borderId="33" xfId="1" applyNumberFormat="1" applyFont="1" applyFill="1" applyBorder="1" applyAlignment="1">
      <alignment vertical="center"/>
    </xf>
    <xf numFmtId="1" fontId="8" fillId="0" borderId="0" xfId="1" applyNumberFormat="1" applyFont="1" applyFill="1" applyAlignment="1">
      <alignment horizontal="left" vertical="center"/>
    </xf>
    <xf numFmtId="2" fontId="4" fillId="0" borderId="0" xfId="1" applyNumberFormat="1" applyFont="1" applyFill="1" applyAlignment="1">
      <alignment horizontal="center" vertical="center"/>
    </xf>
    <xf numFmtId="0" fontId="4" fillId="0" borderId="0" xfId="1" applyFont="1" applyFill="1" applyAlignment="1">
      <alignment horizontal="center" vertical="center"/>
    </xf>
    <xf numFmtId="2" fontId="6" fillId="0" borderId="29" xfId="2" applyNumberFormat="1" applyFont="1" applyFill="1" applyBorder="1" applyAlignment="1" applyProtection="1">
      <alignment vertical="center"/>
    </xf>
    <xf numFmtId="1" fontId="4" fillId="0" borderId="0" xfId="1" applyNumberFormat="1" applyFont="1" applyFill="1" applyAlignment="1">
      <alignment horizontal="center" vertical="center"/>
    </xf>
    <xf numFmtId="0" fontId="4" fillId="0" borderId="36" xfId="1" applyFont="1" applyFill="1" applyBorder="1" applyAlignment="1">
      <alignment horizontal="center" vertical="center"/>
    </xf>
    <xf numFmtId="0" fontId="4" fillId="0" borderId="37" xfId="1" applyFont="1" applyFill="1" applyBorder="1" applyAlignment="1">
      <alignment horizontal="center" vertical="center"/>
    </xf>
    <xf numFmtId="0" fontId="2" fillId="0" borderId="11" xfId="1" applyFont="1" applyFill="1" applyBorder="1" applyAlignment="1">
      <alignment vertical="center"/>
    </xf>
    <xf numFmtId="165" fontId="2" fillId="0" borderId="38" xfId="1" applyNumberFormat="1" applyFont="1" applyFill="1" applyBorder="1" applyAlignment="1">
      <alignment vertical="center"/>
    </xf>
    <xf numFmtId="1" fontId="2" fillId="0" borderId="36" xfId="1" applyNumberFormat="1" applyFont="1" applyFill="1" applyBorder="1" applyAlignment="1">
      <alignment horizontal="left" vertical="center"/>
    </xf>
    <xf numFmtId="2" fontId="2" fillId="0" borderId="40" xfId="1" applyNumberFormat="1" applyFont="1" applyFill="1" applyBorder="1" applyAlignment="1">
      <alignment horizontal="left" vertical="center"/>
    </xf>
    <xf numFmtId="0" fontId="2" fillId="0" borderId="40" xfId="1" applyFont="1" applyFill="1" applyBorder="1" applyAlignment="1">
      <alignment horizontal="left" vertical="center"/>
    </xf>
    <xf numFmtId="2" fontId="2" fillId="0" borderId="36" xfId="1" applyNumberFormat="1" applyFont="1" applyFill="1" applyBorder="1" applyAlignment="1">
      <alignment horizontal="left" vertical="center"/>
    </xf>
    <xf numFmtId="2" fontId="2" fillId="0" borderId="37" xfId="1" applyNumberFormat="1" applyFont="1" applyFill="1" applyBorder="1" applyAlignment="1">
      <alignment horizontal="left" vertical="center"/>
    </xf>
    <xf numFmtId="1" fontId="2" fillId="0" borderId="38" xfId="1" applyNumberFormat="1" applyFont="1" applyFill="1" applyBorder="1" applyAlignment="1">
      <alignment horizontal="left" vertical="center"/>
    </xf>
    <xf numFmtId="2" fontId="2" fillId="0" borderId="0" xfId="1" applyNumberFormat="1" applyFont="1" applyFill="1" applyBorder="1" applyAlignment="1">
      <alignment horizontal="left" vertical="center"/>
    </xf>
    <xf numFmtId="0" fontId="2" fillId="0" borderId="0" xfId="1" applyFont="1" applyFill="1" applyBorder="1" applyAlignment="1">
      <alignment horizontal="left" vertical="center"/>
    </xf>
    <xf numFmtId="2" fontId="2" fillId="0" borderId="38" xfId="1" applyNumberFormat="1" applyFont="1" applyFill="1" applyBorder="1" applyAlignment="1">
      <alignment horizontal="left" vertical="center"/>
    </xf>
    <xf numFmtId="2" fontId="2" fillId="0" borderId="39" xfId="1" applyNumberFormat="1" applyFont="1" applyFill="1" applyBorder="1" applyAlignment="1">
      <alignment horizontal="left" vertical="center"/>
    </xf>
    <xf numFmtId="2" fontId="7" fillId="0" borderId="0" xfId="1" applyNumberFormat="1" applyFont="1" applyFill="1" applyBorder="1" applyAlignment="1">
      <alignment horizontal="left" vertical="center"/>
    </xf>
    <xf numFmtId="1" fontId="2" fillId="0" borderId="35" xfId="1" applyNumberFormat="1" applyFont="1" applyFill="1" applyBorder="1" applyAlignment="1">
      <alignment horizontal="left" vertical="center"/>
    </xf>
    <xf numFmtId="2" fontId="2" fillId="0" borderId="20" xfId="1" applyNumberFormat="1" applyFont="1" applyFill="1" applyBorder="1" applyAlignment="1">
      <alignment horizontal="left" vertical="center"/>
    </xf>
    <xf numFmtId="2" fontId="7" fillId="0" borderId="20" xfId="1" applyNumberFormat="1" applyFont="1" applyFill="1" applyBorder="1" applyAlignment="1">
      <alignment horizontal="left" vertical="center"/>
    </xf>
    <xf numFmtId="0" fontId="2" fillId="0" borderId="20" xfId="1" applyFont="1" applyFill="1" applyBorder="1" applyAlignment="1">
      <alignment horizontal="left" vertical="center"/>
    </xf>
    <xf numFmtId="2" fontId="2" fillId="0" borderId="35" xfId="1" applyNumberFormat="1" applyFont="1" applyFill="1" applyBorder="1" applyAlignment="1">
      <alignment horizontal="left" vertical="center"/>
    </xf>
    <xf numFmtId="2" fontId="2" fillId="0" borderId="33" xfId="1" applyNumberFormat="1" applyFont="1" applyFill="1" applyBorder="1" applyAlignment="1">
      <alignment horizontal="left" vertical="center"/>
    </xf>
    <xf numFmtId="0" fontId="2" fillId="0" borderId="34" xfId="1" applyFont="1" applyFill="1" applyBorder="1" applyAlignment="1">
      <alignment vertical="center"/>
    </xf>
    <xf numFmtId="165" fontId="2" fillId="0" borderId="35" xfId="1" applyNumberFormat="1" applyFont="1" applyFill="1" applyBorder="1" applyAlignment="1">
      <alignment vertical="center"/>
    </xf>
    <xf numFmtId="0" fontId="2" fillId="0" borderId="36" xfId="2" applyFill="1" applyBorder="1" applyAlignment="1" applyProtection="1">
      <alignment vertical="center"/>
    </xf>
    <xf numFmtId="0" fontId="2" fillId="0" borderId="40" xfId="2" applyFill="1" applyBorder="1" applyAlignment="1" applyProtection="1">
      <alignment vertical="center"/>
    </xf>
    <xf numFmtId="0" fontId="2" fillId="0" borderId="37" xfId="2" applyFill="1" applyBorder="1" applyAlignment="1" applyProtection="1">
      <alignment vertical="center"/>
    </xf>
    <xf numFmtId="10" fontId="2" fillId="0" borderId="40" xfId="2" applyNumberFormat="1" applyFill="1" applyBorder="1" applyAlignment="1" applyProtection="1">
      <alignment vertical="center"/>
    </xf>
    <xf numFmtId="0" fontId="2" fillId="0" borderId="35" xfId="2" applyFill="1" applyBorder="1" applyAlignment="1" applyProtection="1">
      <alignment vertical="center"/>
    </xf>
    <xf numFmtId="10" fontId="2" fillId="0" borderId="20" xfId="2" applyNumberFormat="1" applyFill="1" applyBorder="1" applyAlignment="1" applyProtection="1">
      <alignment vertical="center"/>
    </xf>
    <xf numFmtId="173" fontId="2" fillId="0" borderId="33" xfId="2" applyNumberFormat="1" applyFill="1" applyBorder="1" applyAlignment="1" applyProtection="1">
      <alignment vertical="center"/>
    </xf>
    <xf numFmtId="2" fontId="9" fillId="0" borderId="1" xfId="2" applyNumberFormat="1" applyFont="1" applyFill="1" applyBorder="1" applyAlignment="1" applyProtection="1">
      <alignment vertical="center"/>
    </xf>
    <xf numFmtId="0" fontId="6" fillId="0" borderId="0" xfId="2" applyFont="1" applyFill="1" applyAlignment="1" applyProtection="1">
      <alignment horizontal="center" vertical="center"/>
      <protection locked="0"/>
    </xf>
    <xf numFmtId="164" fontId="6" fillId="0" borderId="0" xfId="2" applyNumberFormat="1" applyFont="1" applyFill="1" applyAlignment="1" applyProtection="1">
      <alignment horizontal="center" vertical="center"/>
      <protection locked="0"/>
    </xf>
    <xf numFmtId="1" fontId="6" fillId="0" borderId="0" xfId="2" applyNumberFormat="1" applyFont="1" applyFill="1" applyAlignment="1" applyProtection="1">
      <alignment horizontal="center" vertical="center"/>
      <protection locked="0"/>
    </xf>
    <xf numFmtId="0" fontId="2" fillId="0" borderId="0" xfId="2" applyFill="1" applyAlignment="1" applyProtection="1">
      <alignment horizontal="center" vertical="center"/>
    </xf>
    <xf numFmtId="164" fontId="2" fillId="0" borderId="0" xfId="2" applyNumberFormat="1" applyFill="1" applyAlignment="1" applyProtection="1">
      <alignment horizontal="center" vertical="center"/>
    </xf>
    <xf numFmtId="2" fontId="2" fillId="0" borderId="0" xfId="2" applyNumberFormat="1" applyFill="1" applyAlignment="1" applyProtection="1">
      <alignment horizontal="center" vertical="center"/>
    </xf>
    <xf numFmtId="0" fontId="2" fillId="0" borderId="32" xfId="0" applyFont="1" applyBorder="1"/>
    <xf numFmtId="2" fontId="6" fillId="0" borderId="1" xfId="2" applyNumberFormat="1" applyFont="1" applyFill="1" applyBorder="1" applyAlignment="1" applyProtection="1">
      <alignment vertical="center"/>
    </xf>
    <xf numFmtId="2" fontId="26" fillId="0" borderId="0" xfId="2" applyNumberFormat="1" applyFont="1" applyFill="1" applyBorder="1" applyAlignment="1" applyProtection="1">
      <alignment vertical="center"/>
    </xf>
    <xf numFmtId="2" fontId="2" fillId="0" borderId="0" xfId="2" applyNumberFormat="1" applyFill="1" applyBorder="1" applyAlignment="1" applyProtection="1">
      <alignment vertical="center"/>
    </xf>
    <xf numFmtId="1" fontId="2" fillId="0" borderId="0" xfId="2" applyNumberFormat="1" applyFill="1" applyBorder="1" applyAlignment="1" applyProtection="1">
      <alignment vertical="center"/>
    </xf>
    <xf numFmtId="2" fontId="9" fillId="0" borderId="0" xfId="2" applyNumberFormat="1" applyFont="1" applyFill="1" applyBorder="1" applyAlignment="1" applyProtection="1">
      <alignment vertical="center"/>
    </xf>
    <xf numFmtId="1" fontId="6" fillId="0" borderId="0" xfId="2" applyNumberFormat="1" applyFont="1" applyFill="1" applyBorder="1" applyAlignment="1" applyProtection="1">
      <alignment vertical="center"/>
    </xf>
    <xf numFmtId="0" fontId="9" fillId="0" borderId="0" xfId="2" applyFont="1" applyFill="1" applyBorder="1" applyAlignment="1" applyProtection="1">
      <alignment horizontal="center" vertical="center"/>
    </xf>
    <xf numFmtId="2" fontId="6" fillId="0" borderId="0" xfId="2" applyNumberFormat="1" applyFont="1" applyFill="1" applyBorder="1" applyAlignment="1" applyProtection="1">
      <alignment horizontal="center" vertical="center"/>
    </xf>
    <xf numFmtId="1" fontId="6" fillId="0" borderId="0" xfId="2" applyNumberFormat="1" applyFont="1" applyFill="1" applyBorder="1" applyAlignment="1" applyProtection="1">
      <alignment horizontal="center" vertical="center"/>
    </xf>
    <xf numFmtId="2" fontId="6" fillId="0" borderId="0" xfId="2" applyNumberFormat="1" applyFont="1" applyFill="1" applyBorder="1" applyAlignment="1" applyProtection="1">
      <alignment horizontal="center" vertical="center"/>
      <protection locked="0"/>
    </xf>
    <xf numFmtId="2" fontId="6" fillId="0" borderId="30" xfId="2" applyNumberFormat="1" applyFont="1" applyFill="1" applyBorder="1" applyAlignment="1" applyProtection="1">
      <alignment vertical="center"/>
    </xf>
    <xf numFmtId="0" fontId="28" fillId="0" borderId="0" xfId="2" applyFont="1" applyFill="1" applyAlignment="1" applyProtection="1">
      <alignment vertical="center"/>
    </xf>
    <xf numFmtId="0" fontId="27" fillId="0" borderId="40" xfId="2" applyFont="1" applyFill="1" applyBorder="1" applyAlignment="1" applyProtection="1">
      <alignment vertical="center"/>
    </xf>
    <xf numFmtId="0" fontId="27" fillId="0" borderId="37" xfId="2" applyFont="1" applyFill="1" applyBorder="1" applyAlignment="1" applyProtection="1">
      <alignment vertical="center"/>
    </xf>
    <xf numFmtId="0" fontId="27" fillId="0" borderId="0" xfId="2" applyFont="1" applyFill="1" applyBorder="1" applyAlignment="1" applyProtection="1">
      <alignment vertical="center"/>
    </xf>
    <xf numFmtId="0" fontId="27" fillId="0" borderId="39" xfId="2" applyFont="1" applyFill="1" applyBorder="1" applyAlignment="1" applyProtection="1">
      <alignment vertical="center"/>
    </xf>
    <xf numFmtId="0" fontId="12" fillId="0" borderId="39" xfId="2" applyFont="1" applyFill="1" applyBorder="1" applyAlignment="1" applyProtection="1">
      <alignment vertical="center"/>
    </xf>
    <xf numFmtId="0" fontId="12" fillId="0" borderId="37" xfId="2" applyFont="1" applyFill="1" applyBorder="1" applyAlignment="1" applyProtection="1">
      <alignment vertical="center"/>
    </xf>
    <xf numFmtId="2" fontId="12" fillId="0" borderId="0" xfId="2" applyNumberFormat="1" applyFont="1" applyFill="1" applyBorder="1" applyAlignment="1" applyProtection="1">
      <alignment vertical="center"/>
    </xf>
    <xf numFmtId="2" fontId="12" fillId="0" borderId="20" xfId="2" applyNumberFormat="1" applyFont="1" applyFill="1" applyBorder="1" applyAlignment="1" applyProtection="1">
      <alignment vertical="center"/>
    </xf>
    <xf numFmtId="0" fontId="12" fillId="0" borderId="20" xfId="2" applyFont="1" applyFill="1" applyBorder="1" applyAlignment="1" applyProtection="1">
      <alignment vertical="center"/>
    </xf>
    <xf numFmtId="0" fontId="12" fillId="0" borderId="33" xfId="2" applyFont="1" applyFill="1" applyBorder="1" applyAlignment="1" applyProtection="1">
      <alignment vertical="center"/>
    </xf>
    <xf numFmtId="0" fontId="12" fillId="0" borderId="30" xfId="2" applyFont="1" applyFill="1" applyBorder="1" applyAlignment="1" applyProtection="1">
      <alignment vertical="center"/>
    </xf>
    <xf numFmtId="0" fontId="16" fillId="0" borderId="30" xfId="2" applyFont="1" applyFill="1" applyBorder="1" applyAlignment="1" applyProtection="1">
      <alignment vertical="center"/>
      <protection locked="0"/>
    </xf>
    <xf numFmtId="1" fontId="16" fillId="3" borderId="29" xfId="2" applyNumberFormat="1" applyFont="1" applyFill="1" applyBorder="1" applyAlignment="1" applyProtection="1">
      <alignment vertical="center"/>
      <protection locked="0"/>
    </xf>
    <xf numFmtId="1" fontId="16" fillId="3" borderId="30" xfId="2" applyNumberFormat="1" applyFont="1" applyFill="1" applyBorder="1" applyAlignment="1" applyProtection="1">
      <alignment vertical="center"/>
      <protection locked="0"/>
    </xf>
    <xf numFmtId="1" fontId="16" fillId="3" borderId="31" xfId="2" applyNumberFormat="1" applyFont="1" applyFill="1" applyBorder="1" applyAlignment="1" applyProtection="1">
      <alignment vertical="center"/>
      <protection locked="0"/>
    </xf>
    <xf numFmtId="1" fontId="16" fillId="0" borderId="30" xfId="2" applyNumberFormat="1" applyFont="1" applyFill="1" applyBorder="1" applyAlignment="1" applyProtection="1">
      <alignment vertical="center"/>
    </xf>
    <xf numFmtId="0" fontId="29" fillId="0" borderId="35" xfId="2" applyFont="1" applyFill="1" applyBorder="1" applyAlignment="1" applyProtection="1">
      <alignment vertical="center"/>
    </xf>
    <xf numFmtId="0" fontId="29" fillId="0" borderId="20" xfId="2" applyFont="1" applyFill="1" applyBorder="1" applyAlignment="1" applyProtection="1">
      <alignment vertical="center"/>
    </xf>
    <xf numFmtId="0" fontId="29" fillId="0" borderId="30" xfId="2" applyFont="1" applyFill="1" applyBorder="1" applyAlignment="1" applyProtection="1">
      <alignment vertical="center"/>
      <protection locked="0"/>
    </xf>
    <xf numFmtId="0" fontId="29" fillId="0" borderId="33" xfId="2" applyFont="1" applyFill="1" applyBorder="1" applyAlignment="1" applyProtection="1">
      <alignment vertical="center"/>
    </xf>
    <xf numFmtId="167" fontId="15" fillId="3" borderId="32" xfId="2" applyNumberFormat="1" applyFont="1" applyFill="1" applyBorder="1" applyAlignment="1" applyProtection="1">
      <alignment vertical="center"/>
      <protection locked="0"/>
    </xf>
    <xf numFmtId="0" fontId="6" fillId="0" borderId="32" xfId="2" applyFont="1" applyFill="1" applyBorder="1" applyAlignment="1" applyProtection="1">
      <alignment vertical="center"/>
    </xf>
    <xf numFmtId="10" fontId="6" fillId="4" borderId="30" xfId="2" applyNumberFormat="1" applyFont="1" applyFill="1" applyBorder="1" applyAlignment="1" applyProtection="1">
      <alignment vertical="center"/>
    </xf>
    <xf numFmtId="0" fontId="19" fillId="3" borderId="32" xfId="2" applyFont="1" applyFill="1" applyBorder="1" applyAlignment="1" applyProtection="1">
      <alignment horizontal="center" vertical="center"/>
      <protection locked="0"/>
    </xf>
    <xf numFmtId="0" fontId="6" fillId="0" borderId="35" xfId="2" applyFont="1" applyFill="1" applyBorder="1" applyAlignment="1" applyProtection="1">
      <alignment horizontal="center" vertical="center"/>
    </xf>
    <xf numFmtId="0" fontId="6" fillId="0" borderId="29" xfId="2" applyFont="1" applyFill="1" applyBorder="1" applyAlignment="1" applyProtection="1">
      <alignment horizontal="center" vertical="center"/>
    </xf>
    <xf numFmtId="0" fontId="6" fillId="0" borderId="41" xfId="2" applyFont="1" applyFill="1" applyBorder="1" applyAlignment="1" applyProtection="1">
      <alignment vertical="center"/>
    </xf>
    <xf numFmtId="0" fontId="6" fillId="0" borderId="30" xfId="2" applyFont="1" applyFill="1" applyBorder="1" applyAlignment="1" applyProtection="1">
      <alignment horizontal="center" vertical="center"/>
    </xf>
    <xf numFmtId="0" fontId="6" fillId="0" borderId="29" xfId="2" applyFont="1" applyFill="1" applyBorder="1" applyAlignment="1" applyProtection="1">
      <alignment horizontal="left" vertical="center" indent="1"/>
    </xf>
    <xf numFmtId="172" fontId="6" fillId="0" borderId="30" xfId="2" applyNumberFormat="1" applyFont="1" applyFill="1" applyBorder="1" applyAlignment="1" applyProtection="1">
      <alignment vertical="center"/>
    </xf>
    <xf numFmtId="0" fontId="6" fillId="0" borderId="30" xfId="2" applyFont="1" applyFill="1" applyBorder="1" applyAlignment="1" applyProtection="1">
      <alignment horizontal="right" vertical="center"/>
    </xf>
    <xf numFmtId="0" fontId="16" fillId="0" borderId="32" xfId="2" applyFont="1" applyFill="1" applyBorder="1" applyAlignment="1" applyProtection="1">
      <alignment vertical="center"/>
    </xf>
    <xf numFmtId="0" fontId="9" fillId="0" borderId="29" xfId="2" applyFont="1" applyFill="1" applyBorder="1" applyAlignment="1" applyProtection="1">
      <alignment horizontal="left" vertical="center"/>
    </xf>
    <xf numFmtId="167" fontId="6" fillId="0" borderId="32" xfId="2" applyNumberFormat="1" applyFont="1" applyFill="1" applyBorder="1" applyAlignment="1" applyProtection="1">
      <alignment vertical="center"/>
    </xf>
    <xf numFmtId="174" fontId="6" fillId="0" borderId="32" xfId="2" applyNumberFormat="1" applyFont="1" applyFill="1" applyBorder="1" applyAlignment="1" applyProtection="1">
      <alignment vertical="center"/>
    </xf>
    <xf numFmtId="173" fontId="6" fillId="0" borderId="32" xfId="2" applyNumberFormat="1" applyFont="1" applyFill="1" applyBorder="1" applyAlignment="1" applyProtection="1">
      <alignment vertical="center"/>
    </xf>
    <xf numFmtId="175" fontId="6" fillId="0" borderId="32" xfId="2" applyNumberFormat="1" applyFont="1" applyFill="1" applyBorder="1" applyAlignment="1" applyProtection="1">
      <alignment vertical="center"/>
    </xf>
    <xf numFmtId="2" fontId="31" fillId="0" borderId="29" xfId="2" applyNumberFormat="1" applyFont="1" applyFill="1" applyBorder="1" applyAlignment="1" applyProtection="1">
      <alignment vertical="center"/>
    </xf>
    <xf numFmtId="0" fontId="22" fillId="3" borderId="32" xfId="2" applyFont="1" applyFill="1" applyBorder="1" applyAlignment="1" applyProtection="1">
      <alignment horizontal="right" vertical="center"/>
      <protection locked="0"/>
    </xf>
    <xf numFmtId="2" fontId="6" fillId="0" borderId="0" xfId="2" applyNumberFormat="1" applyFont="1" applyFill="1" applyAlignment="1" applyProtection="1">
      <alignment horizontal="right" vertical="center"/>
      <protection locked="0"/>
    </xf>
    <xf numFmtId="2" fontId="6" fillId="0" borderId="31" xfId="2" applyNumberFormat="1" applyFont="1" applyFill="1" applyBorder="1" applyAlignment="1" applyProtection="1">
      <alignment vertical="center"/>
    </xf>
    <xf numFmtId="164" fontId="6" fillId="0" borderId="32" xfId="2" applyNumberFormat="1" applyFont="1" applyFill="1" applyBorder="1" applyAlignment="1" applyProtection="1">
      <alignment vertical="center"/>
    </xf>
    <xf numFmtId="0" fontId="9" fillId="0" borderId="0" xfId="2" applyFont="1" applyFill="1" applyBorder="1" applyAlignment="1" applyProtection="1">
      <alignment horizontal="center" vertical="center"/>
    </xf>
    <xf numFmtId="165" fontId="2" fillId="0" borderId="0" xfId="1" applyNumberFormat="1" applyFont="1" applyFill="1" applyBorder="1" applyAlignment="1">
      <alignment vertical="center"/>
    </xf>
    <xf numFmtId="165" fontId="2" fillId="0" borderId="11" xfId="1" applyNumberFormat="1" applyFont="1" applyFill="1" applyBorder="1" applyAlignment="1">
      <alignment vertical="center"/>
    </xf>
    <xf numFmtId="2" fontId="2" fillId="0" borderId="34" xfId="1" applyNumberFormat="1" applyFont="1" applyFill="1" applyBorder="1" applyAlignment="1">
      <alignment vertical="center"/>
    </xf>
    <xf numFmtId="173" fontId="2" fillId="0" borderId="37" xfId="2" applyNumberFormat="1" applyFill="1" applyBorder="1" applyAlignment="1" applyProtection="1">
      <alignment vertical="center"/>
    </xf>
    <xf numFmtId="0" fontId="8" fillId="0" borderId="17" xfId="2" applyFont="1" applyFill="1" applyBorder="1" applyAlignment="1" applyProtection="1">
      <alignment horizontal="center" vertical="center"/>
    </xf>
    <xf numFmtId="2" fontId="33" fillId="0" borderId="0" xfId="2" applyNumberFormat="1" applyFont="1" applyFill="1" applyAlignment="1" applyProtection="1">
      <alignment vertical="center"/>
    </xf>
    <xf numFmtId="2" fontId="34" fillId="0" borderId="1" xfId="2" applyNumberFormat="1" applyFont="1" applyFill="1" applyBorder="1" applyAlignment="1" applyProtection="1">
      <alignment vertical="center"/>
    </xf>
    <xf numFmtId="2" fontId="35" fillId="0" borderId="17" xfId="2" applyNumberFormat="1" applyFont="1" applyFill="1" applyBorder="1" applyAlignment="1" applyProtection="1">
      <alignment horizontal="center" vertical="center"/>
    </xf>
    <xf numFmtId="174" fontId="2" fillId="0" borderId="39" xfId="1" applyNumberFormat="1" applyFont="1" applyFill="1" applyBorder="1" applyAlignment="1">
      <alignment vertical="center"/>
    </xf>
    <xf numFmtId="169" fontId="6" fillId="0" borderId="32" xfId="2" applyNumberFormat="1" applyFont="1" applyFill="1" applyBorder="1" applyAlignment="1" applyProtection="1">
      <alignment vertical="center"/>
    </xf>
    <xf numFmtId="170" fontId="6" fillId="0" borderId="29" xfId="2" applyNumberFormat="1" applyFont="1" applyFill="1" applyBorder="1" applyAlignment="1" applyProtection="1">
      <alignment vertical="center"/>
    </xf>
    <xf numFmtId="170" fontId="6" fillId="0" borderId="35" xfId="2" applyNumberFormat="1" applyFont="1" applyFill="1" applyBorder="1" applyAlignment="1" applyProtection="1">
      <alignment vertical="center"/>
    </xf>
    <xf numFmtId="169" fontId="6" fillId="0" borderId="34" xfId="2" applyNumberFormat="1" applyFont="1" applyFill="1" applyBorder="1" applyAlignment="1" applyProtection="1">
      <alignment vertical="center"/>
    </xf>
    <xf numFmtId="170" fontId="29" fillId="0" borderId="35" xfId="2" applyNumberFormat="1" applyFont="1" applyFill="1" applyBorder="1" applyAlignment="1" applyProtection="1">
      <alignment vertical="center"/>
    </xf>
    <xf numFmtId="169" fontId="29" fillId="0" borderId="34" xfId="2" applyNumberFormat="1" applyFont="1" applyFill="1" applyBorder="1" applyAlignment="1" applyProtection="1">
      <alignment vertical="center"/>
    </xf>
    <xf numFmtId="2" fontId="33" fillId="0" borderId="42" xfId="2" applyNumberFormat="1" applyFont="1" applyFill="1" applyBorder="1" applyAlignment="1" applyProtection="1">
      <alignment horizontal="center" vertical="center"/>
    </xf>
    <xf numFmtId="2" fontId="2" fillId="0" borderId="42" xfId="2" applyNumberFormat="1" applyFill="1" applyBorder="1" applyAlignment="1" applyProtection="1">
      <alignment horizontal="center" vertical="center"/>
    </xf>
    <xf numFmtId="165" fontId="2" fillId="0" borderId="0" xfId="0" applyNumberFormat="1" applyFont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168" fontId="12" fillId="5" borderId="20" xfId="2" applyNumberFormat="1" applyFont="1" applyFill="1" applyBorder="1" applyAlignment="1" applyProtection="1">
      <alignment vertical="center"/>
    </xf>
    <xf numFmtId="0" fontId="2" fillId="0" borderId="4" xfId="0" applyFont="1" applyBorder="1" applyAlignment="1">
      <alignment horizontal="center" vertical="center"/>
    </xf>
    <xf numFmtId="0" fontId="2" fillId="6" borderId="32" xfId="0" applyFont="1" applyFill="1" applyBorder="1"/>
    <xf numFmtId="0" fontId="0" fillId="6" borderId="0" xfId="0" applyFill="1"/>
    <xf numFmtId="2" fontId="2" fillId="0" borderId="4" xfId="0" applyNumberFormat="1" applyFont="1" applyBorder="1" applyAlignment="1">
      <alignment horizontal="center" vertical="center"/>
    </xf>
    <xf numFmtId="0" fontId="27" fillId="0" borderId="0" xfId="2" applyFont="1" applyFill="1" applyAlignment="1" applyProtection="1">
      <alignment vertical="center"/>
    </xf>
    <xf numFmtId="0" fontId="2" fillId="0" borderId="2" xfId="0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165" fontId="2" fillId="0" borderId="0" xfId="0" applyNumberFormat="1" applyFont="1" applyAlignment="1">
      <alignment vertical="center"/>
    </xf>
    <xf numFmtId="166" fontId="2" fillId="0" borderId="0" xfId="0" applyNumberFormat="1" applyFont="1" applyAlignment="1">
      <alignment vertical="center"/>
    </xf>
    <xf numFmtId="165" fontId="2" fillId="0" borderId="5" xfId="0" applyNumberFormat="1" applyFont="1" applyBorder="1" applyAlignment="1">
      <alignment horizontal="center" vertical="center"/>
    </xf>
    <xf numFmtId="2" fontId="6" fillId="4" borderId="32" xfId="2" applyNumberFormat="1" applyFont="1" applyFill="1" applyBorder="1" applyAlignment="1" applyProtection="1">
      <alignment vertical="center"/>
    </xf>
    <xf numFmtId="165" fontId="6" fillId="4" borderId="29" xfId="2" applyNumberFormat="1" applyFont="1" applyFill="1" applyBorder="1" applyAlignment="1" applyProtection="1">
      <alignment vertical="center"/>
    </xf>
    <xf numFmtId="165" fontId="6" fillId="4" borderId="30" xfId="2" applyNumberFormat="1" applyFont="1" applyFill="1" applyBorder="1" applyAlignment="1" applyProtection="1">
      <alignment vertical="center"/>
    </xf>
    <xf numFmtId="165" fontId="6" fillId="4" borderId="31" xfId="2" applyNumberFormat="1" applyFont="1" applyFill="1" applyBorder="1" applyAlignment="1" applyProtection="1">
      <alignment vertical="center"/>
    </xf>
    <xf numFmtId="167" fontId="6" fillId="4" borderId="32" xfId="2" applyNumberFormat="1" applyFont="1" applyFill="1" applyBorder="1" applyAlignment="1" applyProtection="1">
      <alignment vertical="center"/>
    </xf>
    <xf numFmtId="173" fontId="6" fillId="4" borderId="32" xfId="2" applyNumberFormat="1" applyFont="1" applyFill="1" applyBorder="1" applyAlignment="1" applyProtection="1">
      <alignment vertical="center"/>
    </xf>
    <xf numFmtId="175" fontId="6" fillId="4" borderId="32" xfId="2" applyNumberFormat="1" applyFont="1" applyFill="1" applyBorder="1" applyAlignment="1" applyProtection="1">
      <alignment vertical="center"/>
    </xf>
    <xf numFmtId="0" fontId="18" fillId="0" borderId="43" xfId="2" applyFont="1" applyFill="1" applyBorder="1" applyAlignment="1" applyProtection="1">
      <alignment vertical="center"/>
    </xf>
    <xf numFmtId="2" fontId="47" fillId="0" borderId="0" xfId="2" applyNumberFormat="1" applyFont="1" applyFill="1" applyAlignment="1" applyProtection="1">
      <alignment vertical="center"/>
    </xf>
    <xf numFmtId="0" fontId="30" fillId="0" borderId="0" xfId="2" applyFont="1" applyFill="1" applyAlignment="1" applyProtection="1">
      <alignment vertical="center"/>
    </xf>
    <xf numFmtId="174" fontId="2" fillId="0" borderId="32" xfId="1" applyNumberFormat="1" applyFont="1" applyFill="1" applyBorder="1" applyAlignment="1">
      <alignment vertical="center"/>
    </xf>
    <xf numFmtId="174" fontId="8" fillId="0" borderId="32" xfId="1" applyNumberFormat="1" applyFont="1" applyFill="1" applyBorder="1" applyAlignment="1">
      <alignment vertical="center"/>
    </xf>
    <xf numFmtId="1" fontId="2" fillId="0" borderId="32" xfId="1" applyNumberFormat="1" applyFont="1" applyFill="1" applyBorder="1" applyAlignment="1">
      <alignment horizontal="center" vertical="center"/>
    </xf>
    <xf numFmtId="0" fontId="6" fillId="0" borderId="32" xfId="2" applyFont="1" applyFill="1" applyBorder="1" applyAlignment="1" applyProtection="1">
      <alignment horizontal="center" vertical="center"/>
    </xf>
    <xf numFmtId="174" fontId="6" fillId="4" borderId="32" xfId="2" applyNumberFormat="1" applyFont="1" applyFill="1" applyBorder="1" applyAlignment="1" applyProtection="1">
      <alignment vertical="center"/>
    </xf>
    <xf numFmtId="0" fontId="36" fillId="0" borderId="0" xfId="2" applyFont="1" applyFill="1" applyAlignment="1" applyProtection="1">
      <alignment vertical="center"/>
    </xf>
    <xf numFmtId="2" fontId="2" fillId="0" borderId="33" xfId="1" applyNumberFormat="1" applyFont="1" applyFill="1" applyBorder="1" applyAlignment="1">
      <alignment vertical="center"/>
    </xf>
    <xf numFmtId="164" fontId="6" fillId="0" borderId="31" xfId="2" applyNumberFormat="1" applyFont="1" applyFill="1" applyBorder="1" applyAlignment="1" applyProtection="1">
      <alignment vertical="center"/>
    </xf>
    <xf numFmtId="167" fontId="6" fillId="5" borderId="44" xfId="2" applyNumberFormat="1" applyFont="1" applyFill="1" applyBorder="1" applyAlignment="1" applyProtection="1">
      <alignment vertical="center"/>
    </xf>
    <xf numFmtId="164" fontId="6" fillId="0" borderId="44" xfId="2" applyNumberFormat="1" applyFont="1" applyFill="1" applyBorder="1" applyAlignment="1" applyProtection="1">
      <alignment vertical="center"/>
    </xf>
    <xf numFmtId="174" fontId="2" fillId="0" borderId="44" xfId="1" applyNumberFormat="1" applyFont="1" applyFill="1" applyBorder="1" applyAlignment="1">
      <alignment vertical="center"/>
    </xf>
    <xf numFmtId="0" fontId="6" fillId="0" borderId="44" xfId="2" applyFont="1" applyFill="1" applyBorder="1" applyAlignment="1" applyProtection="1">
      <alignment horizontal="center" vertical="center"/>
    </xf>
    <xf numFmtId="165" fontId="2" fillId="0" borderId="46" xfId="1" applyNumberFormat="1" applyFont="1" applyFill="1" applyBorder="1" applyAlignment="1">
      <alignment vertical="center"/>
    </xf>
    <xf numFmtId="165" fontId="2" fillId="0" borderId="47" xfId="1" applyNumberFormat="1" applyFont="1" applyFill="1" applyBorder="1" applyAlignment="1">
      <alignment vertical="center"/>
    </xf>
    <xf numFmtId="0" fontId="6" fillId="0" borderId="48" xfId="2" applyFont="1" applyFill="1" applyBorder="1" applyAlignment="1" applyProtection="1">
      <alignment vertical="center"/>
    </xf>
    <xf numFmtId="164" fontId="6" fillId="0" borderId="49" xfId="2" applyNumberFormat="1" applyFont="1" applyFill="1" applyBorder="1" applyAlignment="1" applyProtection="1">
      <alignment vertical="center"/>
    </xf>
    <xf numFmtId="174" fontId="2" fillId="0" borderId="49" xfId="1" applyNumberFormat="1" applyFont="1" applyFill="1" applyBorder="1" applyAlignment="1">
      <alignment vertical="center"/>
    </xf>
    <xf numFmtId="0" fontId="6" fillId="0" borderId="49" xfId="2" applyFont="1" applyFill="1" applyBorder="1" applyAlignment="1" applyProtection="1">
      <alignment horizontal="center" vertical="center"/>
    </xf>
    <xf numFmtId="165" fontId="2" fillId="0" borderId="48" xfId="1" applyNumberFormat="1" applyFont="1" applyFill="1" applyBorder="1" applyAlignment="1">
      <alignment vertical="center"/>
    </xf>
    <xf numFmtId="165" fontId="2" fillId="0" borderId="51" xfId="1" applyNumberFormat="1" applyFont="1" applyFill="1" applyBorder="1" applyAlignment="1">
      <alignment vertical="center"/>
    </xf>
    <xf numFmtId="0" fontId="6" fillId="0" borderId="50" xfId="2" applyFont="1" applyFill="1" applyBorder="1" applyAlignment="1" applyProtection="1">
      <alignment vertical="center"/>
    </xf>
    <xf numFmtId="2" fontId="2" fillId="0" borderId="39" xfId="1" applyNumberFormat="1" applyFont="1" applyFill="1" applyBorder="1" applyAlignment="1">
      <alignment vertical="center"/>
    </xf>
    <xf numFmtId="2" fontId="32" fillId="0" borderId="39" xfId="1" applyNumberFormat="1" applyFont="1" applyFill="1" applyBorder="1" applyAlignment="1">
      <alignment vertical="center"/>
    </xf>
    <xf numFmtId="164" fontId="6" fillId="0" borderId="52" xfId="2" applyNumberFormat="1" applyFont="1" applyFill="1" applyBorder="1" applyAlignment="1" applyProtection="1">
      <alignment vertical="center"/>
    </xf>
    <xf numFmtId="164" fontId="6" fillId="0" borderId="51" xfId="2" applyNumberFormat="1" applyFont="1" applyFill="1" applyBorder="1" applyAlignment="1" applyProtection="1">
      <alignment vertical="center"/>
    </xf>
    <xf numFmtId="164" fontId="6" fillId="0" borderId="53" xfId="2" applyNumberFormat="1" applyFont="1" applyFill="1" applyBorder="1" applyAlignment="1" applyProtection="1">
      <alignment vertical="center"/>
    </xf>
    <xf numFmtId="2" fontId="6" fillId="0" borderId="49" xfId="2" applyNumberFormat="1" applyFont="1" applyFill="1" applyBorder="1" applyAlignment="1" applyProtection="1">
      <alignment horizontal="center" vertical="center"/>
    </xf>
    <xf numFmtId="0" fontId="6" fillId="0" borderId="49" xfId="2" applyFont="1" applyFill="1" applyBorder="1" applyAlignment="1" applyProtection="1">
      <alignment vertical="center"/>
    </xf>
    <xf numFmtId="0" fontId="36" fillId="0" borderId="0" xfId="2" applyFont="1" applyFill="1" applyAlignment="1" applyProtection="1">
      <alignment horizontal="center" vertical="center"/>
    </xf>
    <xf numFmtId="0" fontId="47" fillId="0" borderId="0" xfId="2" applyFont="1" applyFill="1" applyAlignment="1" applyProtection="1">
      <alignment vertical="center"/>
    </xf>
    <xf numFmtId="1" fontId="47" fillId="0" borderId="0" xfId="2" applyNumberFormat="1" applyFont="1" applyFill="1" applyBorder="1" applyAlignment="1" applyProtection="1">
      <alignment vertical="center"/>
    </xf>
    <xf numFmtId="0" fontId="47" fillId="0" borderId="0" xfId="2" applyFont="1" applyFill="1" applyBorder="1" applyAlignment="1" applyProtection="1">
      <alignment vertical="center"/>
    </xf>
    <xf numFmtId="165" fontId="49" fillId="0" borderId="0" xfId="1" applyNumberFormat="1" applyFont="1" applyFill="1" applyBorder="1" applyAlignment="1">
      <alignment vertical="center"/>
    </xf>
    <xf numFmtId="165" fontId="48" fillId="0" borderId="32" xfId="1" applyNumberFormat="1" applyFont="1" applyFill="1" applyBorder="1" applyAlignment="1">
      <alignment vertical="center"/>
    </xf>
    <xf numFmtId="0" fontId="2" fillId="0" borderId="55" xfId="1" applyFont="1" applyFill="1" applyBorder="1" applyAlignment="1">
      <alignment vertical="center"/>
    </xf>
    <xf numFmtId="0" fontId="2" fillId="0" borderId="49" xfId="1" applyFont="1" applyFill="1" applyBorder="1" applyAlignment="1">
      <alignment vertical="center"/>
    </xf>
    <xf numFmtId="0" fontId="6" fillId="0" borderId="56" xfId="2" applyFont="1" applyFill="1" applyBorder="1" applyAlignment="1" applyProtection="1">
      <alignment horizontal="center" vertical="center"/>
    </xf>
    <xf numFmtId="167" fontId="2" fillId="0" borderId="0" xfId="3" applyNumberFormat="1" applyFont="1" applyFill="1" applyAlignment="1" applyProtection="1">
      <alignment vertical="center"/>
    </xf>
    <xf numFmtId="167" fontId="6" fillId="0" borderId="0" xfId="3" applyNumberFormat="1" applyFont="1" applyFill="1" applyAlignment="1" applyProtection="1">
      <alignment vertical="center"/>
    </xf>
    <xf numFmtId="167" fontId="6" fillId="0" borderId="0" xfId="3" applyNumberFormat="1" applyFont="1" applyFill="1" applyAlignment="1" applyProtection="1">
      <alignment horizontal="right" vertical="center"/>
      <protection locked="0"/>
    </xf>
    <xf numFmtId="0" fontId="9" fillId="0" borderId="57" xfId="2" applyFont="1" applyFill="1" applyBorder="1" applyAlignment="1" applyProtection="1">
      <alignment vertical="center"/>
    </xf>
    <xf numFmtId="0" fontId="6" fillId="0" borderId="58" xfId="2" applyFont="1" applyFill="1" applyBorder="1" applyAlignment="1" applyProtection="1">
      <alignment vertical="center"/>
    </xf>
    <xf numFmtId="176" fontId="6" fillId="0" borderId="58" xfId="2" applyNumberFormat="1" applyFont="1" applyFill="1" applyBorder="1" applyAlignment="1" applyProtection="1">
      <alignment vertical="center"/>
    </xf>
    <xf numFmtId="0" fontId="6" fillId="0" borderId="58" xfId="2" applyFont="1" applyFill="1" applyBorder="1" applyAlignment="1" applyProtection="1">
      <alignment horizontal="right" vertical="center"/>
    </xf>
    <xf numFmtId="0" fontId="16" fillId="3" borderId="59" xfId="2" applyFont="1" applyFill="1" applyBorder="1" applyAlignment="1" applyProtection="1">
      <alignment vertical="center"/>
      <protection locked="0"/>
    </xf>
    <xf numFmtId="0" fontId="6" fillId="0" borderId="60" xfId="2" applyFont="1" applyFill="1" applyBorder="1" applyAlignment="1" applyProtection="1">
      <alignment vertical="center"/>
    </xf>
    <xf numFmtId="0" fontId="6" fillId="0" borderId="61" xfId="2" applyFont="1" applyFill="1" applyBorder="1" applyAlignment="1" applyProtection="1">
      <alignment horizontal="left" vertical="center" indent="1"/>
    </xf>
    <xf numFmtId="0" fontId="6" fillId="0" borderId="62" xfId="2" applyFont="1" applyFill="1" applyBorder="1" applyAlignment="1" applyProtection="1">
      <alignment vertical="center"/>
    </xf>
    <xf numFmtId="164" fontId="16" fillId="3" borderId="63" xfId="2" applyNumberFormat="1" applyFont="1" applyFill="1" applyBorder="1" applyAlignment="1" applyProtection="1">
      <alignment horizontal="right" vertical="center"/>
      <protection locked="0"/>
    </xf>
    <xf numFmtId="0" fontId="6" fillId="0" borderId="62" xfId="2" applyFont="1" applyFill="1" applyBorder="1" applyAlignment="1" applyProtection="1">
      <alignment horizontal="right" vertical="center"/>
    </xf>
    <xf numFmtId="164" fontId="16" fillId="3" borderId="63" xfId="2" applyNumberFormat="1" applyFont="1" applyFill="1" applyBorder="1" applyAlignment="1" applyProtection="1">
      <alignment vertical="center"/>
      <protection locked="0"/>
    </xf>
    <xf numFmtId="0" fontId="6" fillId="0" borderId="64" xfId="2" applyFont="1" applyFill="1" applyBorder="1" applyAlignment="1" applyProtection="1">
      <alignment vertical="center"/>
    </xf>
    <xf numFmtId="2" fontId="16" fillId="3" borderId="59" xfId="2" applyNumberFormat="1" applyFont="1" applyFill="1" applyBorder="1" applyAlignment="1" applyProtection="1">
      <alignment vertical="center"/>
      <protection locked="0"/>
    </xf>
    <xf numFmtId="173" fontId="16" fillId="3" borderId="32" xfId="2" applyNumberFormat="1" applyFont="1" applyFill="1" applyBorder="1" applyAlignment="1" applyProtection="1">
      <alignment vertical="center"/>
      <protection locked="0"/>
    </xf>
    <xf numFmtId="0" fontId="6" fillId="0" borderId="38" xfId="2" applyFont="1" applyFill="1" applyBorder="1" applyAlignment="1" applyProtection="1">
      <alignment vertical="center"/>
    </xf>
    <xf numFmtId="180" fontId="16" fillId="3" borderId="32" xfId="2" applyNumberFormat="1" applyFont="1" applyFill="1" applyBorder="1" applyAlignment="1" applyProtection="1">
      <alignment vertical="center"/>
      <protection locked="0"/>
    </xf>
    <xf numFmtId="173" fontId="6" fillId="4" borderId="32" xfId="3" applyNumberFormat="1" applyFont="1" applyFill="1" applyBorder="1" applyAlignment="1" applyProtection="1">
      <alignment vertical="center"/>
    </xf>
    <xf numFmtId="172" fontId="16" fillId="3" borderId="34" xfId="2" applyNumberFormat="1" applyFont="1" applyFill="1" applyBorder="1" applyAlignment="1" applyProtection="1">
      <alignment vertical="center"/>
      <protection locked="0"/>
    </xf>
    <xf numFmtId="174" fontId="16" fillId="3" borderId="32" xfId="2" applyNumberFormat="1" applyFont="1" applyFill="1" applyBorder="1" applyAlignment="1" applyProtection="1">
      <alignment vertical="center"/>
      <protection locked="0"/>
    </xf>
    <xf numFmtId="0" fontId="30" fillId="0" borderId="0" xfId="2" applyFont="1" applyFill="1" applyBorder="1" applyAlignment="1" applyProtection="1">
      <alignment vertical="center"/>
    </xf>
    <xf numFmtId="2" fontId="49" fillId="0" borderId="0" xfId="2" applyNumberFormat="1" applyFont="1" applyFill="1" applyAlignment="1" applyProtection="1">
      <alignment vertical="center"/>
    </xf>
    <xf numFmtId="1" fontId="49" fillId="0" borderId="0" xfId="2" applyNumberFormat="1" applyFont="1" applyFill="1" applyAlignment="1" applyProtection="1">
      <alignment vertical="center"/>
    </xf>
    <xf numFmtId="174" fontId="30" fillId="0" borderId="30" xfId="2" applyNumberFormat="1" applyFont="1" applyFill="1" applyBorder="1" applyAlignment="1" applyProtection="1">
      <alignment vertical="center"/>
    </xf>
    <xf numFmtId="174" fontId="30" fillId="0" borderId="31" xfId="2" applyNumberFormat="1" applyFont="1" applyFill="1" applyBorder="1" applyAlignment="1" applyProtection="1">
      <alignment vertical="center"/>
    </xf>
    <xf numFmtId="179" fontId="16" fillId="3" borderId="29" xfId="2" applyNumberFormat="1" applyFont="1" applyFill="1" applyBorder="1" applyAlignment="1" applyProtection="1">
      <alignment vertical="center"/>
      <protection locked="0"/>
    </xf>
    <xf numFmtId="169" fontId="6" fillId="0" borderId="20" xfId="2" applyNumberFormat="1" applyFont="1" applyFill="1" applyBorder="1" applyAlignment="1" applyProtection="1">
      <alignment vertical="center"/>
    </xf>
    <xf numFmtId="2" fontId="16" fillId="3" borderId="63" xfId="2" applyNumberFormat="1" applyFont="1" applyFill="1" applyBorder="1" applyAlignment="1" applyProtection="1">
      <alignment vertical="center"/>
      <protection locked="0"/>
    </xf>
    <xf numFmtId="0" fontId="16" fillId="3" borderId="63" xfId="2" applyFont="1" applyFill="1" applyBorder="1" applyAlignment="1" applyProtection="1">
      <alignment vertical="center"/>
      <protection locked="0"/>
    </xf>
    <xf numFmtId="0" fontId="9" fillId="0" borderId="29" xfId="2" applyFont="1" applyFill="1" applyBorder="1" applyAlignment="1" applyProtection="1">
      <alignment vertical="center"/>
    </xf>
    <xf numFmtId="171" fontId="6" fillId="0" borderId="30" xfId="2" applyNumberFormat="1" applyFont="1" applyFill="1" applyBorder="1" applyAlignment="1" applyProtection="1">
      <alignment vertical="center"/>
    </xf>
    <xf numFmtId="0" fontId="14" fillId="2" borderId="65" xfId="2" applyFont="1" applyFill="1" applyBorder="1" applyAlignment="1" applyProtection="1">
      <alignment vertical="center"/>
    </xf>
    <xf numFmtId="0" fontId="14" fillId="2" borderId="42" xfId="2" applyFont="1" applyFill="1" applyBorder="1" applyAlignment="1" applyProtection="1">
      <alignment vertical="center"/>
    </xf>
    <xf numFmtId="0" fontId="12" fillId="2" borderId="42" xfId="2" applyFont="1" applyFill="1" applyBorder="1" applyAlignment="1" applyProtection="1">
      <alignment vertical="center"/>
    </xf>
    <xf numFmtId="0" fontId="12" fillId="2" borderId="66" xfId="2" applyFont="1" applyFill="1" applyBorder="1" applyAlignment="1" applyProtection="1">
      <alignment vertical="center"/>
    </xf>
    <xf numFmtId="0" fontId="6" fillId="0" borderId="67" xfId="2" applyFont="1" applyFill="1" applyBorder="1" applyAlignment="1" applyProtection="1">
      <alignment vertical="center"/>
    </xf>
    <xf numFmtId="0" fontId="6" fillId="0" borderId="68" xfId="2" applyFont="1" applyFill="1" applyBorder="1" applyAlignment="1" applyProtection="1">
      <alignment horizontal="left" vertical="center" indent="1"/>
    </xf>
    <xf numFmtId="0" fontId="6" fillId="0" borderId="68" xfId="2" applyFont="1" applyFill="1" applyBorder="1" applyAlignment="1" applyProtection="1">
      <alignment vertical="center"/>
    </xf>
    <xf numFmtId="0" fontId="6" fillId="0" borderId="68" xfId="2" applyFont="1" applyFill="1" applyBorder="1" applyAlignment="1" applyProtection="1">
      <alignment horizontal="right" vertical="center"/>
    </xf>
    <xf numFmtId="0" fontId="6" fillId="0" borderId="69" xfId="2" applyFont="1" applyFill="1" applyBorder="1" applyAlignment="1" applyProtection="1">
      <alignment vertical="center"/>
    </xf>
    <xf numFmtId="2" fontId="8" fillId="0" borderId="17" xfId="2" applyNumberFormat="1" applyFont="1" applyFill="1" applyBorder="1" applyAlignment="1" applyProtection="1">
      <alignment horizontal="center" vertical="center"/>
    </xf>
    <xf numFmtId="2" fontId="31" fillId="0" borderId="38" xfId="2" applyNumberFormat="1" applyFont="1" applyFill="1" applyBorder="1" applyAlignment="1" applyProtection="1">
      <alignment vertical="center"/>
    </xf>
    <xf numFmtId="2" fontId="31" fillId="0" borderId="0" xfId="2" applyNumberFormat="1" applyFont="1" applyFill="1" applyBorder="1" applyAlignment="1" applyProtection="1">
      <alignment vertical="center"/>
    </xf>
    <xf numFmtId="0" fontId="50" fillId="0" borderId="29" xfId="2" applyFont="1" applyFill="1" applyBorder="1" applyAlignment="1" applyProtection="1">
      <alignment vertical="center"/>
    </xf>
    <xf numFmtId="0" fontId="16" fillId="3" borderId="32" xfId="2" applyFont="1" applyFill="1" applyBorder="1" applyAlignment="1" applyProtection="1">
      <alignment vertical="center"/>
      <protection locked="0"/>
    </xf>
    <xf numFmtId="2" fontId="16" fillId="3" borderId="32" xfId="2" applyNumberFormat="1" applyFont="1" applyFill="1" applyBorder="1" applyAlignment="1" applyProtection="1">
      <alignment horizontal="right" vertical="center"/>
      <protection locked="0"/>
    </xf>
    <xf numFmtId="2" fontId="31" fillId="0" borderId="36" xfId="2" applyNumberFormat="1" applyFont="1" applyFill="1" applyBorder="1" applyAlignment="1" applyProtection="1">
      <alignment vertical="center"/>
    </xf>
    <xf numFmtId="2" fontId="9" fillId="0" borderId="40" xfId="2" applyNumberFormat="1" applyFont="1" applyFill="1" applyBorder="1" applyAlignment="1" applyProtection="1">
      <alignment vertical="center"/>
    </xf>
    <xf numFmtId="2" fontId="9" fillId="0" borderId="37" xfId="2" applyNumberFormat="1" applyFont="1" applyFill="1" applyBorder="1" applyAlignment="1" applyProtection="1">
      <alignment vertical="center"/>
    </xf>
    <xf numFmtId="0" fontId="22" fillId="3" borderId="40" xfId="2" applyFont="1" applyFill="1" applyBorder="1" applyAlignment="1" applyProtection="1">
      <alignment horizontal="right" vertical="center"/>
      <protection locked="0"/>
    </xf>
    <xf numFmtId="165" fontId="2" fillId="0" borderId="55" xfId="1" applyNumberFormat="1" applyFont="1" applyFill="1" applyBorder="1" applyAlignment="1">
      <alignment vertical="center"/>
    </xf>
    <xf numFmtId="0" fontId="9" fillId="0" borderId="61" xfId="2" applyFont="1" applyFill="1" applyBorder="1" applyAlignment="1" applyProtection="1">
      <alignment vertical="center"/>
    </xf>
    <xf numFmtId="171" fontId="6" fillId="0" borderId="62" xfId="2" applyNumberFormat="1" applyFont="1" applyFill="1" applyBorder="1" applyAlignment="1" applyProtection="1">
      <alignment vertical="center"/>
    </xf>
    <xf numFmtId="1" fontId="6" fillId="4" borderId="32" xfId="2" applyNumberFormat="1" applyFont="1" applyFill="1" applyBorder="1" applyAlignment="1" applyProtection="1">
      <alignment vertical="center"/>
    </xf>
    <xf numFmtId="0" fontId="6" fillId="0" borderId="36" xfId="2" applyFont="1" applyFill="1" applyBorder="1" applyAlignment="1" applyProtection="1">
      <alignment horizontal="center" vertical="center"/>
    </xf>
    <xf numFmtId="0" fontId="6" fillId="0" borderId="41" xfId="2" applyFont="1" applyFill="1" applyBorder="1" applyAlignment="1" applyProtection="1">
      <alignment horizontal="center" vertical="center"/>
    </xf>
    <xf numFmtId="0" fontId="42" fillId="0" borderId="36" xfId="0" applyFont="1" applyBorder="1" applyAlignment="1">
      <alignment horizontal="center" vertical="center" wrapText="1"/>
    </xf>
    <xf numFmtId="0" fontId="42" fillId="0" borderId="37" xfId="0" applyFont="1" applyBorder="1" applyAlignment="1">
      <alignment horizontal="center" vertical="center" wrapText="1"/>
    </xf>
    <xf numFmtId="0" fontId="42" fillId="0" borderId="38" xfId="0" applyFont="1" applyBorder="1" applyAlignment="1">
      <alignment horizontal="center" vertical="center" wrapText="1"/>
    </xf>
    <xf numFmtId="0" fontId="42" fillId="0" borderId="39" xfId="0" applyFont="1" applyBorder="1" applyAlignment="1">
      <alignment horizontal="center" vertical="center" wrapText="1"/>
    </xf>
    <xf numFmtId="0" fontId="42" fillId="0" borderId="35" xfId="0" applyFont="1" applyBorder="1" applyAlignment="1">
      <alignment horizontal="center" vertical="center" wrapText="1"/>
    </xf>
    <xf numFmtId="0" fontId="42" fillId="0" borderId="33" xfId="0" applyFont="1" applyBorder="1" applyAlignment="1">
      <alignment horizontal="center" vertical="center" wrapText="1"/>
    </xf>
    <xf numFmtId="0" fontId="39" fillId="7" borderId="29" xfId="0" applyFont="1" applyFill="1" applyBorder="1" applyAlignment="1">
      <alignment horizontal="center" vertical="center" wrapText="1"/>
    </xf>
    <xf numFmtId="0" fontId="39" fillId="7" borderId="31" xfId="0" applyFont="1" applyFill="1" applyBorder="1" applyAlignment="1">
      <alignment horizontal="center" vertical="center" wrapText="1"/>
    </xf>
    <xf numFmtId="0" fontId="42" fillId="0" borderId="40" xfId="0" applyFont="1" applyBorder="1" applyAlignment="1">
      <alignment horizontal="center" vertical="center" wrapText="1"/>
    </xf>
    <xf numFmtId="0" fontId="42" fillId="0" borderId="0" xfId="0" applyFont="1" applyBorder="1" applyAlignment="1">
      <alignment horizontal="center" vertical="center" wrapText="1"/>
    </xf>
    <xf numFmtId="0" fontId="42" fillId="0" borderId="20" xfId="0" applyFont="1" applyBorder="1" applyAlignment="1">
      <alignment horizontal="center" vertical="center" wrapText="1"/>
    </xf>
    <xf numFmtId="0" fontId="41" fillId="12" borderId="36" xfId="0" applyFont="1" applyFill="1" applyBorder="1" applyAlignment="1">
      <alignment horizontal="center" vertical="center" wrapText="1"/>
    </xf>
    <xf numFmtId="0" fontId="41" fillId="12" borderId="37" xfId="0" applyFont="1" applyFill="1" applyBorder="1" applyAlignment="1">
      <alignment horizontal="center" vertical="center" wrapText="1"/>
    </xf>
    <xf numFmtId="0" fontId="41" fillId="12" borderId="38" xfId="0" applyFont="1" applyFill="1" applyBorder="1" applyAlignment="1">
      <alignment horizontal="center" vertical="center" wrapText="1"/>
    </xf>
    <xf numFmtId="0" fontId="41" fillId="12" borderId="39" xfId="0" applyFont="1" applyFill="1" applyBorder="1" applyAlignment="1">
      <alignment horizontal="center" vertical="center" wrapText="1"/>
    </xf>
    <xf numFmtId="0" fontId="41" fillId="12" borderId="35" xfId="0" applyFont="1" applyFill="1" applyBorder="1" applyAlignment="1">
      <alignment horizontal="center" vertical="center" wrapText="1"/>
    </xf>
    <xf numFmtId="0" fontId="41" fillId="12" borderId="33" xfId="0" applyFont="1" applyFill="1" applyBorder="1" applyAlignment="1">
      <alignment horizontal="center" vertical="center" wrapText="1"/>
    </xf>
    <xf numFmtId="0" fontId="37" fillId="8" borderId="29" xfId="0" applyFont="1" applyFill="1" applyBorder="1" applyAlignment="1">
      <alignment horizontal="center" vertical="center" wrapText="1"/>
    </xf>
    <xf numFmtId="0" fontId="37" fillId="8" borderId="30" xfId="0" applyFont="1" applyFill="1" applyBorder="1" applyAlignment="1">
      <alignment horizontal="center" vertical="center" wrapText="1"/>
    </xf>
    <xf numFmtId="0" fontId="37" fillId="8" borderId="31" xfId="0" applyFont="1" applyFill="1" applyBorder="1" applyAlignment="1">
      <alignment horizontal="center" vertical="center" wrapText="1"/>
    </xf>
    <xf numFmtId="0" fontId="38" fillId="8" borderId="29" xfId="0" applyFont="1" applyFill="1" applyBorder="1" applyAlignment="1">
      <alignment horizontal="center" vertical="center" wrapText="1"/>
    </xf>
    <xf numFmtId="0" fontId="38" fillId="8" borderId="31" xfId="0" applyFont="1" applyFill="1" applyBorder="1" applyAlignment="1">
      <alignment horizontal="center" vertical="center" wrapText="1"/>
    </xf>
    <xf numFmtId="0" fontId="39" fillId="9" borderId="29" xfId="0" applyFont="1" applyFill="1" applyBorder="1" applyAlignment="1">
      <alignment horizontal="center" vertical="center" wrapText="1"/>
    </xf>
    <xf numFmtId="0" fontId="39" fillId="9" borderId="31" xfId="0" applyFont="1" applyFill="1" applyBorder="1" applyAlignment="1">
      <alignment horizontal="center" vertical="center" wrapText="1"/>
    </xf>
    <xf numFmtId="0" fontId="40" fillId="10" borderId="29" xfId="0" applyFont="1" applyFill="1" applyBorder="1" applyAlignment="1">
      <alignment horizontal="center" vertical="center" wrapText="1"/>
    </xf>
    <xf numFmtId="0" fontId="40" fillId="10" borderId="31" xfId="0" applyFont="1" applyFill="1" applyBorder="1" applyAlignment="1">
      <alignment horizontal="center" vertical="center" wrapText="1"/>
    </xf>
    <xf numFmtId="0" fontId="39" fillId="11" borderId="29" xfId="0" applyFont="1" applyFill="1" applyBorder="1" applyAlignment="1">
      <alignment horizontal="center" vertical="center" wrapText="1"/>
    </xf>
    <xf numFmtId="0" fontId="39" fillId="11" borderId="31" xfId="0" applyFont="1" applyFill="1" applyBorder="1" applyAlignment="1">
      <alignment horizontal="center" vertical="center" wrapText="1"/>
    </xf>
    <xf numFmtId="0" fontId="38" fillId="5" borderId="29" xfId="0" applyFont="1" applyFill="1" applyBorder="1" applyAlignment="1">
      <alignment horizontal="center" vertical="center" wrapText="1"/>
    </xf>
    <xf numFmtId="0" fontId="38" fillId="5" borderId="31" xfId="0" applyFont="1" applyFill="1" applyBorder="1" applyAlignment="1">
      <alignment horizontal="center" vertical="center" wrapText="1"/>
    </xf>
    <xf numFmtId="0" fontId="10" fillId="0" borderId="0" xfId="2" applyFont="1" applyFill="1" applyAlignment="1" applyProtection="1">
      <alignment horizontal="center" vertical="center"/>
    </xf>
    <xf numFmtId="177" fontId="16" fillId="3" borderId="29" xfId="2" applyNumberFormat="1" applyFont="1" applyFill="1" applyBorder="1" applyAlignment="1" applyProtection="1">
      <alignment horizontal="left" vertical="center"/>
      <protection locked="0"/>
    </xf>
    <xf numFmtId="177" fontId="16" fillId="3" borderId="30" xfId="2" applyNumberFormat="1" applyFont="1" applyFill="1" applyBorder="1" applyAlignment="1" applyProtection="1">
      <alignment horizontal="left" vertical="center"/>
      <protection locked="0"/>
    </xf>
    <xf numFmtId="177" fontId="16" fillId="3" borderId="31" xfId="2" applyNumberFormat="1" applyFont="1" applyFill="1" applyBorder="1" applyAlignment="1" applyProtection="1">
      <alignment horizontal="left" vertical="center"/>
      <protection locked="0"/>
    </xf>
    <xf numFmtId="0" fontId="6" fillId="0" borderId="36" xfId="2" applyFont="1" applyFill="1" applyBorder="1" applyAlignment="1" applyProtection="1">
      <alignment horizontal="center" vertical="center"/>
    </xf>
    <xf numFmtId="0" fontId="6" fillId="0" borderId="37" xfId="2" applyFont="1" applyFill="1" applyBorder="1" applyAlignment="1" applyProtection="1">
      <alignment horizontal="center" vertical="center"/>
    </xf>
    <xf numFmtId="0" fontId="6" fillId="0" borderId="40" xfId="2" applyFont="1" applyFill="1" applyBorder="1" applyAlignment="1" applyProtection="1">
      <alignment horizontal="center" vertical="center"/>
    </xf>
    <xf numFmtId="0" fontId="16" fillId="3" borderId="29" xfId="2" applyFont="1" applyFill="1" applyBorder="1" applyAlignment="1" applyProtection="1">
      <alignment horizontal="left" vertical="center"/>
      <protection locked="0"/>
    </xf>
    <xf numFmtId="0" fontId="16" fillId="3" borderId="30" xfId="2" applyFont="1" applyFill="1" applyBorder="1" applyAlignment="1" applyProtection="1">
      <alignment horizontal="left" vertical="center"/>
      <protection locked="0"/>
    </xf>
    <xf numFmtId="0" fontId="16" fillId="3" borderId="31" xfId="2" applyFont="1" applyFill="1" applyBorder="1" applyAlignment="1" applyProtection="1">
      <alignment horizontal="left" vertical="center"/>
      <protection locked="0"/>
    </xf>
    <xf numFmtId="0" fontId="6" fillId="0" borderId="29" xfId="2" applyFont="1" applyFill="1" applyBorder="1" applyAlignment="1" applyProtection="1">
      <alignment horizontal="center" vertical="center"/>
    </xf>
    <xf numFmtId="0" fontId="6" fillId="0" borderId="30" xfId="2" applyFont="1" applyFill="1" applyBorder="1" applyAlignment="1" applyProtection="1">
      <alignment horizontal="center" vertical="center"/>
    </xf>
    <xf numFmtId="0" fontId="6" fillId="0" borderId="31" xfId="2" applyFont="1" applyFill="1" applyBorder="1" applyAlignment="1" applyProtection="1">
      <alignment horizontal="center" vertical="center"/>
    </xf>
    <xf numFmtId="0" fontId="9" fillId="0" borderId="0" xfId="2" applyFont="1" applyFill="1" applyBorder="1" applyAlignment="1" applyProtection="1">
      <alignment horizontal="center" vertical="center"/>
    </xf>
    <xf numFmtId="178" fontId="16" fillId="3" borderId="32" xfId="2" applyNumberFormat="1" applyFont="1" applyFill="1" applyBorder="1" applyAlignment="1" applyProtection="1">
      <alignment horizontal="center" vertical="center"/>
      <protection locked="0"/>
    </xf>
    <xf numFmtId="0" fontId="29" fillId="0" borderId="36" xfId="2" applyFont="1" applyFill="1" applyBorder="1" applyAlignment="1" applyProtection="1">
      <alignment horizontal="center" vertical="center"/>
    </xf>
    <xf numFmtId="0" fontId="29" fillId="0" borderId="45" xfId="2" applyFont="1" applyFill="1" applyBorder="1" applyAlignment="1" applyProtection="1">
      <alignment horizontal="center" vertical="center"/>
    </xf>
    <xf numFmtId="164" fontId="29" fillId="0" borderId="29" xfId="2" applyNumberFormat="1" applyFont="1" applyFill="1" applyBorder="1" applyAlignment="1" applyProtection="1">
      <alignment horizontal="center" vertical="center"/>
    </xf>
    <xf numFmtId="164" fontId="29" fillId="0" borderId="30" xfId="2" applyNumberFormat="1" applyFont="1" applyFill="1" applyBorder="1" applyAlignment="1" applyProtection="1">
      <alignment horizontal="center" vertical="center"/>
    </xf>
    <xf numFmtId="164" fontId="29" fillId="0" borderId="31" xfId="2" applyNumberFormat="1" applyFont="1" applyFill="1" applyBorder="1" applyAlignment="1" applyProtection="1">
      <alignment horizontal="center" vertical="center"/>
    </xf>
    <xf numFmtId="2" fontId="8" fillId="0" borderId="17" xfId="2" applyNumberFormat="1" applyFont="1" applyFill="1" applyBorder="1" applyAlignment="1" applyProtection="1">
      <alignment horizontal="center" vertical="center"/>
    </xf>
    <xf numFmtId="0" fontId="9" fillId="0" borderId="30" xfId="2" applyFont="1" applyFill="1" applyBorder="1" applyAlignment="1" applyProtection="1">
      <alignment horizontal="center" vertical="center"/>
    </xf>
    <xf numFmtId="0" fontId="9" fillId="0" borderId="31" xfId="2" applyFont="1" applyFill="1" applyBorder="1" applyAlignment="1" applyProtection="1">
      <alignment horizontal="center" vertical="center"/>
    </xf>
    <xf numFmtId="0" fontId="2" fillId="0" borderId="50" xfId="1" applyFont="1" applyFill="1" applyBorder="1" applyAlignment="1">
      <alignment horizontal="center" vertical="center"/>
    </xf>
    <xf numFmtId="0" fontId="2" fillId="0" borderId="31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9" fillId="0" borderId="38" xfId="2" applyFont="1" applyFill="1" applyBorder="1" applyAlignment="1" applyProtection="1">
      <alignment horizontal="left" vertical="center" textRotation="90"/>
    </xf>
    <xf numFmtId="2" fontId="2" fillId="0" borderId="50" xfId="1" applyNumberFormat="1" applyFont="1" applyFill="1" applyBorder="1" applyAlignment="1">
      <alignment horizontal="center" vertical="center"/>
    </xf>
    <xf numFmtId="2" fontId="2" fillId="0" borderId="54" xfId="1" applyNumberFormat="1" applyFont="1" applyFill="1" applyBorder="1" applyAlignment="1">
      <alignment horizontal="center" vertical="center"/>
    </xf>
    <xf numFmtId="0" fontId="6" fillId="0" borderId="32" xfId="2" applyFont="1" applyFill="1" applyBorder="1" applyAlignment="1" applyProtection="1">
      <alignment horizontal="center" vertical="center"/>
    </xf>
    <xf numFmtId="0" fontId="48" fillId="0" borderId="32" xfId="1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</cellXfs>
  <cellStyles count="4">
    <cellStyle name="Normal" xfId="0" builtinId="0"/>
    <cellStyle name="Normal 2" xfId="2"/>
    <cellStyle name="Normal_Drift-off Prediction In Progress" xfId="1"/>
    <cellStyle name="Percent" xfId="3" builtinId="5"/>
  </cellStyles>
  <dxfs count="74">
    <dxf>
      <font>
        <color theme="0" tint="-0.14996795556505021"/>
      </font>
    </dxf>
    <dxf>
      <font>
        <color theme="0"/>
      </font>
    </dxf>
    <dxf>
      <font>
        <color theme="0" tint="-0.14996795556505021"/>
      </font>
    </dxf>
    <dxf>
      <font>
        <color theme="0" tint="-0.14996795556505021"/>
      </font>
    </dxf>
    <dxf>
      <font>
        <color auto="1"/>
      </font>
      <fill>
        <patternFill>
          <bgColor theme="6" tint="0.39994506668294322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rgb="FF00B05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rgb="FF00B05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theme="8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33CC"/>
      <color rgb="FFCCFFCC"/>
      <color rgb="FFFF66CC"/>
      <color rgb="FFFFFFCC"/>
      <color rgb="FFCCECFF"/>
      <color rgb="FFBD9A07"/>
      <color rgb="FFEEC208"/>
      <color rgb="FFB80000"/>
      <color rgb="FF9E0000"/>
      <color rgb="FF48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DP RED and YELLOW Watch Circles</a:t>
            </a:r>
          </a:p>
        </c:rich>
      </c:tx>
      <c:layout>
        <c:manualLayout>
          <c:xMode val="edge"/>
          <c:yMode val="edge"/>
          <c:x val="0.34113294589706278"/>
          <c:y val="2.7200000000000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83743842364532"/>
          <c:y val="9.6000075000058596E-2"/>
          <c:w val="0.60273678582487267"/>
          <c:h val="0.81120063375049511"/>
        </c:manualLayout>
      </c:layout>
      <c:scatterChart>
        <c:scatterStyle val="smoothMarker"/>
        <c:varyColors val="0"/>
        <c:ser>
          <c:idx val="2"/>
          <c:order val="0"/>
          <c:tx>
            <c:v>Well Center</c:v>
          </c:tx>
          <c:spPr>
            <a:ln w="28575" cmpd="sng">
              <a:solidFill>
                <a:schemeClr val="bg1"/>
              </a:solidFill>
            </a:ln>
          </c:spPr>
          <c:marker>
            <c:symbol val="circle"/>
            <c:size val="15"/>
            <c:spPr>
              <a:solidFill>
                <a:schemeClr val="bg1"/>
              </a:solidFill>
              <a:ln w="12700">
                <a:solidFill>
                  <a:schemeClr val="tx1"/>
                </a:solidFill>
              </a:ln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</c:ser>
        <c:ser>
          <c:idx val="10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chemeClr val="tx1"/>
                </a:solidFill>
              </a:ln>
            </c:spPr>
          </c:dPt>
          <c:xVal>
            <c:numRef>
              <c:f>DriftOff!$AJ$94:$AJ$95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DriftOff!$AK$94:$AK$95</c:f>
              <c:numCache>
                <c:formatCode>0.0" m"</c:formatCode>
                <c:ptCount val="2"/>
                <c:pt idx="0">
                  <c:v>60</c:v>
                </c:pt>
                <c:pt idx="1">
                  <c:v>-60</c:v>
                </c:pt>
              </c:numCache>
            </c:numRef>
          </c:yVal>
          <c:smooth val="0"/>
        </c:ser>
        <c:ser>
          <c:idx val="11"/>
          <c:order val="2"/>
          <c:spPr>
            <a:ln w="6350">
              <a:solidFill>
                <a:schemeClr val="tx1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chemeClr val="tx1"/>
                </a:solidFill>
                <a:prstDash val="solid"/>
              </a:ln>
            </c:spPr>
          </c:dPt>
          <c:xVal>
            <c:numRef>
              <c:f>DriftOff!$AK$94:$AK$95</c:f>
              <c:numCache>
                <c:formatCode>0.0" m"</c:formatCode>
                <c:ptCount val="2"/>
                <c:pt idx="0">
                  <c:v>60</c:v>
                </c:pt>
                <c:pt idx="1">
                  <c:v>-60</c:v>
                </c:pt>
              </c:numCache>
            </c:numRef>
          </c:xVal>
          <c:yVal>
            <c:numRef>
              <c:f>DriftOff!$AJ$94:$AJ$95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DriftOff!$C$40</c:f>
              <c:strCache>
                <c:ptCount val="1"/>
                <c:pt idx="0">
                  <c:v>DP Set Point</c:v>
                </c:pt>
              </c:strCache>
            </c:strRef>
          </c:tx>
          <c:spPr>
            <a:ln>
              <a:noFill/>
            </a:ln>
          </c:spPr>
          <c:xVal>
            <c:numRef>
              <c:f>DriftOff!$K$40</c:f>
              <c:numCache>
                <c:formatCode>0.0" m"</c:formatCode>
                <c:ptCount val="1"/>
                <c:pt idx="0">
                  <c:v>2</c:v>
                </c:pt>
              </c:numCache>
            </c:numRef>
          </c:xVal>
          <c:yVal>
            <c:numRef>
              <c:f>DriftOff!$G$40</c:f>
              <c:numCache>
                <c:formatCode>0.0" m"</c:formatCode>
                <c:ptCount val="1"/>
                <c:pt idx="0">
                  <c:v>2</c:v>
                </c:pt>
              </c:numCache>
            </c:numRef>
          </c:yVal>
          <c:smooth val="1"/>
        </c:ser>
        <c:ser>
          <c:idx val="9"/>
          <c:order val="4"/>
          <c:tx>
            <c:v>Vessel Heading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DriftOff!$BA$66:$BA$70</c:f>
              <c:numCache>
                <c:formatCode>0.00</c:formatCode>
                <c:ptCount val="5"/>
                <c:pt idx="0">
                  <c:v>2</c:v>
                </c:pt>
                <c:pt idx="1">
                  <c:v>-6.5705014624871918</c:v>
                </c:pt>
                <c:pt idx="2">
                  <c:v>-3.7461737697061448</c:v>
                </c:pt>
                <c:pt idx="3">
                  <c:v>-4.2452189926826769</c:v>
                </c:pt>
                <c:pt idx="4">
                  <c:v>-6.5705014624871918</c:v>
                </c:pt>
              </c:numCache>
            </c:numRef>
          </c:xVal>
          <c:yVal>
            <c:numRef>
              <c:f>DriftOff!$BB$66:$BB$70</c:f>
              <c:numCache>
                <c:formatCode>0.00</c:formatCode>
                <c:ptCount val="5"/>
                <c:pt idx="0">
                  <c:v>2</c:v>
                </c:pt>
                <c:pt idx="1">
                  <c:v>-8.2139259082530405</c:v>
                </c:pt>
                <c:pt idx="2">
                  <c:v>-5.3547670336627391</c:v>
                </c:pt>
                <c:pt idx="3">
                  <c:v>-4.9360183711223469</c:v>
                </c:pt>
                <c:pt idx="4">
                  <c:v>-8.2139259082530405</c:v>
                </c:pt>
              </c:numCache>
            </c:numRef>
          </c:yVal>
          <c:smooth val="0"/>
        </c:ser>
        <c:ser>
          <c:idx val="13"/>
          <c:order val="5"/>
          <c:tx>
            <c:v>Drift Path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DriftOff!$R$66:$R$1113</c:f>
              <c:numCache>
                <c:formatCode>0.00</c:formatCode>
                <c:ptCount val="1048"/>
                <c:pt idx="0">
                  <c:v>2</c:v>
                </c:pt>
                <c:pt idx="1">
                  <c:v>2.0035716438333364</c:v>
                </c:pt>
                <c:pt idx="2">
                  <c:v>2.0142612563805113</c:v>
                </c:pt>
                <c:pt idx="3">
                  <c:v>2.0320305027553842</c:v>
                </c:pt>
                <c:pt idx="4">
                  <c:v>2.0568413727178845</c:v>
                </c:pt>
                <c:pt idx="5">
                  <c:v>2.0886561692387615</c:v>
                </c:pt>
                <c:pt idx="6">
                  <c:v>2.1274374972717931</c:v>
                </c:pt>
                <c:pt idx="7">
                  <c:v>2.1731482527267887</c:v>
                </c:pt>
                <c:pt idx="8">
                  <c:v>2.2257516116370279</c:v>
                </c:pt>
                <c:pt idx="9">
                  <c:v>2.2852110195150215</c:v>
                </c:pt>
                <c:pt idx="10">
                  <c:v>2.3514901808908029</c:v>
                </c:pt>
                <c:pt idx="11">
                  <c:v>2.4245530490271747</c:v>
                </c:pt>
                <c:pt idx="12">
                  <c:v>2.5043638158066401</c:v>
                </c:pt>
                <c:pt idx="13">
                  <c:v>2.5908869017849576</c:v>
                </c:pt>
                <c:pt idx="14">
                  <c:v>2.6840869464065431</c:v>
                </c:pt>
                <c:pt idx="15">
                  <c:v>2.7839287983771572</c:v>
                </c:pt>
                <c:pt idx="16">
                  <c:v>2.8903775061895671</c:v>
                </c:pt>
                <c:pt idx="17">
                  <c:v>3.0033983087980856</c:v>
                </c:pt>
                <c:pt idx="18">
                  <c:v>3.1229566264381323</c:v>
                </c:pt>
                <c:pt idx="19">
                  <c:v>3.2490180515871727</c:v>
                </c:pt>
                <c:pt idx="20">
                  <c:v>3.3815483400635999</c:v>
                </c:pt>
                <c:pt idx="21">
                  <c:v>3.5205134022603466</c:v>
                </c:pt>
                <c:pt idx="22">
                  <c:v>3.6658792945102103</c:v>
                </c:pt>
                <c:pt idx="23">
                  <c:v>3.8176122105800889</c:v>
                </c:pt>
                <c:pt idx="24">
                  <c:v>3.9756784732915023</c:v>
                </c:pt>
                <c:pt idx="25">
                  <c:v>4.1400445262649939</c:v>
                </c:pt>
                <c:pt idx="26">
                  <c:v>4.3106769257861757</c:v>
                </c:pt>
                <c:pt idx="27">
                  <c:v>4.487542332791385</c:v>
                </c:pt>
                <c:pt idx="28">
                  <c:v>4.670607504971076</c:v>
                </c:pt>
                <c:pt idx="29">
                  <c:v>4.8598392889892956</c:v>
                </c:pt>
                <c:pt idx="30">
                  <c:v>5.0552046128508925</c:v>
                </c:pt>
                <c:pt idx="31">
                  <c:v>5.2566704805972124</c:v>
                </c:pt>
                <c:pt idx="32">
                  <c:v>5.4642039767263269</c:v>
                </c:pt>
                <c:pt idx="33">
                  <c:v>5.6777722769377768</c:v>
                </c:pt>
                <c:pt idx="34">
                  <c:v>5.8973426591490794</c:v>
                </c:pt>
                <c:pt idx="35">
                  <c:v>6.122882514224699</c:v>
                </c:pt>
                <c:pt idx="36">
                  <c:v>6.3543593564280512</c:v>
                </c:pt>
                <c:pt idx="37">
                  <c:v>6.5917408336073944</c:v>
                </c:pt>
                <c:pt idx="38">
                  <c:v>6.8349947371263404</c:v>
                </c:pt>
                <c:pt idx="39">
                  <c:v>7.0840890115495956</c:v>
                </c:pt>
                <c:pt idx="40">
                  <c:v>7.3389917640944136</c:v>
                </c:pt>
                <c:pt idx="41">
                  <c:v>7.5996712738580952</c:v>
                </c:pt>
                <c:pt idx="42">
                  <c:v>7.8660960008317176</c:v>
                </c:pt>
                <c:pt idx="43">
                  <c:v>8.1382345947101271</c:v>
                </c:pt>
                <c:pt idx="44">
                  <c:v>8.4160559035080986</c:v>
                </c:pt>
                <c:pt idx="45">
                  <c:v>8.6995289819924455</c:v>
                </c:pt>
                <c:pt idx="46">
                  <c:v>8.9886230999397192</c:v>
                </c:pt>
                <c:pt idx="47">
                  <c:v>9.2833077502287846</c:v>
                </c:pt>
                <c:pt idx="48">
                  <c:v>9.5835526567775222</c:v>
                </c:pt>
                <c:pt idx="49">
                  <c:v>9.8893277823325754</c:v>
                </c:pt>
                <c:pt idx="50">
                  <c:v>10.200603336120984</c:v>
                </c:pt>
                <c:pt idx="51">
                  <c:v>10.517349781372328</c:v>
                </c:pt>
                <c:pt idx="52">
                  <c:v>10.839537842719738</c:v>
                </c:pt>
                <c:pt idx="53">
                  <c:v>11.167138513488077</c:v>
                </c:pt>
                <c:pt idx="54">
                  <c:v>11.500123062877265</c:v>
                </c:pt>
                <c:pt idx="55">
                  <c:v>11.838463043048666</c:v>
                </c:pt>
                <c:pt idx="56">
                  <c:v>12.182130296122118</c:v>
                </c:pt>
                <c:pt idx="57">
                  <c:v>12.531096961091128</c:v>
                </c:pt>
                <c:pt idx="58">
                  <c:v>12.885335480663496</c:v>
                </c:pt>
                <c:pt idx="59">
                  <c:v>13.244818608034462</c:v>
                </c:pt>
                <c:pt idx="60">
                  <c:v>13.609519413599289</c:v>
                </c:pt>
                <c:pt idx="61">
                  <c:v>13.979411291612019</c:v>
                </c:pt>
                <c:pt idx="62">
                  <c:v>14.354467966796939</c:v>
                </c:pt>
                <c:pt idx="63">
                  <c:v>14.734663500919138</c:v>
                </c:pt>
                <c:pt idx="64">
                  <c:v>15.119972299320358</c:v>
                </c:pt>
                <c:pt idx="65">
                  <c:v>15.510369117426183</c:v>
                </c:pt>
                <c:pt idx="66">
                  <c:v>15.905829067230387</c:v>
                </c:pt>
                <c:pt idx="67">
                  <c:v>16.306327623762201</c:v>
                </c:pt>
                <c:pt idx="68">
                  <c:v>16.711840631542039</c:v>
                </c:pt>
                <c:pt idx="69">
                  <c:v>17.122344311030982</c:v>
                </c:pt>
                <c:pt idx="70">
                  <c:v>17.537815265079377</c:v>
                </c:pt>
                <c:pt idx="71">
                  <c:v>17.958230485379485</c:v>
                </c:pt>
                <c:pt idx="72">
                  <c:v>18.383567358853885</c:v>
                </c:pt>
                <c:pt idx="73">
                  <c:v>18.813803671267507</c:v>
                </c:pt>
                <c:pt idx="74">
                  <c:v>19.248917601844859</c:v>
                </c:pt>
                <c:pt idx="75">
                  <c:v>19.688887713513317</c:v>
                </c:pt>
                <c:pt idx="76">
                  <c:v>20.133692943207123</c:v>
                </c:pt>
                <c:pt idx="77">
                  <c:v>20.583312592495357</c:v>
                </c:pt>
                <c:pt idx="78">
                  <c:v>21.037726318520093</c:v>
                </c:pt>
                <c:pt idx="79">
                  <c:v>21.496914125231534</c:v>
                </c:pt>
                <c:pt idx="80">
                  <c:v>21.960856354907619</c:v>
                </c:pt>
                <c:pt idx="81">
                  <c:v>22.429533679946168</c:v>
                </c:pt>
                <c:pt idx="82">
                  <c:v>22.902927094918141</c:v>
                </c:pt>
                <c:pt idx="83">
                  <c:v>23.381017908871122</c:v>
                </c:pt>
                <c:pt idx="84">
                  <c:v>23.863787737872709</c:v>
                </c:pt>
                <c:pt idx="85">
                  <c:v>24.351218497783798</c:v>
                </c:pt>
                <c:pt idx="86">
                  <c:v>24.84329239725237</c:v>
                </c:pt>
                <c:pt idx="87">
                  <c:v>25.339991930918664</c:v>
                </c:pt>
                <c:pt idx="88">
                  <c:v>25.841299872823082</c:v>
                </c:pt>
                <c:pt idx="89">
                  <c:v>26.347199270008556</c:v>
                </c:pt>
                <c:pt idx="90">
                  <c:v>26.857673436309366</c:v>
                </c:pt>
                <c:pt idx="91">
                  <c:v>27.37270594631887</c:v>
                </c:pt>
                <c:pt idx="92">
                  <c:v>27.892280629528809</c:v>
                </c:pt>
                <c:pt idx="93">
                  <c:v>28.416381564633195</c:v>
                </c:pt>
                <c:pt idx="94">
                  <c:v>28.944993073990084</c:v>
                </c:pt>
                <c:pt idx="95">
                  <c:v>29.478099718234759</c:v>
                </c:pt>
                <c:pt idx="96">
                  <c:v>30.015686291038197</c:v>
                </c:pt>
                <c:pt idx="97">
                  <c:v>30.557737814004778</c:v>
                </c:pt>
                <c:pt idx="98">
                  <c:v>31.104239531703598</c:v>
                </c:pt>
                <c:pt idx="99">
                  <c:v>31.655176906827858</c:v>
                </c:pt>
                <c:pt idx="100">
                  <c:v>32.210535615477049</c:v>
                </c:pt>
                <c:pt idx="101">
                  <c:v>32.770301542556808</c:v>
                </c:pt>
                <c:pt idx="102">
                  <c:v>33.334460777291532</c:v>
                </c:pt>
                <c:pt idx="103">
                  <c:v>33.902999608845157</c:v>
                </c:pt>
                <c:pt idx="104">
                  <c:v>34.475904522045205</c:v>
                </c:pt>
                <c:pt idx="105">
                  <c:v>35.053162193206205</c:v>
                </c:pt>
                <c:pt idx="106">
                  <c:v>35.634759486047713</c:v>
                </c:pt>
                <c:pt idx="107">
                  <c:v>36.220683447703237</c:v>
                </c:pt>
                <c:pt idx="108">
                  <c:v>36.810921304815857</c:v>
                </c:pt>
                <c:pt idx="109">
                  <c:v>37.405460459716863</c:v>
                </c:pt>
                <c:pt idx="110">
                  <c:v>38.004288486683578</c:v>
                </c:pt>
                <c:pt idx="111">
                  <c:v>38.607393128272939</c:v>
                </c:pt>
                <c:pt idx="112">
                  <c:v>39.214762291727233</c:v>
                </c:pt>
                <c:pt idx="113">
                  <c:v>39.826384045448734</c:v>
                </c:pt>
                <c:pt idx="114">
                  <c:v>40.442246615493914</c:v>
                </c:pt>
                <c:pt idx="115">
                  <c:v>41.062338380608054</c:v>
                </c:pt>
                <c:pt idx="116">
                  <c:v>41.686647862784625</c:v>
                </c:pt>
                <c:pt idx="117">
                  <c:v>42.315163715828881</c:v>
                </c:pt>
                <c:pt idx="118">
                  <c:v>42.947874713997038</c:v>
                </c:pt>
                <c:pt idx="119">
                  <c:v>43.584769740823639</c:v>
                </c:pt>
                <c:pt idx="120">
                  <c:v>44.225837778135457</c:v>
                </c:pt>
                <c:pt idx="121">
                  <c:v>44.871067895250889</c:v>
                </c:pt>
                <c:pt idx="122">
                  <c:v>45.520449238364442</c:v>
                </c:pt>
                <c:pt idx="123">
                  <c:v>46.173971020116049</c:v>
                </c:pt>
                <c:pt idx="124">
                  <c:v>46.831622509345834</c:v>
                </c:pt>
                <c:pt idx="125">
                  <c:v>47.493393021034848</c:v>
                </c:pt>
                <c:pt idx="126">
                  <c:v>48.159271906433283</c:v>
                </c:pt>
                <c:pt idx="127">
                  <c:v>48.829248543377588</c:v>
                </c:pt>
                <c:pt idx="128">
                  <c:v>49.503312326798458</c:v>
                </c:pt>
                <c:pt idx="129">
                  <c:v>50.181452659422106</c:v>
                </c:pt>
                <c:pt idx="130">
                  <c:v>50.863658942667271</c:v>
                </c:pt>
                <c:pt idx="131">
                  <c:v>51.549920567741012</c:v>
                </c:pt>
                <c:pt idx="132">
                  <c:v>52.240226906936329</c:v>
                </c:pt>
                <c:pt idx="133">
                  <c:v>52.93456730513514</c:v>
                </c:pt>
                <c:pt idx="134">
                  <c:v>53.632931071520062</c:v>
                </c:pt>
                <c:pt idx="135">
                  <c:v>54.335307471498268</c:v>
                </c:pt>
                <c:pt idx="136">
                  <c:v>55.041685718841386</c:v>
                </c:pt>
                <c:pt idx="137">
                  <c:v>55.752054968045407</c:v>
                </c:pt>
                <c:pt idx="138">
                  <c:v>56.466404306914896</c:v>
                </c:pt>
                <c:pt idx="139">
                  <c:v>57.184722749375872</c:v>
                </c:pt>
                <c:pt idx="140">
                  <c:v>57.906999228521713</c:v>
                </c:pt>
                <c:pt idx="141">
                  <c:v>58.633222589896619</c:v>
                </c:pt>
                <c:pt idx="142">
                  <c:v>59.363381585021166</c:v>
                </c:pt>
                <c:pt idx="143">
                  <c:v>60.097464865164326</c:v>
                </c:pt>
                <c:pt idx="144">
                  <c:v>60.835460975366594</c:v>
                </c:pt>
                <c:pt idx="145">
                  <c:v>61.577358348718541</c:v>
                </c:pt>
                <c:pt idx="146">
                  <c:v>62.323145300899185</c:v>
                </c:pt>
                <c:pt idx="147">
                  <c:v>63.072810024978473</c:v>
                </c:pt>
                <c:pt idx="148">
                  <c:v>63.826340586488008</c:v>
                </c:pt>
                <c:pt idx="149">
                  <c:v>64.58372491876402</c:v>
                </c:pt>
                <c:pt idx="150">
                  <c:v>65.344950818566403</c:v>
                </c:pt>
              </c:numCache>
            </c:numRef>
          </c:xVal>
          <c:yVal>
            <c:numRef>
              <c:f>DriftOff!$S$66:$S$1113</c:f>
              <c:numCache>
                <c:formatCode>0.00</c:formatCode>
                <c:ptCount val="1048"/>
                <c:pt idx="0">
                  <c:v>2</c:v>
                </c:pt>
                <c:pt idx="1">
                  <c:v>2.0010774064148702</c:v>
                </c:pt>
                <c:pt idx="2">
                  <c:v>2.0043091877412076</c:v>
                </c:pt>
                <c:pt idx="3">
                  <c:v>2.0096946494214039</c:v>
                </c:pt>
                <c:pt idx="4">
                  <c:v>2.0172330559566554</c:v>
                </c:pt>
                <c:pt idx="5">
                  <c:v>2.0269236259294838</c:v>
                </c:pt>
                <c:pt idx="6">
                  <c:v>2.0387655271625116</c:v>
                </c:pt>
                <c:pt idx="7">
                  <c:v>2.0527578720049822</c:v>
                </c:pt>
                <c:pt idx="8">
                  <c:v>2.0688997127390052</c:v>
                </c:pt>
                <c:pt idx="9">
                  <c:v>2.0871900370979786</c:v>
                </c:pt>
                <c:pt idx="10">
                  <c:v>2.1076277638900631</c:v>
                </c:pt>
                <c:pt idx="11">
                  <c:v>2.1302117387200381</c:v>
                </c:pt>
                <c:pt idx="12">
                  <c:v>2.1549407298032479</c:v>
                </c:pt>
                <c:pt idx="13">
                  <c:v>2.1818134238657598</c:v>
                </c:pt>
                <c:pt idx="14">
                  <c:v>2.2108284221252106</c:v>
                </c:pt>
                <c:pt idx="15">
                  <c:v>2.2419842363471916</c:v>
                </c:pt>
                <c:pt idx="16">
                  <c:v>2.2752792849723686</c:v>
                </c:pt>
                <c:pt idx="17">
                  <c:v>2.3107118893098479</c:v>
                </c:pt>
                <c:pt idx="18">
                  <c:v>2.3482802697926437</c:v>
                </c:pt>
                <c:pt idx="19">
                  <c:v>2.3879825422913927</c:v>
                </c:pt>
                <c:pt idx="20">
                  <c:v>2.4298167144827691</c:v>
                </c:pt>
                <c:pt idx="21">
                  <c:v>2.4737806822693398</c:v>
                </c:pt>
                <c:pt idx="22">
                  <c:v>2.5198722262478674</c:v>
                </c:pt>
                <c:pt idx="23">
                  <c:v>2.5680890082233607</c:v>
                </c:pt>
                <c:pt idx="24">
                  <c:v>2.6184285677664008</c:v>
                </c:pt>
                <c:pt idx="25">
                  <c:v>2.6708883188115631</c:v>
                </c:pt>
                <c:pt idx="26">
                  <c:v>2.7254655462949553</c:v>
                </c:pt>
                <c:pt idx="27">
                  <c:v>2.7821574028291849</c:v>
                </c:pt>
                <c:pt idx="28">
                  <c:v>2.8409609054142466</c:v>
                </c:pt>
                <c:pt idx="29">
                  <c:v>2.9018729321830876</c:v>
                </c:pt>
                <c:pt idx="30">
                  <c:v>2.9648902192063464</c:v>
                </c:pt>
                <c:pt idx="31">
                  <c:v>3.0300093590353163</c:v>
                </c:pt>
                <c:pt idx="32">
                  <c:v>3.0972268066725608</c:v>
                </c:pt>
                <c:pt idx="33">
                  <c:v>3.1665388903389005</c:v>
                </c:pt>
                <c:pt idx="34">
                  <c:v>3.2379418223684868</c:v>
                </c:pt>
                <c:pt idx="35">
                  <c:v>3.3114317097981667</c:v>
                </c:pt>
                <c:pt idx="36">
                  <c:v>3.3870045646565572</c:v>
                </c:pt>
                <c:pt idx="37">
                  <c:v>3.4646563139586251</c:v>
                </c:pt>
                <c:pt idx="38">
                  <c:v>3.5443828094116268</c:v>
                </c:pt>
                <c:pt idx="39">
                  <c:v>3.6261798368383031</c:v>
                </c:pt>
                <c:pt idx="40">
                  <c:v>3.7100431253232555</c:v>
                </c:pt>
                <c:pt idx="41">
                  <c:v>3.7959683560884705</c:v>
                </c:pt>
                <c:pt idx="42">
                  <c:v>3.883951171103964</c:v>
                </c:pt>
                <c:pt idx="43">
                  <c:v>3.9739871814395178</c:v>
                </c:pt>
                <c:pt idx="44">
                  <c:v>4.0660719753634735</c:v>
                </c:pt>
                <c:pt idx="45">
                  <c:v>4.1602011261945204</c:v>
                </c:pt>
                <c:pt idx="46">
                  <c:v>4.2563701999123902</c:v>
                </c:pt>
                <c:pt idx="47">
                  <c:v>4.3545747625334235</c:v>
                </c:pt>
                <c:pt idx="48">
                  <c:v>4.4548103872568685</c:v>
                </c:pt>
                <c:pt idx="49">
                  <c:v>4.5570726613878607</c:v>
                </c:pt>
                <c:pt idx="50">
                  <c:v>4.6613571930428703</c:v>
                </c:pt>
                <c:pt idx="51">
                  <c:v>4.7676596176434662</c:v>
                </c:pt>
                <c:pt idx="52">
                  <c:v>4.8759756042041751</c:v>
                </c:pt>
                <c:pt idx="53">
                  <c:v>4.98630086142016</c:v>
                </c:pt>
                <c:pt idx="54">
                  <c:v>5.0986311435604197</c:v>
                </c:pt>
                <c:pt idx="55">
                  <c:v>5.2129622561721689</c:v>
                </c:pt>
                <c:pt idx="56">
                  <c:v>5.3292900616019949</c:v>
                </c:pt>
                <c:pt idx="57">
                  <c:v>5.4476104843393713</c:v>
                </c:pt>
                <c:pt idx="58">
                  <c:v>5.5679195161880424</c:v>
                </c:pt>
                <c:pt idx="59">
                  <c:v>5.6902132212707635</c:v>
                </c:pt>
                <c:pt idx="60">
                  <c:v>5.8144877408728197</c:v>
                </c:pt>
                <c:pt idx="61">
                  <c:v>5.9407392981297358</c:v>
                </c:pt>
                <c:pt idx="62">
                  <c:v>6.0689642025645067</c:v>
                </c:pt>
                <c:pt idx="63">
                  <c:v>6.1991588544796858</c:v>
                </c:pt>
                <c:pt idx="64">
                  <c:v>6.3313197492095847</c:v>
                </c:pt>
                <c:pt idx="65">
                  <c:v>6.4654434812378447</c:v>
                </c:pt>
                <c:pt idx="66">
                  <c:v>6.6015267481856021</c:v>
                </c:pt>
                <c:pt idx="67">
                  <c:v>6.7395663546755165</c:v>
                </c:pt>
                <c:pt idx="68">
                  <c:v>6.8795592160768075</c:v>
                </c:pt>
                <c:pt idx="69">
                  <c:v>7.0215023621363724</c:v>
                </c:pt>
                <c:pt idx="70">
                  <c:v>7.1653929405010901</c:v>
                </c:pt>
                <c:pt idx="71">
                  <c:v>7.3112282201363961</c:v>
                </c:pt>
                <c:pt idx="72">
                  <c:v>7.4590055946383247</c:v>
                </c:pt>
                <c:pt idx="73">
                  <c:v>7.6087225851507565</c:v>
                </c:pt>
                <c:pt idx="74">
                  <c:v>7.7603768422131623</c:v>
                </c:pt>
                <c:pt idx="75">
                  <c:v>7.9139661470241078</c:v>
                </c:pt>
                <c:pt idx="76">
                  <c:v>8.0694884125974777</c:v>
                </c:pt>
                <c:pt idx="77">
                  <c:v>8.2269416848445918</c:v>
                </c:pt>
                <c:pt idx="78">
                  <c:v>8.386324143585604</c:v>
                </c:pt>
                <c:pt idx="79">
                  <c:v>8.5476341034933263</c:v>
                </c:pt>
                <c:pt idx="80">
                  <c:v>8.7108700149725315</c:v>
                </c:pt>
                <c:pt idx="81">
                  <c:v>8.8760304649776618</c:v>
                </c:pt>
                <c:pt idx="82">
                  <c:v>9.043114177771626</c:v>
                </c:pt>
                <c:pt idx="83">
                  <c:v>9.2121200156283933</c:v>
                </c:pt>
                <c:pt idx="84">
                  <c:v>9.3830469794818114</c:v>
                </c:pt>
                <c:pt idx="85">
                  <c:v>9.555894209523089</c:v>
                </c:pt>
                <c:pt idx="86">
                  <c:v>9.7306609857491395</c:v>
                </c:pt>
                <c:pt idx="87">
                  <c:v>9.9073467284640024</c:v>
                </c:pt>
                <c:pt idx="88">
                  <c:v>10.08595099873536</c:v>
                </c:pt>
                <c:pt idx="89">
                  <c:v>10.266473498808097</c:v>
                </c:pt>
                <c:pt idx="90">
                  <c:v>10.448914072476759</c:v>
                </c:pt>
                <c:pt idx="91">
                  <c:v>10.633272705418694</c:v>
                </c:pt>
                <c:pt idx="92">
                  <c:v>10.81954952548948</c:v>
                </c:pt>
                <c:pt idx="93">
                  <c:v>11.007744802982296</c:v>
                </c:pt>
                <c:pt idx="94">
                  <c:v>11.197858950852687</c:v>
                </c:pt>
                <c:pt idx="95">
                  <c:v>11.389892524910177</c:v>
                </c:pt>
                <c:pt idx="96">
                  <c:v>11.583846223978043</c:v>
                </c:pt>
                <c:pt idx="97">
                  <c:v>11.779720890022535</c:v>
                </c:pt>
                <c:pt idx="98">
                  <c:v>11.977517508252751</c:v>
                </c:pt>
                <c:pt idx="99">
                  <c:v>12.177237207192272</c:v>
                </c:pt>
                <c:pt idx="100">
                  <c:v>12.378881258723638</c:v>
                </c:pt>
                <c:pt idx="101">
                  <c:v>12.582451078106645</c:v>
                </c:pt>
                <c:pt idx="102">
                  <c:v>12.787948223971416</c:v>
                </c:pt>
                <c:pt idx="103">
                  <c:v>12.995374398287112</c:v>
                </c:pt>
                <c:pt idx="104">
                  <c:v>13.204731446307074</c:v>
                </c:pt>
                <c:pt idx="105">
                  <c:v>13.416021356491196</c:v>
                </c:pt>
                <c:pt idx="106">
                  <c:v>13.629246260406189</c:v>
                </c:pt>
                <c:pt idx="107">
                  <c:v>13.844408432604414</c:v>
                </c:pt>
                <c:pt idx="108">
                  <c:v>14.061510290481847</c:v>
                </c:pt>
                <c:pt idx="109">
                  <c:v>14.28055439411575</c:v>
                </c:pt>
                <c:pt idx="110">
                  <c:v>14.501543446082524</c:v>
                </c:pt>
                <c:pt idx="111">
                  <c:v>14.724480291256167</c:v>
                </c:pt>
                <c:pt idx="112">
                  <c:v>14.949367916587784</c:v>
                </c:pt>
                <c:pt idx="113">
                  <c:v>15.17620945086645</c:v>
                </c:pt>
                <c:pt idx="114">
                  <c:v>15.405008164425212</c:v>
                </c:pt>
                <c:pt idx="115">
                  <c:v>15.635767467621379</c:v>
                </c:pt>
                <c:pt idx="116">
                  <c:v>15.868490905705871</c:v>
                </c:pt>
                <c:pt idx="117">
                  <c:v>16.103182152061066</c:v>
                </c:pt>
                <c:pt idx="118">
                  <c:v>16.339845001453362</c:v>
                </c:pt>
                <c:pt idx="119">
                  <c:v>16.578483363388074</c:v>
                </c:pt>
                <c:pt idx="120">
                  <c:v>16.81910125556357</c:v>
                </c:pt>
                <c:pt idx="121">
                  <c:v>17.061702797421457</c:v>
                </c:pt>
                <c:pt idx="122">
                  <c:v>17.306292203790068</c:v>
                </c:pt>
                <c:pt idx="123">
                  <c:v>17.552873778618537</c:v>
                </c:pt>
                <c:pt idx="124">
                  <c:v>17.80145190879901</c:v>
                </c:pt>
                <c:pt idx="125">
                  <c:v>18.052031058074572</c:v>
                </c:pt>
                <c:pt idx="126">
                  <c:v>18.304615761030835</c:v>
                </c:pt>
                <c:pt idx="127">
                  <c:v>18.559210617169096</c:v>
                </c:pt>
                <c:pt idx="128">
                  <c:v>18.815820285059264</c:v>
                </c:pt>
                <c:pt idx="129">
                  <c:v>19.074449476570827</c:v>
                </c:pt>
                <c:pt idx="130">
                  <c:v>19.335102951180293</c:v>
                </c:pt>
                <c:pt idx="131">
                  <c:v>19.597785510353695</c:v>
                </c:pt>
                <c:pt idx="132">
                  <c:v>19.862501992002919</c:v>
                </c:pt>
                <c:pt idx="133">
                  <c:v>20.129257265014601</c:v>
                </c:pt>
                <c:pt idx="134">
                  <c:v>20.39805622385088</c:v>
                </c:pt>
                <c:pt idx="135">
                  <c:v>20.668903783221367</c:v>
                </c:pt>
                <c:pt idx="136">
                  <c:v>20.941804872825912</c:v>
                </c:pt>
                <c:pt idx="137">
                  <c:v>21.21676443216743</c:v>
                </c:pt>
                <c:pt idx="138">
                  <c:v>21.493787405434436</c:v>
                </c:pt>
                <c:pt idx="139">
                  <c:v>21.772878736452743</c:v>
                </c:pt>
                <c:pt idx="140">
                  <c:v>22.054043363706167</c:v>
                </c:pt>
                <c:pt idx="141">
                  <c:v>22.337286215425944</c:v>
                </c:pt>
                <c:pt idx="142">
                  <c:v>22.622612204748869</c:v>
                </c:pt>
                <c:pt idx="143">
                  <c:v>22.91002622494403</c:v>
                </c:pt>
                <c:pt idx="144">
                  <c:v>23.199533144708372</c:v>
                </c:pt>
                <c:pt idx="145">
                  <c:v>23.491137803531171</c:v>
                </c:pt>
                <c:pt idx="146">
                  <c:v>23.784845007127711</c:v>
                </c:pt>
                <c:pt idx="147">
                  <c:v>24.080659522942469</c:v>
                </c:pt>
                <c:pt idx="148">
                  <c:v>24.378586075722286</c:v>
                </c:pt>
                <c:pt idx="149">
                  <c:v>24.678629343159912</c:v>
                </c:pt>
                <c:pt idx="150">
                  <c:v>24.980793951608511</c:v>
                </c:pt>
              </c:numCache>
            </c:numRef>
          </c:yVal>
          <c:smooth val="1"/>
        </c:ser>
        <c:ser>
          <c:idx val="5"/>
          <c:order val="6"/>
          <c:tx>
            <c:strRef>
              <c:f>DriftOff!$AI$64</c:f>
              <c:strCache>
                <c:ptCount val="1"/>
                <c:pt idx="0">
                  <c:v>Yellow (Op. Manual)</c:v>
                </c:pt>
              </c:strCache>
            </c:strRef>
          </c:tx>
          <c:spPr>
            <a:ln w="25400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DriftOff!$AI$67:$AI$91</c:f>
              <c:numCache>
                <c:formatCode>0.000</c:formatCode>
                <c:ptCount val="25"/>
                <c:pt idx="0">
                  <c:v>12.5</c:v>
                </c:pt>
                <c:pt idx="1">
                  <c:v>12.074072828613353</c:v>
                </c:pt>
                <c:pt idx="2">
                  <c:v>10.825317547305485</c:v>
                </c:pt>
                <c:pt idx="3">
                  <c:v>8.8388347648318444</c:v>
                </c:pt>
                <c:pt idx="4">
                  <c:v>6.2500000000000018</c:v>
                </c:pt>
                <c:pt idx="5">
                  <c:v>3.2352380637815092</c:v>
                </c:pt>
                <c:pt idx="6">
                  <c:v>7.6571778431788751E-16</c:v>
                </c:pt>
                <c:pt idx="7">
                  <c:v>-3.2352380637815106</c:v>
                </c:pt>
                <c:pt idx="8">
                  <c:v>-6.2499999999999973</c:v>
                </c:pt>
                <c:pt idx="9">
                  <c:v>-8.8388347648318426</c:v>
                </c:pt>
                <c:pt idx="10">
                  <c:v>-10.825317547305485</c:v>
                </c:pt>
                <c:pt idx="11">
                  <c:v>-12.074072828613353</c:v>
                </c:pt>
                <c:pt idx="12">
                  <c:v>-12.5</c:v>
                </c:pt>
                <c:pt idx="13">
                  <c:v>-12.074072828613353</c:v>
                </c:pt>
                <c:pt idx="14">
                  <c:v>-10.825317547305483</c:v>
                </c:pt>
                <c:pt idx="15">
                  <c:v>-8.8388347648318462</c:v>
                </c:pt>
                <c:pt idx="16">
                  <c:v>-6.2500000000000053</c:v>
                </c:pt>
                <c:pt idx="17">
                  <c:v>-3.2352380637815079</c:v>
                </c:pt>
                <c:pt idx="18">
                  <c:v>-2.2971533529536625E-15</c:v>
                </c:pt>
                <c:pt idx="19">
                  <c:v>3.2352380637815035</c:v>
                </c:pt>
                <c:pt idx="20">
                  <c:v>6.2500000000000018</c:v>
                </c:pt>
                <c:pt idx="21">
                  <c:v>8.8388347648318426</c:v>
                </c:pt>
                <c:pt idx="22">
                  <c:v>10.825317547305479</c:v>
                </c:pt>
                <c:pt idx="23">
                  <c:v>12.074072828613353</c:v>
                </c:pt>
                <c:pt idx="24">
                  <c:v>12.5</c:v>
                </c:pt>
              </c:numCache>
            </c:numRef>
          </c:xVal>
          <c:yVal>
            <c:numRef>
              <c:f>DriftOff!$AJ$67:$AJ$91</c:f>
              <c:numCache>
                <c:formatCode>0.000</c:formatCode>
                <c:ptCount val="25"/>
                <c:pt idx="0">
                  <c:v>0</c:v>
                </c:pt>
                <c:pt idx="1">
                  <c:v>3.2352380637815092</c:v>
                </c:pt>
                <c:pt idx="2">
                  <c:v>6.2499999999999991</c:v>
                </c:pt>
                <c:pt idx="3">
                  <c:v>8.8388347648318426</c:v>
                </c:pt>
                <c:pt idx="4">
                  <c:v>10.825317547305483</c:v>
                </c:pt>
                <c:pt idx="5">
                  <c:v>12.074072828613353</c:v>
                </c:pt>
                <c:pt idx="6">
                  <c:v>12.5</c:v>
                </c:pt>
                <c:pt idx="7">
                  <c:v>12.074072828613353</c:v>
                </c:pt>
                <c:pt idx="8">
                  <c:v>10.825317547305485</c:v>
                </c:pt>
                <c:pt idx="9">
                  <c:v>8.8388347648318444</c:v>
                </c:pt>
                <c:pt idx="10">
                  <c:v>6.2499999999999991</c:v>
                </c:pt>
                <c:pt idx="11">
                  <c:v>3.2352380637815128</c:v>
                </c:pt>
                <c:pt idx="12">
                  <c:v>1.531435568635775E-15</c:v>
                </c:pt>
                <c:pt idx="13">
                  <c:v>-3.2352380637815101</c:v>
                </c:pt>
                <c:pt idx="14">
                  <c:v>-6.2500000000000018</c:v>
                </c:pt>
                <c:pt idx="15">
                  <c:v>-8.8388347648318426</c:v>
                </c:pt>
                <c:pt idx="16">
                  <c:v>-10.825317547305479</c:v>
                </c:pt>
                <c:pt idx="17">
                  <c:v>-12.074072828613353</c:v>
                </c:pt>
                <c:pt idx="18">
                  <c:v>-12.5</c:v>
                </c:pt>
                <c:pt idx="19">
                  <c:v>-12.074072828613355</c:v>
                </c:pt>
                <c:pt idx="20">
                  <c:v>-10.825317547305483</c:v>
                </c:pt>
                <c:pt idx="21">
                  <c:v>-8.8388347648318462</c:v>
                </c:pt>
                <c:pt idx="22">
                  <c:v>-6.2500000000000053</c:v>
                </c:pt>
                <c:pt idx="23">
                  <c:v>-3.2352380637815084</c:v>
                </c:pt>
                <c:pt idx="24">
                  <c:v>-3.06287113727155E-15</c:v>
                </c:pt>
              </c:numCache>
            </c:numRef>
          </c:yVal>
          <c:smooth val="1"/>
        </c:ser>
        <c:ser>
          <c:idx val="17"/>
          <c:order val="7"/>
          <c:tx>
            <c:strRef>
              <c:f>DriftOff!$AM$64</c:f>
              <c:strCache>
                <c:ptCount val="1"/>
                <c:pt idx="0">
                  <c:v>Yellow (POD)</c:v>
                </c:pt>
              </c:strCache>
            </c:strRef>
          </c:tx>
          <c:spPr>
            <a:ln>
              <a:solidFill>
                <a:srgbClr val="BD9A07"/>
              </a:solidFill>
              <a:prstDash val="dashDot"/>
            </a:ln>
          </c:spPr>
          <c:marker>
            <c:symbol val="none"/>
          </c:marker>
          <c:xVal>
            <c:numRef>
              <c:f>DriftOff!$AM$67:$AM$91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xVal>
          <c:yVal>
            <c:numRef>
              <c:f>DriftOff!$AN$67:$AN$91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1"/>
        </c:ser>
        <c:ser>
          <c:idx val="14"/>
          <c:order val="8"/>
          <c:tx>
            <c:strRef>
              <c:f>DriftOff!$AT$64</c:f>
              <c:strCache>
                <c:ptCount val="1"/>
                <c:pt idx="0">
                  <c:v>Semi Yellow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DriftOff!$AT$71:$AT$77</c:f>
              <c:numCache>
                <c:formatCode>0.000</c:formatCode>
                <c:ptCount val="7"/>
                <c:pt idx="0">
                  <c:v>4.585104907772859</c:v>
                </c:pt>
                <c:pt idx="1">
                  <c:v>10.499572856211806</c:v>
                </c:pt>
                <c:pt idx="2">
                  <c:v>13.985215918029319</c:v>
                </c:pt>
                <c:pt idx="3">
                  <c:v>14.804493278860043</c:v>
                </c:pt>
                <c:pt idx="4">
                  <c:v>12.90157254048323</c:v>
                </c:pt>
                <c:pt idx="5">
                  <c:v>8.4061346064940565</c:v>
                </c:pt>
                <c:pt idx="6">
                  <c:v>1.6245361430314205</c:v>
                </c:pt>
              </c:numCache>
            </c:numRef>
          </c:xVal>
          <c:yVal>
            <c:numRef>
              <c:f>DriftOff!$AU$71:$AU$77</c:f>
              <c:numCache>
                <c:formatCode>0.000</c:formatCode>
                <c:ptCount val="7"/>
                <c:pt idx="0">
                  <c:v>-28.082791887916319</c:v>
                </c:pt>
                <c:pt idx="1">
                  <c:v>-19.477187623143859</c:v>
                </c:pt>
                <c:pt idx="2">
                  <c:v>-9.6340352662723632</c:v>
                </c:pt>
                <c:pt idx="3">
                  <c:v>0.77587061615576425</c:v>
                </c:pt>
                <c:pt idx="4">
                  <c:v>11.043112141435907</c:v>
                </c:pt>
                <c:pt idx="5">
                  <c:v>20.467993767039093</c:v>
                </c:pt>
                <c:pt idx="6">
                  <c:v>28.408225385533779</c:v>
                </c:pt>
              </c:numCache>
            </c:numRef>
          </c:yVal>
          <c:smooth val="1"/>
        </c:ser>
        <c:ser>
          <c:idx val="0"/>
          <c:order val="9"/>
          <c:tx>
            <c:strRef>
              <c:f>DriftOff!$AG$64</c:f>
              <c:strCache>
                <c:ptCount val="1"/>
                <c:pt idx="0">
                  <c:v>Red (Op. Manual)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DriftOff!$AG$67:$AG$91</c:f>
              <c:numCache>
                <c:formatCode>0.000</c:formatCode>
                <c:ptCount val="25"/>
                <c:pt idx="0">
                  <c:v>25</c:v>
                </c:pt>
                <c:pt idx="1">
                  <c:v>24.148145657226706</c:v>
                </c:pt>
                <c:pt idx="2">
                  <c:v>21.650635094610969</c:v>
                </c:pt>
                <c:pt idx="3">
                  <c:v>17.677669529663689</c:v>
                </c:pt>
                <c:pt idx="4">
                  <c:v>12.500000000000004</c:v>
                </c:pt>
                <c:pt idx="5">
                  <c:v>6.4704761275630185</c:v>
                </c:pt>
                <c:pt idx="6">
                  <c:v>1.531435568635775E-15</c:v>
                </c:pt>
                <c:pt idx="7">
                  <c:v>-6.4704761275630212</c:v>
                </c:pt>
                <c:pt idx="8">
                  <c:v>-12.499999999999995</c:v>
                </c:pt>
                <c:pt idx="9">
                  <c:v>-17.677669529663685</c:v>
                </c:pt>
                <c:pt idx="10">
                  <c:v>-21.650635094610969</c:v>
                </c:pt>
                <c:pt idx="11">
                  <c:v>-24.148145657226706</c:v>
                </c:pt>
                <c:pt idx="12">
                  <c:v>-25</c:v>
                </c:pt>
                <c:pt idx="13">
                  <c:v>-24.148145657226706</c:v>
                </c:pt>
                <c:pt idx="14">
                  <c:v>-21.650635094610966</c:v>
                </c:pt>
                <c:pt idx="15">
                  <c:v>-17.677669529663692</c:v>
                </c:pt>
                <c:pt idx="16">
                  <c:v>-12.500000000000011</c:v>
                </c:pt>
                <c:pt idx="17">
                  <c:v>-6.4704761275630158</c:v>
                </c:pt>
                <c:pt idx="18">
                  <c:v>-4.594306705907325E-15</c:v>
                </c:pt>
                <c:pt idx="19">
                  <c:v>6.4704761275630069</c:v>
                </c:pt>
                <c:pt idx="20">
                  <c:v>12.500000000000004</c:v>
                </c:pt>
                <c:pt idx="21">
                  <c:v>17.677669529663685</c:v>
                </c:pt>
                <c:pt idx="22">
                  <c:v>21.650635094610958</c:v>
                </c:pt>
                <c:pt idx="23">
                  <c:v>24.148145657226706</c:v>
                </c:pt>
                <c:pt idx="24">
                  <c:v>25</c:v>
                </c:pt>
              </c:numCache>
            </c:numRef>
          </c:xVal>
          <c:yVal>
            <c:numRef>
              <c:f>DriftOff!$AH$67:$AH$91</c:f>
              <c:numCache>
                <c:formatCode>0.000</c:formatCode>
                <c:ptCount val="25"/>
                <c:pt idx="0">
                  <c:v>0</c:v>
                </c:pt>
                <c:pt idx="1">
                  <c:v>6.4704761275630185</c:v>
                </c:pt>
                <c:pt idx="2">
                  <c:v>12.499999999999998</c:v>
                </c:pt>
                <c:pt idx="3">
                  <c:v>17.677669529663685</c:v>
                </c:pt>
                <c:pt idx="4">
                  <c:v>21.650635094610966</c:v>
                </c:pt>
                <c:pt idx="5">
                  <c:v>24.148145657226706</c:v>
                </c:pt>
                <c:pt idx="6">
                  <c:v>25</c:v>
                </c:pt>
                <c:pt idx="7">
                  <c:v>24.148145657226706</c:v>
                </c:pt>
                <c:pt idx="8">
                  <c:v>21.650635094610969</c:v>
                </c:pt>
                <c:pt idx="9">
                  <c:v>17.677669529663689</c:v>
                </c:pt>
                <c:pt idx="10">
                  <c:v>12.499999999999998</c:v>
                </c:pt>
                <c:pt idx="11">
                  <c:v>6.4704761275630256</c:v>
                </c:pt>
                <c:pt idx="12">
                  <c:v>3.06287113727155E-15</c:v>
                </c:pt>
                <c:pt idx="13">
                  <c:v>-6.4704761275630203</c:v>
                </c:pt>
                <c:pt idx="14">
                  <c:v>-12.500000000000004</c:v>
                </c:pt>
                <c:pt idx="15">
                  <c:v>-17.677669529663685</c:v>
                </c:pt>
                <c:pt idx="16">
                  <c:v>-21.650635094610958</c:v>
                </c:pt>
                <c:pt idx="17">
                  <c:v>-24.148145657226706</c:v>
                </c:pt>
                <c:pt idx="18">
                  <c:v>-25</c:v>
                </c:pt>
                <c:pt idx="19">
                  <c:v>-24.14814565722671</c:v>
                </c:pt>
                <c:pt idx="20">
                  <c:v>-21.650635094610966</c:v>
                </c:pt>
                <c:pt idx="21">
                  <c:v>-17.677669529663692</c:v>
                </c:pt>
                <c:pt idx="22">
                  <c:v>-12.500000000000011</c:v>
                </c:pt>
                <c:pt idx="23">
                  <c:v>-6.4704761275630167</c:v>
                </c:pt>
                <c:pt idx="24">
                  <c:v>-6.1257422745431001E-15</c:v>
                </c:pt>
              </c:numCache>
            </c:numRef>
          </c:yVal>
          <c:smooth val="1"/>
        </c:ser>
        <c:ser>
          <c:idx val="16"/>
          <c:order val="10"/>
          <c:tx>
            <c:strRef>
              <c:f>DriftOff!$AK$64</c:f>
              <c:strCache>
                <c:ptCount val="1"/>
                <c:pt idx="0">
                  <c:v>Red (POD)</c:v>
                </c:pt>
              </c:strCache>
            </c:strRef>
          </c:tx>
          <c:spPr>
            <a:ln>
              <a:solidFill>
                <a:srgbClr val="FF0000"/>
              </a:solidFill>
              <a:prstDash val="dashDot"/>
            </a:ln>
          </c:spPr>
          <c:marker>
            <c:symbol val="none"/>
          </c:marker>
          <c:xVal>
            <c:numRef>
              <c:f>DriftOff!$AK$67:$AK$91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xVal>
          <c:yVal>
            <c:numRef>
              <c:f>DriftOff!$AL$67:$AL$91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1"/>
        </c:ser>
        <c:ser>
          <c:idx val="15"/>
          <c:order val="11"/>
          <c:tx>
            <c:strRef>
              <c:f>DriftOff!$AR$64</c:f>
              <c:strCache>
                <c:ptCount val="1"/>
                <c:pt idx="0">
                  <c:v>Semi Red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DriftOff!$AR$71:$AR$77</c:f>
              <c:numCache>
                <c:formatCode>0.000</c:formatCode>
                <c:ptCount val="7"/>
                <c:pt idx="0">
                  <c:v>11.614645220805777</c:v>
                </c:pt>
                <c:pt idx="1">
                  <c:v>17.529113169244724</c:v>
                </c:pt>
                <c:pt idx="2">
                  <c:v>21.014756231062236</c:v>
                </c:pt>
                <c:pt idx="3">
                  <c:v>21.834033591892961</c:v>
                </c:pt>
                <c:pt idx="4">
                  <c:v>19.931112853516147</c:v>
                </c:pt>
                <c:pt idx="5">
                  <c:v>15.435674919526974</c:v>
                </c:pt>
                <c:pt idx="6">
                  <c:v>8.6540764560643382</c:v>
                </c:pt>
              </c:numCache>
            </c:numRef>
          </c:xVal>
          <c:yVal>
            <c:numRef>
              <c:f>DriftOff!$AS$71:$AS$77</c:f>
              <c:numCache>
                <c:formatCode>0.000</c:formatCode>
                <c:ptCount val="7"/>
                <c:pt idx="0">
                  <c:v>-27.714389290729649</c:v>
                </c:pt>
                <c:pt idx="1">
                  <c:v>-19.108785025957189</c:v>
                </c:pt>
                <c:pt idx="2">
                  <c:v>-9.2656326690856936</c:v>
                </c:pt>
                <c:pt idx="3">
                  <c:v>1.144273213342434</c:v>
                </c:pt>
                <c:pt idx="4">
                  <c:v>11.411514738622577</c:v>
                </c:pt>
                <c:pt idx="5">
                  <c:v>20.836396364225763</c:v>
                </c:pt>
                <c:pt idx="6">
                  <c:v>28.776627982720449</c:v>
                </c:pt>
              </c:numCache>
            </c:numRef>
          </c:yVal>
          <c:smooth val="1"/>
        </c:ser>
        <c:ser>
          <c:idx val="4"/>
          <c:order val="12"/>
          <c:tx>
            <c:strRef>
              <c:f>DriftOff!$AO$64</c:f>
              <c:strCache>
                <c:ptCount val="1"/>
                <c:pt idx="0">
                  <c:v>POD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DriftOff!$AO$67:$AO$91</c:f>
              <c:numCache>
                <c:formatCode>0.000</c:formatCode>
                <c:ptCount val="25"/>
                <c:pt idx="0">
                  <c:v>40</c:v>
                </c:pt>
                <c:pt idx="1">
                  <c:v>38.637033051562732</c:v>
                </c:pt>
                <c:pt idx="2">
                  <c:v>34.641016151377549</c:v>
                </c:pt>
                <c:pt idx="3">
                  <c:v>28.284271247461902</c:v>
                </c:pt>
                <c:pt idx="4">
                  <c:v>20.000000000000004</c:v>
                </c:pt>
                <c:pt idx="5">
                  <c:v>10.35276180410083</c:v>
                </c:pt>
                <c:pt idx="6">
                  <c:v>2.45029690981724E-15</c:v>
                </c:pt>
                <c:pt idx="7">
                  <c:v>-10.352761804100833</c:v>
                </c:pt>
                <c:pt idx="8">
                  <c:v>-19.999999999999993</c:v>
                </c:pt>
                <c:pt idx="9">
                  <c:v>-28.284271247461898</c:v>
                </c:pt>
                <c:pt idx="10">
                  <c:v>-34.641016151377549</c:v>
                </c:pt>
                <c:pt idx="11">
                  <c:v>-38.637033051562724</c:v>
                </c:pt>
                <c:pt idx="12">
                  <c:v>-40</c:v>
                </c:pt>
                <c:pt idx="13">
                  <c:v>-38.637033051562732</c:v>
                </c:pt>
                <c:pt idx="14">
                  <c:v>-34.641016151377542</c:v>
                </c:pt>
                <c:pt idx="15">
                  <c:v>-28.284271247461909</c:v>
                </c:pt>
                <c:pt idx="16">
                  <c:v>-20.000000000000018</c:v>
                </c:pt>
                <c:pt idx="17">
                  <c:v>-10.352761804100826</c:v>
                </c:pt>
                <c:pt idx="18">
                  <c:v>-7.3508907294517201E-15</c:v>
                </c:pt>
                <c:pt idx="19">
                  <c:v>10.352761804100812</c:v>
                </c:pt>
                <c:pt idx="20">
                  <c:v>20.000000000000004</c:v>
                </c:pt>
                <c:pt idx="21">
                  <c:v>28.284271247461895</c:v>
                </c:pt>
                <c:pt idx="22">
                  <c:v>34.641016151377535</c:v>
                </c:pt>
                <c:pt idx="23">
                  <c:v>38.637033051562732</c:v>
                </c:pt>
                <c:pt idx="24">
                  <c:v>40</c:v>
                </c:pt>
              </c:numCache>
            </c:numRef>
          </c:xVal>
          <c:yVal>
            <c:numRef>
              <c:f>DriftOff!$AP$67:$AP$91</c:f>
              <c:numCache>
                <c:formatCode>0.000</c:formatCode>
                <c:ptCount val="25"/>
                <c:pt idx="0">
                  <c:v>0</c:v>
                </c:pt>
                <c:pt idx="1">
                  <c:v>10.35276180410083</c:v>
                </c:pt>
                <c:pt idx="2">
                  <c:v>19.999999999999996</c:v>
                </c:pt>
                <c:pt idx="3">
                  <c:v>28.284271247461898</c:v>
                </c:pt>
                <c:pt idx="4">
                  <c:v>34.641016151377542</c:v>
                </c:pt>
                <c:pt idx="5">
                  <c:v>38.637033051562732</c:v>
                </c:pt>
                <c:pt idx="6">
                  <c:v>40</c:v>
                </c:pt>
                <c:pt idx="7">
                  <c:v>38.637033051562732</c:v>
                </c:pt>
                <c:pt idx="8">
                  <c:v>34.641016151377549</c:v>
                </c:pt>
                <c:pt idx="9">
                  <c:v>28.284271247461902</c:v>
                </c:pt>
                <c:pt idx="10">
                  <c:v>19.999999999999996</c:v>
                </c:pt>
                <c:pt idx="11">
                  <c:v>10.35276180410084</c:v>
                </c:pt>
                <c:pt idx="12">
                  <c:v>4.90059381963448E-15</c:v>
                </c:pt>
                <c:pt idx="13">
                  <c:v>-10.352761804100831</c:v>
                </c:pt>
                <c:pt idx="14">
                  <c:v>-20.000000000000004</c:v>
                </c:pt>
                <c:pt idx="15">
                  <c:v>-28.284271247461898</c:v>
                </c:pt>
                <c:pt idx="16">
                  <c:v>-34.641016151377535</c:v>
                </c:pt>
                <c:pt idx="17">
                  <c:v>-38.637033051562732</c:v>
                </c:pt>
                <c:pt idx="18">
                  <c:v>-40</c:v>
                </c:pt>
                <c:pt idx="19">
                  <c:v>-38.637033051562739</c:v>
                </c:pt>
                <c:pt idx="20">
                  <c:v>-34.641016151377542</c:v>
                </c:pt>
                <c:pt idx="21">
                  <c:v>-28.284271247461909</c:v>
                </c:pt>
                <c:pt idx="22">
                  <c:v>-20.000000000000018</c:v>
                </c:pt>
                <c:pt idx="23">
                  <c:v>-10.352761804100828</c:v>
                </c:pt>
                <c:pt idx="24">
                  <c:v>-9.8011876392689601E-15</c:v>
                </c:pt>
              </c:numCache>
            </c:numRef>
          </c:yVal>
          <c:smooth val="1"/>
        </c:ser>
        <c:ser>
          <c:idx val="6"/>
          <c:order val="13"/>
          <c:tx>
            <c:v>Wind</c:v>
          </c:tx>
          <c:spPr>
            <a:ln w="25400">
              <a:solidFill>
                <a:srgbClr val="00808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pPr>
                      <a:defRPr sz="1100" b="1" i="0" u="none" strike="noStrike" baseline="0">
                        <a:solidFill>
                          <a:srgbClr val="00808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Wind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DriftOff!$BB$71:$BB$75</c:f>
              <c:numCache>
                <c:formatCode>0.00</c:formatCode>
                <c:ptCount val="5"/>
                <c:pt idx="0">
                  <c:v>-43.333333333333329</c:v>
                </c:pt>
                <c:pt idx="1">
                  <c:v>-20</c:v>
                </c:pt>
                <c:pt idx="2">
                  <c:v>-24.662909813857652</c:v>
                </c:pt>
                <c:pt idx="3">
                  <c:v>-24.662909813857652</c:v>
                </c:pt>
                <c:pt idx="4">
                  <c:v>-20</c:v>
                </c:pt>
              </c:numCache>
            </c:numRef>
          </c:xVal>
          <c:yVal>
            <c:numRef>
              <c:f>DriftOff!$BA$71:$BA$75</c:f>
              <c:numCache>
                <c:formatCode>0.00</c:formatCode>
                <c:ptCount val="5"/>
                <c:pt idx="0">
                  <c:v>-7.9634649569060285E-15</c:v>
                </c:pt>
                <c:pt idx="1">
                  <c:v>-3.67544536472586E-15</c:v>
                </c:pt>
                <c:pt idx="2">
                  <c:v>0.43049269211965058</c:v>
                </c:pt>
                <c:pt idx="3">
                  <c:v>-0.43049269211965963</c:v>
                </c:pt>
                <c:pt idx="4">
                  <c:v>-3.67544536472586E-15</c:v>
                </c:pt>
              </c:numCache>
            </c:numRef>
          </c:yVal>
          <c:smooth val="0"/>
        </c:ser>
        <c:ser>
          <c:idx val="7"/>
          <c:order val="14"/>
          <c:tx>
            <c:v>Waves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pPr>
                      <a:defRPr sz="1100" b="1" i="0" u="none" strike="noStrike" baseline="0">
                        <a:solidFill>
                          <a:srgbClr val="0000FF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Sea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DriftOff!$BB$76:$BB$80</c:f>
              <c:numCache>
                <c:formatCode>0.00</c:formatCode>
                <c:ptCount val="5"/>
                <c:pt idx="0">
                  <c:v>-42.675002630529015</c:v>
                </c:pt>
                <c:pt idx="1">
                  <c:v>-19.696155060244163</c:v>
                </c:pt>
                <c:pt idx="2">
                  <c:v>-24.213470525042375</c:v>
                </c:pt>
                <c:pt idx="3">
                  <c:v>-24.362979068013399</c:v>
                </c:pt>
                <c:pt idx="4">
                  <c:v>-19.696155060244163</c:v>
                </c:pt>
              </c:numCache>
            </c:numRef>
          </c:xVal>
          <c:yVal>
            <c:numRef>
              <c:f>DriftOff!$BA$76:$BA$80</c:f>
              <c:numCache>
                <c:formatCode>0.00</c:formatCode>
                <c:ptCount val="5"/>
                <c:pt idx="0">
                  <c:v>7.5247543655669649</c:v>
                </c:pt>
                <c:pt idx="1">
                  <c:v>3.4729635533385994</c:v>
                </c:pt>
                <c:pt idx="2">
                  <c:v>4.7066218859547799</c:v>
                </c:pt>
                <c:pt idx="3">
                  <c:v>3.8587168043256903</c:v>
                </c:pt>
                <c:pt idx="4">
                  <c:v>3.4729635533385994</c:v>
                </c:pt>
              </c:numCache>
            </c:numRef>
          </c:yVal>
          <c:smooth val="0"/>
        </c:ser>
        <c:ser>
          <c:idx val="8"/>
          <c:order val="15"/>
          <c:tx>
            <c:v>Current</c:v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pPr>
                      <a:defRPr sz="1100" b="1" i="0" u="none" strike="noStrike" baseline="0">
                        <a:solidFill>
                          <a:srgbClr val="00CCFF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Current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DriftOff!$BB$81:$BB$85</c:f>
              <c:numCache>
                <c:formatCode>0.00</c:formatCode>
                <c:ptCount val="5"/>
                <c:pt idx="0">
                  <c:v>-14.820872877445641</c:v>
                </c:pt>
                <c:pt idx="1">
                  <c:v>-6.8404028665133731</c:v>
                </c:pt>
                <c:pt idx="2">
                  <c:v>-8.8397427554507448</c:v>
                </c:pt>
                <c:pt idx="3">
                  <c:v>-8.0306811432765333</c:v>
                </c:pt>
                <c:pt idx="4">
                  <c:v>-6.8404028665133731</c:v>
                </c:pt>
              </c:numCache>
            </c:numRef>
          </c:xVal>
          <c:yVal>
            <c:numRef>
              <c:f>DriftOff!$BA$81:$BA$85</c:f>
              <c:numCache>
                <c:formatCode>0.00</c:formatCode>
                <c:ptCount val="5"/>
                <c:pt idx="0">
                  <c:v>-40.720013567389358</c:v>
                </c:pt>
                <c:pt idx="1">
                  <c:v>-18.79385241571817</c:v>
                </c:pt>
                <c:pt idx="2">
                  <c:v>-23.028317186930977</c:v>
                </c:pt>
                <c:pt idx="3">
                  <c:v>-23.322791531449813</c:v>
                </c:pt>
                <c:pt idx="4">
                  <c:v>-18.79385241571817</c:v>
                </c:pt>
              </c:numCache>
            </c:numRef>
          </c:yVal>
          <c:smooth val="0"/>
        </c:ser>
        <c:ser>
          <c:idx val="12"/>
          <c:order val="16"/>
          <c:tx>
            <c:strRef>
              <c:f>DriftOff!$AW$86</c:f>
              <c:strCache>
                <c:ptCount val="1"/>
                <c:pt idx="0">
                  <c:v>Swell 1</c:v>
                </c:pt>
              </c:strCache>
            </c:strRef>
          </c:tx>
          <c:spPr>
            <a:ln w="25400">
              <a:solidFill>
                <a:srgbClr val="80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pPr>
                      <a:defRPr sz="1100" b="1" i="0" u="none" strike="noStrike" baseline="0">
                        <a:solidFill>
                          <a:srgbClr val="8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Swell 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Pos val="r"/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DriftOff!$BB$86:$BB$90</c:f>
              <c:numCache>
                <c:formatCode>0.00</c:formatCode>
                <c:ptCount val="5"/>
                <c:pt idx="0">
                  <c:v>-16.666666666666668</c:v>
                </c:pt>
                <c:pt idx="1">
                  <c:v>-10.000000000000002</c:v>
                </c:pt>
                <c:pt idx="2">
                  <c:v>-12.704272514448004</c:v>
                </c:pt>
                <c:pt idx="3">
                  <c:v>-11.958637299409645</c:v>
                </c:pt>
                <c:pt idx="4">
                  <c:v>-10.000000000000002</c:v>
                </c:pt>
              </c:numCache>
            </c:numRef>
          </c:xVal>
          <c:yVal>
            <c:numRef>
              <c:f>DriftOff!$BA$86:$BA$90</c:f>
              <c:numCache>
                <c:formatCode>0.00</c:formatCode>
                <c:ptCount val="5"/>
                <c:pt idx="0">
                  <c:v>-28.867513459481284</c:v>
                </c:pt>
                <c:pt idx="1">
                  <c:v>-17.320508075688771</c:v>
                </c:pt>
                <c:pt idx="2">
                  <c:v>-21.143460083985438</c:v>
                </c:pt>
                <c:pt idx="3">
                  <c:v>-21.573952776105099</c:v>
                </c:pt>
                <c:pt idx="4">
                  <c:v>-17.320508075688771</c:v>
                </c:pt>
              </c:numCache>
            </c:numRef>
          </c:yVal>
          <c:smooth val="0"/>
        </c:ser>
        <c:ser>
          <c:idx val="18"/>
          <c:order val="17"/>
          <c:tx>
            <c:strRef>
              <c:f>DriftOff!$AW$91</c:f>
              <c:strCache>
                <c:ptCount val="1"/>
                <c:pt idx="0">
                  <c:v>Swell 2</c:v>
                </c:pt>
              </c:strCache>
            </c:strRef>
          </c:tx>
          <c:marker>
            <c:symbol val="none"/>
          </c:marker>
          <c:dPt>
            <c:idx val="1"/>
            <c:bubble3D val="0"/>
            <c:spPr>
              <a:ln>
                <a:solidFill>
                  <a:srgbClr val="C00000"/>
                </a:solidFill>
              </a:ln>
            </c:spPr>
          </c:dPt>
          <c:dPt>
            <c:idx val="2"/>
            <c:bubble3D val="0"/>
            <c:spPr>
              <a:ln>
                <a:solidFill>
                  <a:srgbClr val="C00000"/>
                </a:solidFill>
              </a:ln>
            </c:spPr>
          </c:dPt>
          <c:dPt>
            <c:idx val="3"/>
            <c:bubble3D val="0"/>
            <c:spPr>
              <a:ln>
                <a:solidFill>
                  <a:srgbClr val="C00000"/>
                </a:solidFill>
              </a:ln>
            </c:spPr>
          </c:dPt>
          <c:dPt>
            <c:idx val="4"/>
            <c:bubble3D val="0"/>
            <c:spPr>
              <a:ln>
                <a:solidFill>
                  <a:srgbClr val="C00000"/>
                </a:solidFill>
              </a:ln>
            </c:spPr>
          </c:dPt>
          <c:dLbls>
            <c:dLbl>
              <c:idx val="0"/>
              <c:layout>
                <c:manualLayout>
                  <c:x val="-3.5823755329649071E-2"/>
                  <c:y val="-2.4444444444444446E-2"/>
                </c:manualLayout>
              </c:layout>
              <c:tx>
                <c:rich>
                  <a:bodyPr/>
                  <a:lstStyle/>
                  <a:p>
                    <a:pPr>
                      <a:defRPr b="1">
                        <a:solidFill>
                          <a:srgbClr val="C00000"/>
                        </a:solidFill>
                      </a:defRPr>
                    </a:pPr>
                    <a:r>
                      <a:rPr lang="en-US" b="1">
                        <a:solidFill>
                          <a:srgbClr val="C00000"/>
                        </a:solidFill>
                      </a:rPr>
                      <a:t>Swell 2</a:t>
                    </a:r>
                    <a:endParaRPr lang="en-US" b="0">
                      <a:solidFill>
                        <a:sysClr val="windowText" lastClr="000000"/>
                      </a:solidFill>
                    </a:endParaRPr>
                  </a:p>
                </c:rich>
              </c:tx>
              <c:spPr>
                <a:solidFill>
                  <a:sysClr val="window" lastClr="FFFFFF"/>
                </a:solidFill>
              </c:spPr>
              <c:showLegendKey val="0"/>
              <c:showVal val="0"/>
              <c:showCatName val="0"/>
              <c:showSerName val="1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rgbClr val="C0000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DriftOff!$BB$91:$BB$95</c:f>
              <c:numCache>
                <c:formatCode>0.00</c:formatCode>
                <c:ptCount val="5"/>
                <c:pt idx="0">
                  <c:v>-25.534814770632593</c:v>
                </c:pt>
                <c:pt idx="1">
                  <c:v>-15.320888862379558</c:v>
                </c:pt>
                <c:pt idx="2">
                  <c:v>-19.169600382605275</c:v>
                </c:pt>
                <c:pt idx="3">
                  <c:v>-18.616169645495045</c:v>
                </c:pt>
                <c:pt idx="4">
                  <c:v>-15.320888862379558</c:v>
                </c:pt>
              </c:numCache>
            </c:numRef>
          </c:xVal>
          <c:yVal>
            <c:numRef>
              <c:f>DriftOff!$BA$91:$BA$95</c:f>
              <c:numCache>
                <c:formatCode>0.00</c:formatCode>
                <c:ptCount val="5"/>
                <c:pt idx="0">
                  <c:v>-21.42625365621798</c:v>
                </c:pt>
                <c:pt idx="1">
                  <c:v>-12.85575219373079</c:v>
                </c:pt>
                <c:pt idx="2">
                  <c:v>-15.523236312562668</c:v>
                </c:pt>
                <c:pt idx="3">
                  <c:v>-16.182789381765847</c:v>
                </c:pt>
                <c:pt idx="4">
                  <c:v>-12.85575219373079</c:v>
                </c:pt>
              </c:numCache>
            </c:numRef>
          </c:yVal>
          <c:smooth val="1"/>
        </c:ser>
        <c:ser>
          <c:idx val="19"/>
          <c:order val="18"/>
          <c:tx>
            <c:strRef>
              <c:f>DriftOff!$AW$96</c:f>
              <c:strCache>
                <c:ptCount val="1"/>
                <c:pt idx="0">
                  <c:v>Swell 3</c:v>
                </c:pt>
              </c:strCache>
            </c:strRef>
          </c:tx>
          <c:spPr>
            <a:ln>
              <a:solidFill>
                <a:srgbClr val="FF33CC"/>
              </a:solidFill>
            </a:ln>
          </c:spPr>
          <c:marker>
            <c:symbol val="none"/>
          </c:marker>
          <c:dLbls>
            <c:dLbl>
              <c:idx val="1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txPr>
              <a:bodyPr/>
              <a:lstStyle/>
              <a:p>
                <a:pPr>
                  <a:defRPr b="1">
                    <a:solidFill>
                      <a:srgbClr val="FF33CC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DriftOff!$BB$96:$BB$100</c:f>
              <c:numCache>
                <c:formatCode>0.00</c:formatCode>
                <c:ptCount val="5"/>
                <c:pt idx="0">
                  <c:v>10028.867513459481</c:v>
                </c:pt>
                <c:pt idx="1">
                  <c:v>10017.320508075689</c:v>
                </c:pt>
                <c:pt idx="2">
                  <c:v>10021.143460083986</c:v>
                </c:pt>
                <c:pt idx="3">
                  <c:v>10021.573952776105</c:v>
                </c:pt>
                <c:pt idx="4">
                  <c:v>10017.320508075689</c:v>
                </c:pt>
              </c:numCache>
            </c:numRef>
          </c:xVal>
          <c:yVal>
            <c:numRef>
              <c:f>DriftOff!$BA$96:$BA$100</c:f>
              <c:numCache>
                <c:formatCode>0.00</c:formatCode>
                <c:ptCount val="5"/>
                <c:pt idx="0">
                  <c:v>-16.666666666666657</c:v>
                </c:pt>
                <c:pt idx="1">
                  <c:v>-9.9999999999999964</c:v>
                </c:pt>
                <c:pt idx="2">
                  <c:v>-12.704272514448006</c:v>
                </c:pt>
                <c:pt idx="3">
                  <c:v>-11.958637299409647</c:v>
                </c:pt>
                <c:pt idx="4">
                  <c:v>-9.9999999999999964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025600"/>
        <c:axId val="158560640"/>
      </c:scatterChart>
      <c:valAx>
        <c:axId val="156025600"/>
        <c:scaling>
          <c:orientation val="minMax"/>
          <c:max val="60"/>
          <c:min val="-6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W(-) [m]                                                  E(+) [m] </a:t>
                </a:r>
              </a:p>
            </c:rich>
          </c:tx>
          <c:layout>
            <c:manualLayout>
              <c:xMode val="edge"/>
              <c:yMode val="edge"/>
              <c:x val="0.22660100168017555"/>
              <c:y val="0.948800699912511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8560640"/>
        <c:crossesAt val="-2000"/>
        <c:crossBetween val="midCat"/>
        <c:majorUnit val="20"/>
      </c:valAx>
      <c:valAx>
        <c:axId val="158560640"/>
        <c:scaling>
          <c:orientation val="minMax"/>
          <c:max val="60"/>
          <c:min val="-6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S(-) [m]                                         N(+) [m]</a:t>
                </a:r>
              </a:p>
            </c:rich>
          </c:tx>
          <c:layout>
            <c:manualLayout>
              <c:xMode val="edge"/>
              <c:yMode val="edge"/>
              <c:x val="2.3398966194097218E-2"/>
              <c:y val="0.2816001749781277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6025600"/>
        <c:crossesAt val="-2000"/>
        <c:crossBetween val="midCat"/>
        <c:majorUnit val="20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ayout>
        <c:manualLayout>
          <c:xMode val="edge"/>
          <c:yMode val="edge"/>
          <c:x val="0.7305921535974923"/>
          <c:y val="9.5111111111111105E-2"/>
          <c:w val="0.20855939011915695"/>
          <c:h val="0.492937707786526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DP RED and YELLOW</a:t>
            </a:r>
            <a:r>
              <a:rPr lang="en-US" baseline="0"/>
              <a:t> </a:t>
            </a:r>
            <a:r>
              <a:rPr lang="en-US"/>
              <a:t>Watch Circles</a:t>
            </a:r>
            <a:r>
              <a:rPr lang="en-US" baseline="0"/>
              <a:t> (by POD) Reference to Well Center</a:t>
            </a:r>
          </a:p>
        </c:rich>
      </c:tx>
      <c:layout>
        <c:manualLayout>
          <c:xMode val="edge"/>
          <c:yMode val="edge"/>
          <c:x val="0.19315338029313936"/>
          <c:y val="4.7435695538057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52147239263804"/>
          <c:y val="0.17251146867511125"/>
          <c:w val="0.81195155903938254"/>
          <c:h val="0.67803788656852682"/>
        </c:manualLayout>
      </c:layout>
      <c:scatterChart>
        <c:scatterStyle val="smoothMarker"/>
        <c:varyColors val="0"/>
        <c:ser>
          <c:idx val="13"/>
          <c:order val="0"/>
          <c:tx>
            <c:strRef>
              <c:f>DriftOff!$C$14</c:f>
              <c:strCache>
                <c:ptCount val="1"/>
                <c:pt idx="0">
                  <c:v>Well Position UTM coordination: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DriftOff!$Q$66:$Q$1093</c:f>
              <c:numCache>
                <c:formatCode>General</c:formatCode>
                <c:ptCount val="10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DriftOff!$V$66:$V$2000</c:f>
              <c:numCache>
                <c:formatCode>0.0%</c:formatCode>
                <c:ptCount val="1935"/>
                <c:pt idx="0">
                  <c:v>5.656854249492381E-3</c:v>
                </c:pt>
                <c:pt idx="1">
                  <c:v>5.6634300978954727E-3</c:v>
                </c:pt>
                <c:pt idx="2">
                  <c:v>5.6831342511045489E-3</c:v>
                </c:pt>
                <c:pt idx="3">
                  <c:v>5.7159498066520209E-3</c:v>
                </c:pt>
                <c:pt idx="4">
                  <c:v>5.7618835929123795E-3</c:v>
                </c:pt>
                <c:pt idx="5">
                  <c:v>5.8209634867950385E-3</c:v>
                </c:pt>
                <c:pt idx="6">
                  <c:v>5.8932351656944097E-3</c:v>
                </c:pt>
                <c:pt idx="7">
                  <c:v>5.9787584695847737E-3</c:v>
                </c:pt>
                <c:pt idx="8">
                  <c:v>6.0776035599819653E-3</c:v>
                </c:pt>
                <c:pt idx="9">
                  <c:v>6.1898470593945839E-3</c:v>
                </c:pt>
                <c:pt idx="10">
                  <c:v>6.3155683392537489E-3</c:v>
                </c:pt>
                <c:pt idx="11">
                  <c:v>6.4548460986541328E-3</c:v>
                </c:pt>
                <c:pt idx="12">
                  <c:v>6.607755343802175E-3</c:v>
                </c:pt>
                <c:pt idx="13">
                  <c:v>6.774364842375021E-3</c:v>
                </c:pt>
                <c:pt idx="14">
                  <c:v>6.9547350914169696E-3</c:v>
                </c:pt>
                <c:pt idx="15">
                  <c:v>7.1489168047930117E-3</c:v>
                </c:pt>
                <c:pt idx="16">
                  <c:v>7.356949898677031E-3</c:v>
                </c:pt>
                <c:pt idx="17">
                  <c:v>7.5788629323109121E-3</c:v>
                </c:pt>
                <c:pt idx="18">
                  <c:v>7.814672946735839E-3</c:v>
                </c:pt>
                <c:pt idx="19">
                  <c:v>8.0643856360736541E-3</c:v>
                </c:pt>
                <c:pt idx="20">
                  <c:v>8.3279957834203368E-3</c:v>
                </c:pt>
                <c:pt idx="21">
                  <c:v>8.6054878953987692E-3</c:v>
                </c:pt>
                <c:pt idx="22">
                  <c:v>8.8968369746857921E-3</c:v>
                </c:pt>
                <c:pt idx="23">
                  <c:v>9.2020093772018814E-3</c:v>
                </c:pt>
                <c:pt idx="24">
                  <c:v>9.5209637090976577E-3</c:v>
                </c:pt>
                <c:pt idx="25">
                  <c:v>9.8536517273589072E-3</c:v>
                </c:pt>
                <c:pt idx="26">
                  <c:v>1.0200019216167432E-2</c:v>
                </c:pt>
                <c:pt idx="27">
                  <c:v>1.0560006818693249E-2</c:v>
                </c:pt>
                <c:pt idx="28">
                  <c:v>1.0933550810525239E-2</c:v>
                </c:pt>
                <c:pt idx="29">
                  <c:v>1.1320583806383989E-2</c:v>
                </c:pt>
                <c:pt idx="30">
                  <c:v>1.1721035396198478E-2</c:v>
                </c:pt>
                <c:pt idx="31">
                  <c:v>1.2134832715356852E-2</c:v>
                </c:pt>
                <c:pt idx="32">
                  <c:v>1.2561900969398368E-2</c:v>
                </c:pt>
                <c:pt idx="33">
                  <c:v>1.3002163908025758E-2</c:v>
                </c:pt>
                <c:pt idx="34">
                  <c:v>1.3455544237891309E-2</c:v>
                </c:pt>
                <c:pt idx="35">
                  <c:v>1.3921963978067949E-2</c:v>
                </c:pt>
                <c:pt idx="36">
                  <c:v>1.4401344763823837E-2</c:v>
                </c:pt>
                <c:pt idx="37">
                  <c:v>1.489360810432455E-2</c:v>
                </c:pt>
                <c:pt idx="38">
                  <c:v>1.539867559969979E-2</c:v>
                </c:pt>
                <c:pt idx="39">
                  <c:v>1.591646912259756E-2</c:v>
                </c:pt>
                <c:pt idx="40">
                  <c:v>1.6446910968957541E-2</c:v>
                </c:pt>
                <c:pt idx="41">
                  <c:v>1.6989923982305387E-2</c:v>
                </c:pt>
                <c:pt idx="42">
                  <c:v>1.7545431655427643E-2</c:v>
                </c:pt>
                <c:pt idx="43">
                  <c:v>1.8113358212853002E-2</c:v>
                </c:pt>
                <c:pt idx="44">
                  <c:v>1.8693628677151981E-2</c:v>
                </c:pt>
                <c:pt idx="45">
                  <c:v>1.9286168921682365E-2</c:v>
                </c:pt>
                <c:pt idx="46">
                  <c:v>1.9890905712055665E-2</c:v>
                </c:pt>
                <c:pt idx="47">
                  <c:v>2.0507766738282435E-2</c:v>
                </c:pt>
                <c:pt idx="48">
                  <c:v>2.113668063927155E-2</c:v>
                </c:pt>
                <c:pt idx="49">
                  <c:v>2.1777577021108989E-2</c:v>
                </c:pt>
                <c:pt idx="50">
                  <c:v>2.2430386470323249E-2</c:v>
                </c:pt>
                <c:pt idx="51">
                  <c:v>2.3095040563154746E-2</c:v>
                </c:pt>
                <c:pt idx="52">
                  <c:v>2.3771471871682454E-2</c:v>
                </c:pt>
                <c:pt idx="53">
                  <c:v>2.4459613967520267E-2</c:v>
                </c:pt>
                <c:pt idx="54">
                  <c:v>2.5159401423675072E-2</c:v>
                </c:pt>
                <c:pt idx="55">
                  <c:v>2.5870769815056118E-2</c:v>
                </c:pt>
                <c:pt idx="56">
                  <c:v>2.6593655718038178E-2</c:v>
                </c:pt>
                <c:pt idx="57">
                  <c:v>2.7327996709407849E-2</c:v>
                </c:pt>
                <c:pt idx="58">
                  <c:v>2.8073731364960608E-2</c:v>
                </c:pt>
                <c:pt idx="59">
                  <c:v>2.8830799257964428E-2</c:v>
                </c:pt>
                <c:pt idx="60">
                  <c:v>2.9599140957662688E-2</c:v>
                </c:pt>
                <c:pt idx="61">
                  <c:v>3.0378698027953246E-2</c:v>
                </c:pt>
                <c:pt idx="62">
                  <c:v>3.116941302635062E-2</c:v>
                </c:pt>
                <c:pt idx="63">
                  <c:v>3.1971229503313915E-2</c:v>
                </c:pt>
                <c:pt idx="64">
                  <c:v>3.2784092002002815E-2</c:v>
                </c:pt>
                <c:pt idx="65">
                  <c:v>3.360794605850758E-2</c:v>
                </c:pt>
                <c:pt idx="66">
                  <c:v>3.4442738202585525E-2</c:v>
                </c:pt>
                <c:pt idx="67">
                  <c:v>3.5288415958925921E-2</c:v>
                </c:pt>
                <c:pt idx="68">
                  <c:v>3.614492784895644E-2</c:v>
                </c:pt>
                <c:pt idx="69">
                  <c:v>3.7012223393197104E-2</c:v>
                </c:pt>
                <c:pt idx="70">
                  <c:v>3.7890253114162969E-2</c:v>
                </c:pt>
                <c:pt idx="71">
                  <c:v>3.8778968539811984E-2</c:v>
                </c:pt>
                <c:pt idx="72">
                  <c:v>3.9678322207389961E-2</c:v>
                </c:pt>
                <c:pt idx="73">
                  <c:v>4.058826766240619E-2</c:v>
                </c:pt>
                <c:pt idx="74">
                  <c:v>4.1508759440666072E-2</c:v>
                </c:pt>
                <c:pt idx="75">
                  <c:v>4.2439753042239972E-2</c:v>
                </c:pt>
                <c:pt idx="76">
                  <c:v>4.3381204905921789E-2</c:v>
                </c:pt>
                <c:pt idx="77">
                  <c:v>4.4333072384675147E-2</c:v>
                </c:pt>
                <c:pt idx="78">
                  <c:v>4.5295313722028233E-2</c:v>
                </c:pt>
                <c:pt idx="79">
                  <c:v>4.6267888029378694E-2</c:v>
                </c:pt>
                <c:pt idx="80">
                  <c:v>4.7250755264170496E-2</c:v>
                </c:pt>
                <c:pt idx="81">
                  <c:v>4.8243876208905571E-2</c:v>
                </c:pt>
                <c:pt idx="82">
                  <c:v>4.9247212450954002E-2</c:v>
                </c:pt>
                <c:pt idx="83">
                  <c:v>5.0260726363127436E-2</c:v>
                </c:pt>
                <c:pt idx="84">
                  <c:v>5.1284381084981671E-2</c:v>
                </c:pt>
                <c:pt idx="85">
                  <c:v>5.2318140504815522E-2</c:v>
                </c:pt>
                <c:pt idx="86">
                  <c:v>5.3361969242334287E-2</c:v>
                </c:pt>
                <c:pt idx="87">
                  <c:v>5.441583263194745E-2</c:v>
                </c:pt>
                <c:pt idx="88">
                  <c:v>5.5479696706671251E-2</c:v>
                </c:pt>
                <c:pt idx="89">
                  <c:v>5.6553528182608316E-2</c:v>
                </c:pt>
                <c:pt idx="90">
                  <c:v>5.7637294443977527E-2</c:v>
                </c:pt>
                <c:pt idx="91">
                  <c:v>5.8730963528668342E-2</c:v>
                </c:pt>
                <c:pt idx="92">
                  <c:v>5.9834504114295375E-2</c:v>
                </c:pt>
                <c:pt idx="93">
                  <c:v>6.0947885504729661E-2</c:v>
                </c:pt>
                <c:pt idx="94">
                  <c:v>6.2071077617084289E-2</c:v>
                </c:pt>
                <c:pt idx="95">
                  <c:v>6.3204050969133202E-2</c:v>
                </c:pt>
                <c:pt idx="96">
                  <c:v>6.4346776667142822E-2</c:v>
                </c:pt>
                <c:pt idx="97">
                  <c:v>6.5499226394096915E-2</c:v>
                </c:pt>
                <c:pt idx="98">
                  <c:v>6.6661372398296559E-2</c:v>
                </c:pt>
                <c:pt idx="99">
                  <c:v>6.7833187482317106E-2</c:v>
                </c:pt>
                <c:pt idx="100">
                  <c:v>6.9014644992305654E-2</c:v>
                </c:pt>
                <c:pt idx="101">
                  <c:v>7.020571880760279E-2</c:v>
                </c:pt>
                <c:pt idx="102">
                  <c:v>7.1406383330673201E-2</c:v>
                </c:pt>
                <c:pt idx="103">
                  <c:v>7.2616613477330685E-2</c:v>
                </c:pt>
                <c:pt idx="104">
                  <c:v>7.3836384667242946E-2</c:v>
                </c:pt>
                <c:pt idx="105">
                  <c:v>7.5065672814704026E-2</c:v>
                </c:pt>
                <c:pt idx="106">
                  <c:v>7.6304454319659834E-2</c:v>
                </c:pt>
                <c:pt idx="107">
                  <c:v>7.7552706058976212E-2</c:v>
                </c:pt>
                <c:pt idx="108">
                  <c:v>7.8810405377936557E-2</c:v>
                </c:pt>
                <c:pt idx="109">
                  <c:v>8.0077530081958462E-2</c:v>
                </c:pt>
                <c:pt idx="110">
                  <c:v>8.1354058428518214E-2</c:v>
                </c:pt>
                <c:pt idx="111">
                  <c:v>8.2639969119273224E-2</c:v>
                </c:pt>
                <c:pt idx="112">
                  <c:v>8.3935241292371968E-2</c:v>
                </c:pt>
                <c:pt idx="113">
                  <c:v>8.5239854514942523E-2</c:v>
                </c:pt>
                <c:pt idx="114">
                  <c:v>8.6553788775637922E-2</c:v>
                </c:pt>
                <c:pt idx="115">
                  <c:v>8.7877024473637808E-2</c:v>
                </c:pt>
                <c:pt idx="116">
                  <c:v>8.9209542396770009E-2</c:v>
                </c:pt>
                <c:pt idx="117">
                  <c:v>9.0551323694794406E-2</c:v>
                </c:pt>
                <c:pt idx="118">
                  <c:v>9.1902349852889101E-2</c:v>
                </c:pt>
                <c:pt idx="119">
                  <c:v>9.3262602665607625E-2</c:v>
                </c:pt>
                <c:pt idx="120">
                  <c:v>9.463206421129898E-2</c:v>
                </c:pt>
                <c:pt idx="121">
                  <c:v>9.6010716826982478E-2</c:v>
                </c:pt>
                <c:pt idx="122">
                  <c:v>9.7398543083672018E-2</c:v>
                </c:pt>
                <c:pt idx="123">
                  <c:v>9.8795525762144343E-2</c:v>
                </c:pt>
                <c:pt idx="124">
                  <c:v>0.10020164782914803</c:v>
                </c:pt>
                <c:pt idx="125">
                  <c:v>0.10161689241405034</c:v>
                </c:pt>
                <c:pt idx="126">
                  <c:v>0.10304124278592047</c:v>
                </c:pt>
                <c:pt idx="127">
                  <c:v>0.1044746823310487</c:v>
                </c:pt>
                <c:pt idx="128">
                  <c:v>0.10591719453090143</c:v>
                </c:pt>
                <c:pt idx="129">
                  <c:v>0.10736876294051403</c:v>
                </c:pt>
                <c:pt idx="130">
                  <c:v>0.10882937116732261</c:v>
                </c:pt>
                <c:pt idx="131">
                  <c:v>0.11029900285043809</c:v>
                </c:pt>
                <c:pt idx="132">
                  <c:v>0.11177764164036588</c:v>
                </c:pt>
                <c:pt idx="133">
                  <c:v>0.11326527117917522</c:v>
                </c:pt>
                <c:pt idx="134">
                  <c:v>0.11476187508112271</c:v>
                </c:pt>
                <c:pt idx="135">
                  <c:v>0.11626743691373467</c:v>
                </c:pt>
                <c:pt idx="136">
                  <c:v>0.11778194017935387</c:v>
                </c:pt>
                <c:pt idx="137">
                  <c:v>0.11930536829715653</c:v>
                </c:pt>
                <c:pt idx="138">
                  <c:v>0.12083770458564644</c:v>
                </c:pt>
                <c:pt idx="139">
                  <c:v>0.12237893224563226</c:v>
                </c:pt>
                <c:pt idx="140">
                  <c:v>0.12392903434369602</c:v>
                </c:pt>
                <c:pt idx="141">
                  <c:v>0.12548799379615919</c:v>
                </c:pt>
                <c:pt idx="142">
                  <c:v>0.12705579335355444</c:v>
                </c:pt>
                <c:pt idx="143">
                  <c:v>0.1286324155856102</c:v>
                </c:pt>
                <c:pt idx="144">
                  <c:v>0.13021784286675578</c:v>
                </c:pt>
                <c:pt idx="145">
                  <c:v>0.13181205736215465</c:v>
                </c:pt>
                <c:pt idx="146">
                  <c:v>0.13341504101427365</c:v>
                </c:pt>
                <c:pt idx="147">
                  <c:v>0.13502677552999487</c:v>
                </c:pt>
                <c:pt idx="148">
                  <c:v>0.13664724236827858</c:v>
                </c:pt>
                <c:pt idx="149">
                  <c:v>0.13827642272838353</c:v>
                </c:pt>
                <c:pt idx="150">
                  <c:v>0.13991429753865159</c:v>
                </c:pt>
              </c:numCache>
            </c:numRef>
          </c:yVal>
          <c:smooth val="1"/>
        </c:ser>
        <c:ser>
          <c:idx val="2"/>
          <c:order val="1"/>
          <c:tx>
            <c:v>POD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1.6359918200408996E-3"/>
                  <c:y val="-3.3194081509042184E-2"/>
                </c:manualLayout>
              </c:layout>
              <c:tx>
                <c:rich>
                  <a:bodyPr/>
                  <a:lstStyle/>
                  <a:p>
                    <a:pPr>
                      <a:defRPr sz="900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900"/>
                      <a:t>POD</a:t>
                    </a:r>
                    <a:endParaRPr lang="en-US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9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DriftOff!$AH$94:$AH$95</c:f>
              <c:numCache>
                <c:formatCode>0" sec"</c:formatCode>
                <c:ptCount val="2"/>
                <c:pt idx="0" formatCode="General">
                  <c:v>0</c:v>
                </c:pt>
                <c:pt idx="1">
                  <c:v>108.93881416587304</c:v>
                </c:pt>
              </c:numCache>
            </c:numRef>
          </c:xVal>
          <c:yVal>
            <c:numRef>
              <c:f>DriftOff!$AG$94:$AG$95</c:f>
              <c:numCache>
                <c:formatCode>0.00%</c:formatCode>
                <c:ptCount val="2"/>
                <c:pt idx="0">
                  <c:v>0.08</c:v>
                </c:pt>
                <c:pt idx="1">
                  <c:v>0.08</c:v>
                </c:pt>
              </c:numCache>
            </c:numRef>
          </c:yVal>
          <c:smooth val="1"/>
        </c:ser>
        <c:ser>
          <c:idx val="3"/>
          <c:order val="2"/>
          <c:tx>
            <c:v>POD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9.9483116757644652E-2"/>
                  <c:y val="-3.36996336996337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delete val="1"/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DriftOff!$AH$96:$AH$97</c:f>
              <c:numCache>
                <c:formatCode>0" sec"</c:formatCode>
                <c:ptCount val="2"/>
                <c:pt idx="0" formatCode="General">
                  <c:v>108.93881416587304</c:v>
                </c:pt>
                <c:pt idx="1">
                  <c:v>108.93881416587304</c:v>
                </c:pt>
              </c:numCache>
            </c:numRef>
          </c:xVal>
          <c:yVal>
            <c:numRef>
              <c:f>DriftOff!$AG$96:$AG$97</c:f>
              <c:numCache>
                <c:formatCode>0.00%</c:formatCode>
                <c:ptCount val="2"/>
                <c:pt idx="0">
                  <c:v>0.08</c:v>
                </c:pt>
                <c:pt idx="1">
                  <c:v>0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DriftOff!$AF$118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solidFill>
                <a:srgbClr val="FFC000"/>
              </a:solidFill>
              <a:prstDash val="solid"/>
            </a:ln>
          </c:spPr>
          <c:marker>
            <c:symbol val="none"/>
          </c:marker>
          <c:xVal>
            <c:numRef>
              <c:f>DriftOff!$AH$118:$AH$119</c:f>
              <c:numCache>
                <c:formatCode>0" sec"</c:formatCode>
                <c:ptCount val="2"/>
                <c:pt idx="0">
                  <c:v>20.93881416587304</c:v>
                </c:pt>
                <c:pt idx="1">
                  <c:v>20.93881416587304</c:v>
                </c:pt>
              </c:numCache>
            </c:numRef>
          </c:xVal>
          <c:yVal>
            <c:numRef>
              <c:f>DriftOff!$AG$118:$AG$119</c:f>
              <c:numCache>
                <c:formatCode>0.00%</c:formatCode>
                <c:ptCount val="2"/>
                <c:pt idx="0">
                  <c:v>8.3279957834203368E-3</c:v>
                </c:pt>
                <c:pt idx="1">
                  <c:v>0</c:v>
                </c:pt>
              </c:numCache>
            </c:numRef>
          </c:yVal>
          <c:smooth val="1"/>
        </c:ser>
        <c:ser>
          <c:idx val="5"/>
          <c:order val="4"/>
          <c:tx>
            <c:strRef>
              <c:f>DriftOff!$AF$119</c:f>
              <c:strCache>
                <c:ptCount val="1"/>
                <c:pt idx="0">
                  <c:v>POD</c:v>
                </c:pt>
              </c:strCache>
            </c:strRef>
          </c:tx>
          <c:spPr>
            <a:ln w="28575">
              <a:solidFill>
                <a:srgbClr val="FFC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2567050299680969E-3"/>
                  <c:y val="3.99999999999998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1.6283525149840485E-3"/>
                  <c:y val="-2.0000000000000122E-2"/>
                </c:manualLayout>
              </c:layout>
              <c:tx>
                <c:rich>
                  <a:bodyPr/>
                  <a:lstStyle/>
                  <a:p>
                    <a:r>
                      <a:rPr lang="en-US" sz="900" baseline="0">
                        <a:solidFill>
                          <a:srgbClr val="A88000"/>
                        </a:solidFill>
                      </a:rPr>
                      <a:t>Yellow Circle (by POD)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.0%" sourceLinked="0"/>
            <c:spPr>
              <a:ln>
                <a:noFill/>
              </a:ln>
            </c:spPr>
            <c:txPr>
              <a:bodyPr/>
              <a:lstStyle/>
              <a:p>
                <a:pPr>
                  <a:defRPr sz="900">
                    <a:solidFill>
                      <a:srgbClr val="A88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DriftOff!$AH$120:$AH$121</c:f>
              <c:numCache>
                <c:formatCode>0" sec"</c:formatCode>
                <c:ptCount val="2"/>
                <c:pt idx="0" formatCode="General">
                  <c:v>20.93881416587304</c:v>
                </c:pt>
                <c:pt idx="1">
                  <c:v>0</c:v>
                </c:pt>
              </c:numCache>
            </c:numRef>
          </c:xVal>
          <c:yVal>
            <c:numRef>
              <c:f>DriftOff!$AG$120:$AG$121</c:f>
              <c:numCache>
                <c:formatCode>0.00%</c:formatCode>
                <c:ptCount val="2"/>
                <c:pt idx="0">
                  <c:v>8.3279957834203368E-3</c:v>
                </c:pt>
                <c:pt idx="1">
                  <c:v>8.3279957834203368E-3</c:v>
                </c:pt>
              </c:numCache>
            </c:numRef>
          </c:yVal>
          <c:smooth val="1"/>
        </c:ser>
        <c:ser>
          <c:idx val="6"/>
          <c:order val="5"/>
          <c:tx>
            <c:strRef>
              <c:f>DriftOff!$AF$114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2623222710658095E-2"/>
                  <c:y val="-3.6842317787199708E-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ctr" rtl="1">
                    <a:defRPr sz="900" b="1" i="0" u="none" strike="noStrike" baseline="0">
                      <a:solidFill>
                        <a:srgbClr val="FF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4.4759179484707206E-3"/>
                  <c:y val="-3.3003412073490813E-2"/>
                </c:manualLayout>
              </c:layout>
              <c:tx>
                <c:rich>
                  <a:bodyPr/>
                  <a:lstStyle/>
                  <a:p>
                    <a:pPr>
                      <a:defRPr sz="900" b="1" i="0" u="none" strike="noStrike" baseline="0">
                        <a:solidFill>
                          <a:srgbClr val="FF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900" baseline="0"/>
                      <a:t>Red Circle (by POD)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spPr>
              <a:ln>
                <a:noFill/>
              </a:ln>
            </c:spPr>
            <c:txPr>
              <a:bodyPr/>
              <a:lstStyle/>
              <a:p>
                <a:pPr>
                  <a:defRPr sz="9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DriftOff!$AH$116:$AH$117</c:f>
              <c:numCache>
                <c:formatCode>0" sec"</c:formatCode>
                <c:ptCount val="2"/>
                <c:pt idx="0" formatCode="General">
                  <c:v>65.93881416587304</c:v>
                </c:pt>
                <c:pt idx="1">
                  <c:v>0</c:v>
                </c:pt>
              </c:numCache>
            </c:numRef>
          </c:xVal>
          <c:yVal>
            <c:numRef>
              <c:f>DriftOff!$AG$116:$AG$117</c:f>
              <c:numCache>
                <c:formatCode>0.00%</c:formatCode>
                <c:ptCount val="2"/>
                <c:pt idx="0">
                  <c:v>3.360794605850758E-2</c:v>
                </c:pt>
                <c:pt idx="1">
                  <c:v>3.360794605850758E-2</c:v>
                </c:pt>
              </c:numCache>
            </c:numRef>
          </c:yVal>
          <c:smooth val="1"/>
        </c:ser>
        <c:ser>
          <c:idx val="0"/>
          <c:order val="6"/>
          <c:tx>
            <c:strRef>
              <c:f>DriftOff!$AF$114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DriftOff!$AH$114:$AH$115</c:f>
              <c:numCache>
                <c:formatCode>0" sec"</c:formatCode>
                <c:ptCount val="2"/>
                <c:pt idx="0">
                  <c:v>65.93881416587304</c:v>
                </c:pt>
                <c:pt idx="1">
                  <c:v>65.93881416587304</c:v>
                </c:pt>
              </c:numCache>
            </c:numRef>
          </c:xVal>
          <c:yVal>
            <c:numRef>
              <c:f>DriftOff!$AG$114:$AG$115</c:f>
              <c:numCache>
                <c:formatCode>0.00%</c:formatCode>
                <c:ptCount val="2"/>
                <c:pt idx="0">
                  <c:v>3.360794605850758E-2</c:v>
                </c:pt>
                <c:pt idx="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71456"/>
        <c:axId val="163973376"/>
      </c:scatterChart>
      <c:valAx>
        <c:axId val="163971456"/>
        <c:scaling>
          <c:orientation val="minMax"/>
          <c:max val="150"/>
        </c:scaling>
        <c:delete val="0"/>
        <c:axPos val="b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(sec)</a:t>
                </a:r>
              </a:p>
            </c:rich>
          </c:tx>
          <c:layout>
            <c:manualLayout>
              <c:xMode val="edge"/>
              <c:yMode val="edge"/>
              <c:x val="0.45956032729690915"/>
              <c:y val="0.9186812735364601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3973376"/>
        <c:crosses val="autoZero"/>
        <c:crossBetween val="midCat"/>
        <c:majorUnit val="30"/>
        <c:minorUnit val="5"/>
      </c:valAx>
      <c:valAx>
        <c:axId val="16397337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Radius (%WD)</a:t>
                </a:r>
              </a:p>
            </c:rich>
          </c:tx>
          <c:layout>
            <c:manualLayout>
              <c:xMode val="edge"/>
              <c:yMode val="edge"/>
              <c:x val="2.4539815020062517E-2"/>
              <c:y val="0.4131868081707177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3971456"/>
        <c:crossesAt val="-20000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Heading vs. Time</a:t>
            </a:r>
          </a:p>
        </c:rich>
      </c:tx>
      <c:layout>
        <c:manualLayout>
          <c:xMode val="edge"/>
          <c:yMode val="edge"/>
          <c:x val="0.41896762904636925"/>
          <c:y val="3.054991620023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44177671068428"/>
          <c:y val="0.17515274949083504"/>
          <c:w val="0.8355342136854742"/>
          <c:h val="0.6659877800407332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DriftOff!$Q$66:$Q$1113</c:f>
              <c:numCache>
                <c:formatCode>General</c:formatCode>
                <c:ptCount val="10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DriftOff!$T$66:$T$1113</c:f>
              <c:numCache>
                <c:formatCode>0.00</c:formatCode>
                <c:ptCount val="1048"/>
                <c:pt idx="0">
                  <c:v>220</c:v>
                </c:pt>
                <c:pt idx="1">
                  <c:v>219.9998779296875</c:v>
                </c:pt>
                <c:pt idx="2">
                  <c:v>219.99951171875</c:v>
                </c:pt>
                <c:pt idx="3">
                  <c:v>219.99891662597656</c:v>
                </c:pt>
                <c:pt idx="4">
                  <c:v>219.99812316894531</c:v>
                </c:pt>
                <c:pt idx="5">
                  <c:v>219.99713134765625</c:v>
                </c:pt>
                <c:pt idx="6">
                  <c:v>219.99595642089844</c:v>
                </c:pt>
                <c:pt idx="7">
                  <c:v>219.99459838867187</c:v>
                </c:pt>
                <c:pt idx="8">
                  <c:v>219.99310302734375</c:v>
                </c:pt>
                <c:pt idx="9">
                  <c:v>219.991455078125</c:v>
                </c:pt>
                <c:pt idx="10">
                  <c:v>219.98966979980469</c:v>
                </c:pt>
                <c:pt idx="11">
                  <c:v>219.98777770996094</c:v>
                </c:pt>
                <c:pt idx="12">
                  <c:v>219.98577880859375</c:v>
                </c:pt>
                <c:pt idx="13">
                  <c:v>219.98368835449219</c:v>
                </c:pt>
                <c:pt idx="14">
                  <c:v>219.98152160644531</c:v>
                </c:pt>
                <c:pt idx="15">
                  <c:v>219.97927856445312</c:v>
                </c:pt>
                <c:pt idx="16">
                  <c:v>219.97698974609375</c:v>
                </c:pt>
                <c:pt idx="17">
                  <c:v>219.97463989257812</c:v>
                </c:pt>
                <c:pt idx="18">
                  <c:v>219.97227478027344</c:v>
                </c:pt>
                <c:pt idx="19">
                  <c:v>219.96987915039063</c:v>
                </c:pt>
                <c:pt idx="20">
                  <c:v>219.96748352050781</c:v>
                </c:pt>
                <c:pt idx="21">
                  <c:v>219.965087890625</c:v>
                </c:pt>
                <c:pt idx="22">
                  <c:v>219.96270751953125</c:v>
                </c:pt>
                <c:pt idx="23">
                  <c:v>219.96035766601562</c:v>
                </c:pt>
                <c:pt idx="24">
                  <c:v>219.95802307128906</c:v>
                </c:pt>
                <c:pt idx="25">
                  <c:v>219.95574951171875</c:v>
                </c:pt>
                <c:pt idx="26">
                  <c:v>219.95353698730469</c:v>
                </c:pt>
                <c:pt idx="27">
                  <c:v>219.95138549804687</c:v>
                </c:pt>
                <c:pt idx="28">
                  <c:v>219.94931030273437</c:v>
                </c:pt>
                <c:pt idx="29">
                  <c:v>219.94731140136719</c:v>
                </c:pt>
                <c:pt idx="30">
                  <c:v>219.9454345703125</c:v>
                </c:pt>
                <c:pt idx="31">
                  <c:v>219.94364929199219</c:v>
                </c:pt>
                <c:pt idx="32">
                  <c:v>219.94198608398437</c:v>
                </c:pt>
                <c:pt idx="33">
                  <c:v>219.94046020507812</c:v>
                </c:pt>
                <c:pt idx="34">
                  <c:v>219.93905639648437</c:v>
                </c:pt>
                <c:pt idx="35">
                  <c:v>219.93780517578125</c:v>
                </c:pt>
                <c:pt idx="36">
                  <c:v>219.93672180175781</c:v>
                </c:pt>
                <c:pt idx="37">
                  <c:v>219.935791015625</c:v>
                </c:pt>
                <c:pt idx="38">
                  <c:v>219.93504333496094</c:v>
                </c:pt>
                <c:pt idx="39">
                  <c:v>219.93447875976562</c:v>
                </c:pt>
                <c:pt idx="40">
                  <c:v>219.93411254882812</c:v>
                </c:pt>
                <c:pt idx="41">
                  <c:v>219.93392944335938</c:v>
                </c:pt>
                <c:pt idx="42">
                  <c:v>219.9339599609375</c:v>
                </c:pt>
                <c:pt idx="43">
                  <c:v>219.93421936035156</c:v>
                </c:pt>
                <c:pt idx="44">
                  <c:v>219.9346923828125</c:v>
                </c:pt>
                <c:pt idx="45">
                  <c:v>219.93539428710937</c:v>
                </c:pt>
                <c:pt idx="46">
                  <c:v>219.93634033203125</c:v>
                </c:pt>
                <c:pt idx="47">
                  <c:v>219.93753051757812</c:v>
                </c:pt>
                <c:pt idx="48">
                  <c:v>219.93896484375</c:v>
                </c:pt>
                <c:pt idx="49">
                  <c:v>219.94065856933594</c:v>
                </c:pt>
                <c:pt idx="50">
                  <c:v>219.94261169433594</c:v>
                </c:pt>
                <c:pt idx="51">
                  <c:v>219.94483947753906</c:v>
                </c:pt>
                <c:pt idx="52">
                  <c:v>219.94734191894531</c:v>
                </c:pt>
                <c:pt idx="53">
                  <c:v>219.95010375976562</c:v>
                </c:pt>
                <c:pt idx="54">
                  <c:v>219.95315551757812</c:v>
                </c:pt>
                <c:pt idx="55">
                  <c:v>219.95649719238281</c:v>
                </c:pt>
                <c:pt idx="56">
                  <c:v>219.96011352539062</c:v>
                </c:pt>
                <c:pt idx="57">
                  <c:v>219.96403503417969</c:v>
                </c:pt>
                <c:pt idx="58">
                  <c:v>219.96823120117187</c:v>
                </c:pt>
                <c:pt idx="59">
                  <c:v>219.97273254394531</c:v>
                </c:pt>
                <c:pt idx="60">
                  <c:v>219.97752380371094</c:v>
                </c:pt>
                <c:pt idx="61">
                  <c:v>219.98262023925781</c:v>
                </c:pt>
                <c:pt idx="62">
                  <c:v>219.98800659179687</c:v>
                </c:pt>
                <c:pt idx="63">
                  <c:v>219.99368286132812</c:v>
                </c:pt>
                <c:pt idx="64">
                  <c:v>219.99966430664062</c:v>
                </c:pt>
                <c:pt idx="65">
                  <c:v>220.00593566894531</c:v>
                </c:pt>
                <c:pt idx="66">
                  <c:v>220.01249694824219</c:v>
                </c:pt>
                <c:pt idx="67">
                  <c:v>220.01936340332031</c:v>
                </c:pt>
                <c:pt idx="68">
                  <c:v>220.02650451660156</c:v>
                </c:pt>
                <c:pt idx="69">
                  <c:v>220.033935546875</c:v>
                </c:pt>
                <c:pt idx="70">
                  <c:v>220.04164123535156</c:v>
                </c:pt>
                <c:pt idx="71">
                  <c:v>220.04962158203125</c:v>
                </c:pt>
                <c:pt idx="72">
                  <c:v>220.05789184570312</c:v>
                </c:pt>
                <c:pt idx="73">
                  <c:v>220.06640625</c:v>
                </c:pt>
                <c:pt idx="74">
                  <c:v>220.0751953125</c:v>
                </c:pt>
                <c:pt idx="75">
                  <c:v>220.084228515625</c:v>
                </c:pt>
                <c:pt idx="76">
                  <c:v>220.093505859375</c:v>
                </c:pt>
                <c:pt idx="77">
                  <c:v>220.10302734375</c:v>
                </c:pt>
                <c:pt idx="78">
                  <c:v>220.11277770996094</c:v>
                </c:pt>
                <c:pt idx="79">
                  <c:v>220.12274169921875</c:v>
                </c:pt>
                <c:pt idx="80">
                  <c:v>220.13291931152344</c:v>
                </c:pt>
                <c:pt idx="81">
                  <c:v>220.14329528808594</c:v>
                </c:pt>
                <c:pt idx="82">
                  <c:v>220.15386962890625</c:v>
                </c:pt>
                <c:pt idx="83">
                  <c:v>220.16461181640625</c:v>
                </c:pt>
                <c:pt idx="84">
                  <c:v>220.175537109375</c:v>
                </c:pt>
                <c:pt idx="85">
                  <c:v>220.18659973144531</c:v>
                </c:pt>
                <c:pt idx="86">
                  <c:v>220.19781494140625</c:v>
                </c:pt>
                <c:pt idx="87">
                  <c:v>220.20916748046875</c:v>
                </c:pt>
                <c:pt idx="88">
                  <c:v>220.22064208984375</c:v>
                </c:pt>
                <c:pt idx="89">
                  <c:v>220.23220825195312</c:v>
                </c:pt>
                <c:pt idx="90">
                  <c:v>220.24388122558594</c:v>
                </c:pt>
                <c:pt idx="91">
                  <c:v>220.25563049316406</c:v>
                </c:pt>
                <c:pt idx="92">
                  <c:v>220.26742553710937</c:v>
                </c:pt>
                <c:pt idx="93">
                  <c:v>220.27928161621094</c:v>
                </c:pt>
                <c:pt idx="94">
                  <c:v>220.29118347167969</c:v>
                </c:pt>
                <c:pt idx="95">
                  <c:v>220.30308532714844</c:v>
                </c:pt>
                <c:pt idx="96">
                  <c:v>220.31500244140625</c:v>
                </c:pt>
                <c:pt idx="97">
                  <c:v>220.326904296875</c:v>
                </c:pt>
                <c:pt idx="98">
                  <c:v>220.33877563476562</c:v>
                </c:pt>
                <c:pt idx="99">
                  <c:v>220.35060119628906</c:v>
                </c:pt>
                <c:pt idx="100">
                  <c:v>220.36235046386719</c:v>
                </c:pt>
                <c:pt idx="101">
                  <c:v>220.37403869628906</c:v>
                </c:pt>
                <c:pt idx="102">
                  <c:v>220.3856201171875</c:v>
                </c:pt>
                <c:pt idx="103">
                  <c:v>220.3970947265625</c:v>
                </c:pt>
                <c:pt idx="104">
                  <c:v>220.408447265625</c:v>
                </c:pt>
                <c:pt idx="105">
                  <c:v>220.41963195800781</c:v>
                </c:pt>
                <c:pt idx="106">
                  <c:v>220.43064880371094</c:v>
                </c:pt>
                <c:pt idx="107">
                  <c:v>220.44149780273437</c:v>
                </c:pt>
                <c:pt idx="108">
                  <c:v>220.45213317871094</c:v>
                </c:pt>
                <c:pt idx="109">
                  <c:v>220.46253967285156</c:v>
                </c:pt>
                <c:pt idx="110">
                  <c:v>220.47270202636719</c:v>
                </c:pt>
                <c:pt idx="111">
                  <c:v>220.48262023925781</c:v>
                </c:pt>
                <c:pt idx="112">
                  <c:v>220.49224853515625</c:v>
                </c:pt>
                <c:pt idx="113">
                  <c:v>220.50157165527344</c:v>
                </c:pt>
                <c:pt idx="114">
                  <c:v>220.51058959960937</c:v>
                </c:pt>
                <c:pt idx="115">
                  <c:v>220.51925659179687</c:v>
                </c:pt>
                <c:pt idx="116">
                  <c:v>220.52757263183594</c:v>
                </c:pt>
                <c:pt idx="117">
                  <c:v>220.5355224609375</c:v>
                </c:pt>
                <c:pt idx="118">
                  <c:v>220.54306030273437</c:v>
                </c:pt>
                <c:pt idx="119">
                  <c:v>220.55018615722656</c:v>
                </c:pt>
                <c:pt idx="120">
                  <c:v>220.556884765625</c:v>
                </c:pt>
                <c:pt idx="121">
                  <c:v>220.5631103515625</c:v>
                </c:pt>
                <c:pt idx="122">
                  <c:v>220.56886291503906</c:v>
                </c:pt>
                <c:pt idx="123">
                  <c:v>220.57412719726562</c:v>
                </c:pt>
                <c:pt idx="124">
                  <c:v>220.57887268066406</c:v>
                </c:pt>
                <c:pt idx="125">
                  <c:v>220.58306884765625</c:v>
                </c:pt>
                <c:pt idx="126">
                  <c:v>220.58671569824219</c:v>
                </c:pt>
                <c:pt idx="127">
                  <c:v>220.58979797363281</c:v>
                </c:pt>
                <c:pt idx="128">
                  <c:v>220.59225463867187</c:v>
                </c:pt>
                <c:pt idx="129">
                  <c:v>220.5941162109375</c:v>
                </c:pt>
                <c:pt idx="130">
                  <c:v>220.59532165527344</c:v>
                </c:pt>
                <c:pt idx="131">
                  <c:v>220.59587097167969</c:v>
                </c:pt>
                <c:pt idx="132">
                  <c:v>220.59573364257812</c:v>
                </c:pt>
                <c:pt idx="133">
                  <c:v>220.59489440917969</c:v>
                </c:pt>
                <c:pt idx="134">
                  <c:v>220.59333801269531</c:v>
                </c:pt>
                <c:pt idx="135">
                  <c:v>220.59103393554687</c:v>
                </c:pt>
                <c:pt idx="136">
                  <c:v>220.58796691894531</c:v>
                </c:pt>
                <c:pt idx="137">
                  <c:v>220.5841064453125</c:v>
                </c:pt>
                <c:pt idx="138">
                  <c:v>220.57945251464844</c:v>
                </c:pt>
                <c:pt idx="139">
                  <c:v>220.57395935058594</c:v>
                </c:pt>
                <c:pt idx="140">
                  <c:v>220.567626953125</c:v>
                </c:pt>
                <c:pt idx="141">
                  <c:v>220.5604248046875</c:v>
                </c:pt>
                <c:pt idx="142">
                  <c:v>220.55232238769531</c:v>
                </c:pt>
                <c:pt idx="143">
                  <c:v>220.54331970214844</c:v>
                </c:pt>
                <c:pt idx="144">
                  <c:v>220.53338623046875</c:v>
                </c:pt>
                <c:pt idx="145">
                  <c:v>220.52250671386719</c:v>
                </c:pt>
                <c:pt idx="146">
                  <c:v>220.51065063476562</c:v>
                </c:pt>
                <c:pt idx="147">
                  <c:v>220.49781799316406</c:v>
                </c:pt>
                <c:pt idx="148">
                  <c:v>220.48396301269531</c:v>
                </c:pt>
                <c:pt idx="149">
                  <c:v>220.46907043457031</c:v>
                </c:pt>
                <c:pt idx="150">
                  <c:v>220.45314025878906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010624"/>
        <c:axId val="164020992"/>
      </c:scatterChart>
      <c:valAx>
        <c:axId val="164010624"/>
        <c:scaling>
          <c:orientation val="minMax"/>
          <c:max val="15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[sec]</a:t>
                </a:r>
              </a:p>
            </c:rich>
          </c:tx>
          <c:layout>
            <c:manualLayout>
              <c:xMode val="edge"/>
              <c:yMode val="edge"/>
              <c:x val="0.48139255480388898"/>
              <c:y val="0.9042770557294795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020992"/>
        <c:crosses val="autoZero"/>
        <c:crossBetween val="midCat"/>
        <c:majorUnit val="30"/>
        <c:minorUnit val="5"/>
      </c:valAx>
      <c:valAx>
        <c:axId val="164020992"/>
        <c:scaling>
          <c:orientation val="minMax"/>
          <c:max val="360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Vessel Heading [deg TN]</a:t>
                </a:r>
              </a:p>
            </c:rich>
          </c:tx>
          <c:layout>
            <c:manualLayout>
              <c:xMode val="edge"/>
              <c:yMode val="edge"/>
              <c:x val="2.9667296851830841E-2"/>
              <c:y val="0.2952518141114713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010624"/>
        <c:crosses val="autoZero"/>
        <c:crossBetween val="midCat"/>
        <c:majorUnit val="4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1200" verticalDpi="12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DP RED and</a:t>
            </a:r>
            <a:r>
              <a:rPr lang="en-US" baseline="0"/>
              <a:t> YELLOW </a:t>
            </a:r>
            <a:r>
              <a:rPr lang="en-US"/>
              <a:t>Watch Circles</a:t>
            </a:r>
            <a:r>
              <a:rPr lang="en-US" baseline="0"/>
              <a:t> </a:t>
            </a:r>
            <a:r>
              <a:rPr lang="en-US" sz="1100" b="1" i="0" u="none" strike="noStrike" baseline="0">
                <a:effectLst/>
              </a:rPr>
              <a:t>(Op. Manual) </a:t>
            </a:r>
            <a:r>
              <a:rPr lang="en-US" baseline="0"/>
              <a:t>Reference to Well Center</a:t>
            </a:r>
            <a:endParaRPr lang="en-US"/>
          </a:p>
        </c:rich>
      </c:tx>
      <c:layout>
        <c:manualLayout>
          <c:xMode val="edge"/>
          <c:yMode val="edge"/>
          <c:x val="0.18989667526317125"/>
          <c:y val="3.076917551296463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52147239263804"/>
          <c:y val="0.17251146867511125"/>
          <c:w val="0.81195155903938254"/>
          <c:h val="0.67803788656852682"/>
        </c:manualLayout>
      </c:layout>
      <c:scatterChart>
        <c:scatterStyle val="smoothMarker"/>
        <c:varyColors val="0"/>
        <c:ser>
          <c:idx val="13"/>
          <c:order val="0"/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DriftOff!$Q$66:$Q$1093</c:f>
              <c:numCache>
                <c:formatCode>General</c:formatCode>
                <c:ptCount val="10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DriftOff!$V$66:$V$1175</c:f>
              <c:numCache>
                <c:formatCode>0.0%</c:formatCode>
                <c:ptCount val="1110"/>
                <c:pt idx="0">
                  <c:v>5.656854249492381E-3</c:v>
                </c:pt>
                <c:pt idx="1">
                  <c:v>5.6634300978954727E-3</c:v>
                </c:pt>
                <c:pt idx="2">
                  <c:v>5.6831342511045489E-3</c:v>
                </c:pt>
                <c:pt idx="3">
                  <c:v>5.7159498066520209E-3</c:v>
                </c:pt>
                <c:pt idx="4">
                  <c:v>5.7618835929123795E-3</c:v>
                </c:pt>
                <c:pt idx="5">
                  <c:v>5.8209634867950385E-3</c:v>
                </c:pt>
                <c:pt idx="6">
                  <c:v>5.8932351656944097E-3</c:v>
                </c:pt>
                <c:pt idx="7">
                  <c:v>5.9787584695847737E-3</c:v>
                </c:pt>
                <c:pt idx="8">
                  <c:v>6.0776035599819653E-3</c:v>
                </c:pt>
                <c:pt idx="9">
                  <c:v>6.1898470593945839E-3</c:v>
                </c:pt>
                <c:pt idx="10">
                  <c:v>6.3155683392537489E-3</c:v>
                </c:pt>
                <c:pt idx="11">
                  <c:v>6.4548460986541328E-3</c:v>
                </c:pt>
                <c:pt idx="12">
                  <c:v>6.607755343802175E-3</c:v>
                </c:pt>
                <c:pt idx="13">
                  <c:v>6.774364842375021E-3</c:v>
                </c:pt>
                <c:pt idx="14">
                  <c:v>6.9547350914169696E-3</c:v>
                </c:pt>
                <c:pt idx="15">
                  <c:v>7.1489168047930117E-3</c:v>
                </c:pt>
                <c:pt idx="16">
                  <c:v>7.356949898677031E-3</c:v>
                </c:pt>
                <c:pt idx="17">
                  <c:v>7.5788629323109121E-3</c:v>
                </c:pt>
                <c:pt idx="18">
                  <c:v>7.814672946735839E-3</c:v>
                </c:pt>
                <c:pt idx="19">
                  <c:v>8.0643856360736541E-3</c:v>
                </c:pt>
                <c:pt idx="20">
                  <c:v>8.3279957834203368E-3</c:v>
                </c:pt>
                <c:pt idx="21">
                  <c:v>8.6054878953987692E-3</c:v>
                </c:pt>
                <c:pt idx="22">
                  <c:v>8.8968369746857921E-3</c:v>
                </c:pt>
                <c:pt idx="23">
                  <c:v>9.2020093772018814E-3</c:v>
                </c:pt>
                <c:pt idx="24">
                  <c:v>9.5209637090976577E-3</c:v>
                </c:pt>
                <c:pt idx="25">
                  <c:v>9.8536517273589072E-3</c:v>
                </c:pt>
                <c:pt idx="26">
                  <c:v>1.0200019216167432E-2</c:v>
                </c:pt>
                <c:pt idx="27">
                  <c:v>1.0560006818693249E-2</c:v>
                </c:pt>
                <c:pt idx="28">
                  <c:v>1.0933550810525239E-2</c:v>
                </c:pt>
                <c:pt idx="29">
                  <c:v>1.1320583806383989E-2</c:v>
                </c:pt>
                <c:pt idx="30">
                  <c:v>1.1721035396198478E-2</c:v>
                </c:pt>
                <c:pt idx="31">
                  <c:v>1.2134832715356852E-2</c:v>
                </c:pt>
                <c:pt idx="32">
                  <c:v>1.2561900969398368E-2</c:v>
                </c:pt>
                <c:pt idx="33">
                  <c:v>1.3002163908025758E-2</c:v>
                </c:pt>
                <c:pt idx="34">
                  <c:v>1.3455544237891309E-2</c:v>
                </c:pt>
                <c:pt idx="35">
                  <c:v>1.3921963978067949E-2</c:v>
                </c:pt>
                <c:pt idx="36">
                  <c:v>1.4401344763823837E-2</c:v>
                </c:pt>
                <c:pt idx="37">
                  <c:v>1.489360810432455E-2</c:v>
                </c:pt>
                <c:pt idx="38">
                  <c:v>1.539867559969979E-2</c:v>
                </c:pt>
                <c:pt idx="39">
                  <c:v>1.591646912259756E-2</c:v>
                </c:pt>
                <c:pt idx="40">
                  <c:v>1.6446910968957541E-2</c:v>
                </c:pt>
                <c:pt idx="41">
                  <c:v>1.6989923982305387E-2</c:v>
                </c:pt>
                <c:pt idx="42">
                  <c:v>1.7545431655427643E-2</c:v>
                </c:pt>
                <c:pt idx="43">
                  <c:v>1.8113358212853002E-2</c:v>
                </c:pt>
                <c:pt idx="44">
                  <c:v>1.8693628677151981E-2</c:v>
                </c:pt>
                <c:pt idx="45">
                  <c:v>1.9286168921682365E-2</c:v>
                </c:pt>
                <c:pt idx="46">
                  <c:v>1.9890905712055665E-2</c:v>
                </c:pt>
                <c:pt idx="47">
                  <c:v>2.0507766738282435E-2</c:v>
                </c:pt>
                <c:pt idx="48">
                  <c:v>2.113668063927155E-2</c:v>
                </c:pt>
                <c:pt idx="49">
                  <c:v>2.1777577021108989E-2</c:v>
                </c:pt>
                <c:pt idx="50">
                  <c:v>2.2430386470323249E-2</c:v>
                </c:pt>
                <c:pt idx="51">
                  <c:v>2.3095040563154746E-2</c:v>
                </c:pt>
                <c:pt idx="52">
                  <c:v>2.3771471871682454E-2</c:v>
                </c:pt>
                <c:pt idx="53">
                  <c:v>2.4459613967520267E-2</c:v>
                </c:pt>
                <c:pt idx="54">
                  <c:v>2.5159401423675072E-2</c:v>
                </c:pt>
                <c:pt idx="55">
                  <c:v>2.5870769815056118E-2</c:v>
                </c:pt>
                <c:pt idx="56">
                  <c:v>2.6593655718038178E-2</c:v>
                </c:pt>
                <c:pt idx="57">
                  <c:v>2.7327996709407849E-2</c:v>
                </c:pt>
                <c:pt idx="58">
                  <c:v>2.8073731364960608E-2</c:v>
                </c:pt>
                <c:pt idx="59">
                  <c:v>2.8830799257964428E-2</c:v>
                </c:pt>
                <c:pt idx="60">
                  <c:v>2.9599140957662688E-2</c:v>
                </c:pt>
                <c:pt idx="61">
                  <c:v>3.0378698027953246E-2</c:v>
                </c:pt>
                <c:pt idx="62">
                  <c:v>3.116941302635062E-2</c:v>
                </c:pt>
                <c:pt idx="63">
                  <c:v>3.1971229503313915E-2</c:v>
                </c:pt>
                <c:pt idx="64">
                  <c:v>3.2784092002002815E-2</c:v>
                </c:pt>
                <c:pt idx="65">
                  <c:v>3.360794605850758E-2</c:v>
                </c:pt>
                <c:pt idx="66">
                  <c:v>3.4442738202585525E-2</c:v>
                </c:pt>
                <c:pt idx="67">
                  <c:v>3.5288415958925921E-2</c:v>
                </c:pt>
                <c:pt idx="68">
                  <c:v>3.614492784895644E-2</c:v>
                </c:pt>
                <c:pt idx="69">
                  <c:v>3.7012223393197104E-2</c:v>
                </c:pt>
                <c:pt idx="70">
                  <c:v>3.7890253114162969E-2</c:v>
                </c:pt>
                <c:pt idx="71">
                  <c:v>3.8778968539811984E-2</c:v>
                </c:pt>
                <c:pt idx="72">
                  <c:v>3.9678322207389961E-2</c:v>
                </c:pt>
                <c:pt idx="73">
                  <c:v>4.058826766240619E-2</c:v>
                </c:pt>
                <c:pt idx="74">
                  <c:v>4.1508759440666072E-2</c:v>
                </c:pt>
                <c:pt idx="75">
                  <c:v>4.2439753042239972E-2</c:v>
                </c:pt>
                <c:pt idx="76">
                  <c:v>4.3381204905921789E-2</c:v>
                </c:pt>
                <c:pt idx="77">
                  <c:v>4.4333072384675147E-2</c:v>
                </c:pt>
                <c:pt idx="78">
                  <c:v>4.5295313722028233E-2</c:v>
                </c:pt>
                <c:pt idx="79">
                  <c:v>4.6267888029378694E-2</c:v>
                </c:pt>
                <c:pt idx="80">
                  <c:v>4.7250755264170496E-2</c:v>
                </c:pt>
                <c:pt idx="81">
                  <c:v>4.8243876208905571E-2</c:v>
                </c:pt>
                <c:pt idx="82">
                  <c:v>4.9247212450954002E-2</c:v>
                </c:pt>
                <c:pt idx="83">
                  <c:v>5.0260726363127436E-2</c:v>
                </c:pt>
                <c:pt idx="84">
                  <c:v>5.1284381084981671E-2</c:v>
                </c:pt>
                <c:pt idx="85">
                  <c:v>5.2318140504815522E-2</c:v>
                </c:pt>
                <c:pt idx="86">
                  <c:v>5.3361969242334287E-2</c:v>
                </c:pt>
                <c:pt idx="87">
                  <c:v>5.441583263194745E-2</c:v>
                </c:pt>
                <c:pt idx="88">
                  <c:v>5.5479696706671251E-2</c:v>
                </c:pt>
                <c:pt idx="89">
                  <c:v>5.6553528182608316E-2</c:v>
                </c:pt>
                <c:pt idx="90">
                  <c:v>5.7637294443977527E-2</c:v>
                </c:pt>
                <c:pt idx="91">
                  <c:v>5.8730963528668342E-2</c:v>
                </c:pt>
                <c:pt idx="92">
                  <c:v>5.9834504114295375E-2</c:v>
                </c:pt>
                <c:pt idx="93">
                  <c:v>6.0947885504729661E-2</c:v>
                </c:pt>
                <c:pt idx="94">
                  <c:v>6.2071077617084289E-2</c:v>
                </c:pt>
                <c:pt idx="95">
                  <c:v>6.3204050969133202E-2</c:v>
                </c:pt>
                <c:pt idx="96">
                  <c:v>6.4346776667142822E-2</c:v>
                </c:pt>
                <c:pt idx="97">
                  <c:v>6.5499226394096915E-2</c:v>
                </c:pt>
                <c:pt idx="98">
                  <c:v>6.6661372398296559E-2</c:v>
                </c:pt>
                <c:pt idx="99">
                  <c:v>6.7833187482317106E-2</c:v>
                </c:pt>
                <c:pt idx="100">
                  <c:v>6.9014644992305654E-2</c:v>
                </c:pt>
                <c:pt idx="101">
                  <c:v>7.020571880760279E-2</c:v>
                </c:pt>
                <c:pt idx="102">
                  <c:v>7.1406383330673201E-2</c:v>
                </c:pt>
                <c:pt idx="103">
                  <c:v>7.2616613477330685E-2</c:v>
                </c:pt>
                <c:pt idx="104">
                  <c:v>7.3836384667242946E-2</c:v>
                </c:pt>
                <c:pt idx="105">
                  <c:v>7.5065672814704026E-2</c:v>
                </c:pt>
                <c:pt idx="106">
                  <c:v>7.6304454319659834E-2</c:v>
                </c:pt>
                <c:pt idx="107">
                  <c:v>7.7552706058976212E-2</c:v>
                </c:pt>
                <c:pt idx="108">
                  <c:v>7.8810405377936557E-2</c:v>
                </c:pt>
                <c:pt idx="109">
                  <c:v>8.0077530081958462E-2</c:v>
                </c:pt>
                <c:pt idx="110">
                  <c:v>8.1354058428518214E-2</c:v>
                </c:pt>
                <c:pt idx="111">
                  <c:v>8.2639969119273224E-2</c:v>
                </c:pt>
                <c:pt idx="112">
                  <c:v>8.3935241292371968E-2</c:v>
                </c:pt>
                <c:pt idx="113">
                  <c:v>8.5239854514942523E-2</c:v>
                </c:pt>
                <c:pt idx="114">
                  <c:v>8.6553788775637922E-2</c:v>
                </c:pt>
                <c:pt idx="115">
                  <c:v>8.7877024473637808E-2</c:v>
                </c:pt>
                <c:pt idx="116">
                  <c:v>8.9209542396770009E-2</c:v>
                </c:pt>
                <c:pt idx="117">
                  <c:v>9.0551323694794406E-2</c:v>
                </c:pt>
                <c:pt idx="118">
                  <c:v>9.1902349852889101E-2</c:v>
                </c:pt>
                <c:pt idx="119">
                  <c:v>9.3262602665607625E-2</c:v>
                </c:pt>
                <c:pt idx="120">
                  <c:v>9.463206421129898E-2</c:v>
                </c:pt>
                <c:pt idx="121">
                  <c:v>9.6010716826982478E-2</c:v>
                </c:pt>
                <c:pt idx="122">
                  <c:v>9.7398543083672018E-2</c:v>
                </c:pt>
                <c:pt idx="123">
                  <c:v>9.8795525762144343E-2</c:v>
                </c:pt>
                <c:pt idx="124">
                  <c:v>0.10020164782914803</c:v>
                </c:pt>
                <c:pt idx="125">
                  <c:v>0.10161689241405034</c:v>
                </c:pt>
                <c:pt idx="126">
                  <c:v>0.10304124278592047</c:v>
                </c:pt>
                <c:pt idx="127">
                  <c:v>0.1044746823310487</c:v>
                </c:pt>
                <c:pt idx="128">
                  <c:v>0.10591719453090143</c:v>
                </c:pt>
                <c:pt idx="129">
                  <c:v>0.10736876294051403</c:v>
                </c:pt>
                <c:pt idx="130">
                  <c:v>0.10882937116732261</c:v>
                </c:pt>
                <c:pt idx="131">
                  <c:v>0.11029900285043809</c:v>
                </c:pt>
                <c:pt idx="132">
                  <c:v>0.11177764164036588</c:v>
                </c:pt>
                <c:pt idx="133">
                  <c:v>0.11326527117917522</c:v>
                </c:pt>
                <c:pt idx="134">
                  <c:v>0.11476187508112271</c:v>
                </c:pt>
                <c:pt idx="135">
                  <c:v>0.11626743691373467</c:v>
                </c:pt>
                <c:pt idx="136">
                  <c:v>0.11778194017935387</c:v>
                </c:pt>
                <c:pt idx="137">
                  <c:v>0.11930536829715653</c:v>
                </c:pt>
                <c:pt idx="138">
                  <c:v>0.12083770458564644</c:v>
                </c:pt>
                <c:pt idx="139">
                  <c:v>0.12237893224563226</c:v>
                </c:pt>
                <c:pt idx="140">
                  <c:v>0.12392903434369602</c:v>
                </c:pt>
                <c:pt idx="141">
                  <c:v>0.12548799379615919</c:v>
                </c:pt>
                <c:pt idx="142">
                  <c:v>0.12705579335355444</c:v>
                </c:pt>
                <c:pt idx="143">
                  <c:v>0.1286324155856102</c:v>
                </c:pt>
                <c:pt idx="144">
                  <c:v>0.13021784286675578</c:v>
                </c:pt>
                <c:pt idx="145">
                  <c:v>0.13181205736215465</c:v>
                </c:pt>
                <c:pt idx="146">
                  <c:v>0.13341504101427365</c:v>
                </c:pt>
                <c:pt idx="147">
                  <c:v>0.13502677552999487</c:v>
                </c:pt>
                <c:pt idx="148">
                  <c:v>0.13664724236827858</c:v>
                </c:pt>
                <c:pt idx="149">
                  <c:v>0.13827642272838353</c:v>
                </c:pt>
                <c:pt idx="150">
                  <c:v>0.13991429753865159</c:v>
                </c:pt>
              </c:numCache>
            </c:numRef>
          </c:yVal>
          <c:smooth val="1"/>
        </c:ser>
        <c:ser>
          <c:idx val="5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8575">
                <a:solidFill>
                  <a:srgbClr val="FF0000"/>
                </a:solidFill>
                <a:prstDash val="solid"/>
              </a:ln>
            </c:spPr>
          </c:dPt>
          <c:xVal>
            <c:numRef>
              <c:f>DriftOff!$AH$106:$AH$107</c:f>
              <c:numCache>
                <c:formatCode>0" sec"</c:formatCode>
                <c:ptCount val="2"/>
                <c:pt idx="0">
                  <c:v>82.742750089568759</c:v>
                </c:pt>
                <c:pt idx="1">
                  <c:v>82.742750089568759</c:v>
                </c:pt>
              </c:numCache>
            </c:numRef>
          </c:xVal>
          <c:yVal>
            <c:numRef>
              <c:f>DriftOff!$AG$106:$AG$107</c:f>
              <c:numCache>
                <c:formatCode>0.00%</c:formatCode>
                <c:ptCount val="2"/>
                <c:pt idx="0">
                  <c:v>0.05</c:v>
                </c:pt>
                <c:pt idx="1">
                  <c:v>0</c:v>
                </c:pt>
              </c:numCache>
            </c:numRef>
          </c:yVal>
          <c:smooth val="1"/>
        </c:ser>
        <c:ser>
          <c:idx val="6"/>
          <c:order val="2"/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2623222710658095E-2"/>
                  <c:y val="-3.6842317787199708E-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ctr" rtl="1">
                    <a:defRPr sz="900" b="1" i="0" u="none" strike="noStrike" baseline="0">
                      <a:solidFill>
                        <a:srgbClr val="FF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4.0899795501023184E-4"/>
                  <c:y val="-3.6336765596608145E-2"/>
                </c:manualLayout>
              </c:layout>
              <c:tx>
                <c:rich>
                  <a:bodyPr/>
                  <a:lstStyle/>
                  <a:p>
                    <a:pPr>
                      <a:defRPr sz="900" b="1" i="0" u="none" strike="noStrike" baseline="0">
                        <a:solidFill>
                          <a:srgbClr val="FF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900"/>
                      <a:t>Red Circle (Op.</a:t>
                    </a:r>
                    <a:r>
                      <a:rPr lang="en-US" sz="900" baseline="0"/>
                      <a:t> Manual)</a:t>
                    </a:r>
                    <a:endParaRPr lang="en-US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9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DriftOff!$AH$108:$AH$109</c:f>
              <c:numCache>
                <c:formatCode>0" sec"</c:formatCode>
                <c:ptCount val="2"/>
                <c:pt idx="0" formatCode="General">
                  <c:v>82.742750089568759</c:v>
                </c:pt>
                <c:pt idx="1">
                  <c:v>0</c:v>
                </c:pt>
              </c:numCache>
            </c:numRef>
          </c:xVal>
          <c:yVal>
            <c:numRef>
              <c:f>DriftOff!$AG$108:$AG$109</c:f>
              <c:numCache>
                <c:formatCode>0.00%</c:formatCode>
                <c:ptCount val="2"/>
                <c:pt idx="0">
                  <c:v>0.05</c:v>
                </c:pt>
                <c:pt idx="1">
                  <c:v>0.05</c:v>
                </c:pt>
              </c:numCache>
            </c:numRef>
          </c:yVal>
          <c:smooth val="1"/>
        </c:ser>
        <c:ser>
          <c:idx val="0"/>
          <c:order val="3"/>
          <c:tx>
            <c:strRef>
              <c:f>DriftOff!$AF$110</c:f>
              <c:strCache>
                <c:ptCount val="1"/>
                <c:pt idx="0">
                  <c:v>Yellow 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DriftOff!$AH$110:$AH$111</c:f>
              <c:numCache>
                <c:formatCode>0" sec"</c:formatCode>
                <c:ptCount val="2"/>
                <c:pt idx="0">
                  <c:v>53.77221451703214</c:v>
                </c:pt>
                <c:pt idx="1">
                  <c:v>53.77221451703214</c:v>
                </c:pt>
              </c:numCache>
            </c:numRef>
          </c:xVal>
          <c:yVal>
            <c:numRef>
              <c:f>DriftOff!$AG$110:$AG$111</c:f>
              <c:numCache>
                <c:formatCode>0.00%</c:formatCode>
                <c:ptCount val="2"/>
                <c:pt idx="0">
                  <c:v>2.5000000000000001E-2</c:v>
                </c:pt>
                <c:pt idx="1">
                  <c:v>0</c:v>
                </c:pt>
              </c:numCache>
            </c:numRef>
          </c:yVal>
          <c:smooth val="1"/>
        </c:ser>
        <c:ser>
          <c:idx val="7"/>
          <c:order val="4"/>
          <c:tx>
            <c:strRef>
              <c:f>DriftOff!$AF$110</c:f>
              <c:strCache>
                <c:ptCount val="1"/>
                <c:pt idx="0">
                  <c:v>Yellow 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4.2337165389585263E-2"/>
                  <c:y val="-2.70175513240920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4.8850575449521311E-3"/>
                  <c:y val="-2.3333333333333334E-2"/>
                </c:manualLayout>
              </c:layout>
              <c:tx>
                <c:rich>
                  <a:bodyPr/>
                  <a:lstStyle/>
                  <a:p>
                    <a:r>
                      <a:rPr lang="en-US" sz="900" b="0" i="0" u="none" strike="noStrike" kern="1200" baseline="0">
                        <a:solidFill>
                          <a:srgbClr val="BD9A07"/>
                        </a:solidFill>
                        <a:latin typeface="Arial"/>
                        <a:ea typeface="Arial"/>
                        <a:cs typeface="Arial"/>
                      </a:rPr>
                      <a:t>Yellow Circle (Op. Manual)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ln>
                <a:noFill/>
              </a:ln>
            </c:spPr>
            <c:txPr>
              <a:bodyPr/>
              <a:lstStyle/>
              <a:p>
                <a:pPr algn="ctr">
                  <a:defRPr lang="en-US" sz="900" b="0" i="0" u="none" strike="noStrike" kern="1200" baseline="0">
                    <a:solidFill>
                      <a:srgbClr val="BD9A07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DriftOff!$AH$112:$AH$113</c:f>
              <c:numCache>
                <c:formatCode>0" sec"</c:formatCode>
                <c:ptCount val="2"/>
                <c:pt idx="0" formatCode="General">
                  <c:v>53.77221451703214</c:v>
                </c:pt>
                <c:pt idx="1">
                  <c:v>0</c:v>
                </c:pt>
              </c:numCache>
            </c:numRef>
          </c:xVal>
          <c:yVal>
            <c:numRef>
              <c:f>DriftOff!$AG$112:$AG$113</c:f>
              <c:numCache>
                <c:formatCode>0.00%</c:formatCode>
                <c:ptCount val="2"/>
                <c:pt idx="0">
                  <c:v>2.5000000000000001E-2</c:v>
                </c:pt>
                <c:pt idx="1">
                  <c:v>2.5000000000000001E-2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601408"/>
        <c:axId val="163618816"/>
      </c:scatterChart>
      <c:valAx>
        <c:axId val="163601408"/>
        <c:scaling>
          <c:orientation val="minMax"/>
          <c:max val="150"/>
        </c:scaling>
        <c:delete val="0"/>
        <c:axPos val="b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(sec)</a:t>
                </a:r>
              </a:p>
            </c:rich>
          </c:tx>
          <c:layout>
            <c:manualLayout>
              <c:xMode val="edge"/>
              <c:yMode val="edge"/>
              <c:x val="0.45956032729690915"/>
              <c:y val="0.9186812735364601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3618816"/>
        <c:crossesAt val="-200000"/>
        <c:crossBetween val="midCat"/>
        <c:majorUnit val="30"/>
        <c:minorUnit val="5"/>
      </c:valAx>
      <c:valAx>
        <c:axId val="16361881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Radius (%WD)</a:t>
                </a:r>
              </a:p>
            </c:rich>
          </c:tx>
          <c:layout>
            <c:manualLayout>
              <c:xMode val="edge"/>
              <c:yMode val="edge"/>
              <c:x val="2.4539815020062517E-2"/>
              <c:y val="0.4131868081707177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3601408"/>
        <c:crossesAt val="-20000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jpeg"/><Relationship Id="rId5" Type="http://schemas.openxmlformats.org/officeDocument/2006/relationships/chart" Target="../charts/chart4.xml"/><Relationship Id="rId4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80</xdr:row>
      <xdr:rowOff>0</xdr:rowOff>
    </xdr:from>
    <xdr:to>
      <xdr:col>14</xdr:col>
      <xdr:colOff>0</xdr:colOff>
      <xdr:row>110</xdr:row>
      <xdr:rowOff>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0</xdr:colOff>
      <xdr:row>109</xdr:row>
      <xdr:rowOff>179295</xdr:rowOff>
    </xdr:from>
    <xdr:to>
      <xdr:col>14</xdr:col>
      <xdr:colOff>0</xdr:colOff>
      <xdr:row>129</xdr:row>
      <xdr:rowOff>179295</xdr:rowOff>
    </xdr:to>
    <xdr:graphicFrame macro="">
      <xdr:nvGraphicFramePr>
        <xdr:cNvPr id="3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66</xdr:row>
          <xdr:rowOff>9525</xdr:rowOff>
        </xdr:from>
        <xdr:to>
          <xdr:col>12</xdr:col>
          <xdr:colOff>19050</xdr:colOff>
          <xdr:row>67</xdr:row>
          <xdr:rowOff>180975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5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Press Here to Update </a:t>
              </a:r>
            </a:p>
            <a:p>
              <a:pPr algn="ctr" rtl="0">
                <a:defRPr sz="1000"/>
              </a:pPr>
              <a:r>
                <a:rPr lang="en-US" sz="95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Drift-off Calculation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179293</xdr:colOff>
      <xdr:row>148</xdr:row>
      <xdr:rowOff>56029</xdr:rowOff>
    </xdr:from>
    <xdr:to>
      <xdr:col>14</xdr:col>
      <xdr:colOff>0</xdr:colOff>
      <xdr:row>165</xdr:row>
      <xdr:rowOff>0</xdr:rowOff>
    </xdr:to>
    <xdr:graphicFrame macro="">
      <xdr:nvGraphicFramePr>
        <xdr:cNvPr id="5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537881</xdr:colOff>
      <xdr:row>0</xdr:row>
      <xdr:rowOff>67238</xdr:rowOff>
    </xdr:from>
    <xdr:to>
      <xdr:col>13</xdr:col>
      <xdr:colOff>302557</xdr:colOff>
      <xdr:row>3</xdr:row>
      <xdr:rowOff>149226</xdr:rowOff>
    </xdr:to>
    <xdr:pic>
      <xdr:nvPicPr>
        <xdr:cNvPr id="6" name="Picture 5" descr="GE_LOGO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747" t="26695" r="4929" b="27582"/>
        <a:stretch>
          <a:fillRect/>
        </a:stretch>
      </xdr:blipFill>
      <xdr:spPr bwMode="auto">
        <a:xfrm>
          <a:off x="6095999" y="67238"/>
          <a:ext cx="1714499" cy="6534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130</xdr:row>
      <xdr:rowOff>1</xdr:rowOff>
    </xdr:from>
    <xdr:to>
      <xdr:col>14</xdr:col>
      <xdr:colOff>0</xdr:colOff>
      <xdr:row>149</xdr:row>
      <xdr:rowOff>0</xdr:rowOff>
    </xdr:to>
    <xdr:graphicFrame macro="">
      <xdr:nvGraphicFramePr>
        <xdr:cNvPr id="9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</xdr:col>
      <xdr:colOff>100853</xdr:colOff>
      <xdr:row>0</xdr:row>
      <xdr:rowOff>11206</xdr:rowOff>
    </xdr:from>
    <xdr:to>
      <xdr:col>3</xdr:col>
      <xdr:colOff>582790</xdr:colOff>
      <xdr:row>5</xdr:row>
      <xdr:rowOff>110266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0147" y="11206"/>
          <a:ext cx="1311172" cy="10515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chemeClr val="tx2">
              <a:lumMod val="60000"/>
              <a:lumOff val="4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horzOverflow="clip" wrap="square" lIns="18288" tIns="0" rIns="0" bIns="0" rtlCol="0" anchor="t" upright="1"/>
      <a:lstStyle>
        <a:defPPr algn="l">
          <a:defRPr sz="1100"/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D1116"/>
  <sheetViews>
    <sheetView tabSelected="1" zoomScale="85" zoomScaleNormal="85" zoomScaleSheetLayoutView="100" workbookViewId="0"/>
  </sheetViews>
  <sheetFormatPr defaultRowHeight="15" customHeight="1" x14ac:dyDescent="0.2"/>
  <cols>
    <col min="1" max="2" width="3.1640625" style="24" customWidth="1"/>
    <col min="3" max="14" width="11.33203125" style="24" customWidth="1"/>
    <col min="15" max="15" width="3.1640625" style="24" customWidth="1"/>
    <col min="16" max="16" width="9.33203125" style="24" customWidth="1"/>
    <col min="17" max="17" width="10.83203125" style="24" customWidth="1"/>
    <col min="18" max="28" width="10.83203125" style="61" customWidth="1"/>
    <col min="29" max="30" width="9.33203125" style="201" hidden="1" customWidth="1"/>
    <col min="31" max="32" width="9.33203125" style="24"/>
    <col min="33" max="34" width="10.83203125" style="24" bestFit="1" customWidth="1"/>
    <col min="35" max="35" width="11.5" style="24" bestFit="1" customWidth="1"/>
    <col min="36" max="36" width="9.33203125" style="24"/>
    <col min="37" max="37" width="9.33203125" style="61"/>
    <col min="38" max="38" width="9.83203125" style="24" customWidth="1"/>
    <col min="39" max="40" width="9.33203125" style="24" customWidth="1"/>
    <col min="41" max="41" width="8.6640625" style="60" bestFit="1" customWidth="1"/>
    <col min="42" max="42" width="9" style="24" customWidth="1"/>
    <col min="43" max="43" width="8.6640625" style="24" bestFit="1" customWidth="1"/>
    <col min="44" max="44" width="10.83203125" style="24" bestFit="1" customWidth="1"/>
    <col min="45" max="45" width="10" style="60" bestFit="1" customWidth="1"/>
    <col min="46" max="46" width="10.83203125" style="24" bestFit="1" customWidth="1"/>
    <col min="47" max="47" width="9.33203125" style="24"/>
    <col min="48" max="48" width="9.83203125" style="24" bestFit="1" customWidth="1"/>
    <col min="49" max="49" width="9.33203125" style="24"/>
    <col min="50" max="50" width="11.33203125" style="24" bestFit="1" customWidth="1"/>
    <col min="51" max="52" width="9.33203125" style="24"/>
    <col min="53" max="53" width="9.33203125" style="63"/>
    <col min="54" max="54" width="10.1640625" style="24" bestFit="1" customWidth="1"/>
    <col min="55" max="55" width="10" style="61" bestFit="1" customWidth="1"/>
    <col min="56" max="56" width="9.33203125" style="63"/>
    <col min="57" max="16384" width="9.33203125" style="24"/>
  </cols>
  <sheetData>
    <row r="1" spans="2:56" ht="15" customHeight="1" x14ac:dyDescent="0.2">
      <c r="D1" s="25"/>
      <c r="E1" s="364" t="s">
        <v>100</v>
      </c>
      <c r="F1" s="364"/>
      <c r="G1" s="364"/>
      <c r="H1" s="364"/>
      <c r="I1" s="364"/>
      <c r="J1" s="364"/>
      <c r="K1" s="364"/>
      <c r="L1" s="26"/>
      <c r="M1" s="26"/>
      <c r="N1" s="26"/>
      <c r="O1" s="26"/>
      <c r="Q1" s="351" t="s">
        <v>143</v>
      </c>
      <c r="R1" s="352"/>
      <c r="S1" s="352"/>
      <c r="T1" s="352"/>
      <c r="U1" s="352"/>
      <c r="V1" s="352"/>
      <c r="W1" s="352"/>
      <c r="X1" s="352"/>
      <c r="Y1" s="352"/>
      <c r="Z1" s="352"/>
      <c r="AA1" s="352"/>
      <c r="AB1" s="353"/>
      <c r="AC1" s="61"/>
      <c r="AD1" s="61"/>
      <c r="AE1" s="61"/>
      <c r="AF1" s="61"/>
      <c r="AG1" s="61"/>
      <c r="AH1" s="61"/>
      <c r="AI1" s="201"/>
      <c r="AJ1" s="201"/>
      <c r="AK1" s="24"/>
      <c r="AO1" s="24"/>
      <c r="AQ1" s="61"/>
      <c r="AS1" s="24"/>
      <c r="AU1" s="60"/>
      <c r="AY1" s="60"/>
      <c r="BA1" s="24"/>
      <c r="BC1" s="24"/>
      <c r="BD1" s="24"/>
    </row>
    <row r="2" spans="2:56" ht="15" customHeight="1" x14ac:dyDescent="0.2">
      <c r="B2" s="25"/>
      <c r="C2" s="25"/>
      <c r="D2" s="25"/>
      <c r="E2" s="364"/>
      <c r="F2" s="364"/>
      <c r="G2" s="364"/>
      <c r="H2" s="364"/>
      <c r="I2" s="364"/>
      <c r="J2" s="364"/>
      <c r="K2" s="364"/>
      <c r="L2" s="152"/>
      <c r="M2" s="152"/>
      <c r="N2" s="152"/>
      <c r="O2" s="152"/>
      <c r="Q2" s="354" t="s">
        <v>171</v>
      </c>
      <c r="R2" s="355"/>
      <c r="S2" s="356" t="s">
        <v>144</v>
      </c>
      <c r="T2" s="357"/>
      <c r="U2" s="358" t="s">
        <v>145</v>
      </c>
      <c r="V2" s="359"/>
      <c r="W2" s="360" t="s">
        <v>146</v>
      </c>
      <c r="X2" s="361"/>
      <c r="Y2" s="362" t="s">
        <v>147</v>
      </c>
      <c r="Z2" s="363"/>
      <c r="AA2" s="340" t="s">
        <v>148</v>
      </c>
      <c r="AB2" s="341"/>
      <c r="AC2" s="35"/>
      <c r="AD2" s="35"/>
      <c r="AE2" s="35"/>
      <c r="AF2" s="61"/>
      <c r="AG2" s="61"/>
      <c r="AH2" s="61"/>
      <c r="AI2" s="201"/>
      <c r="AJ2" s="201"/>
      <c r="AK2" s="24"/>
      <c r="AO2" s="24"/>
      <c r="AQ2" s="61"/>
      <c r="AS2" s="24"/>
      <c r="AU2" s="60"/>
      <c r="AY2" s="60"/>
      <c r="BA2" s="24"/>
      <c r="BC2" s="24"/>
      <c r="BD2" s="24"/>
    </row>
    <row r="3" spans="2:56" ht="15" customHeight="1" x14ac:dyDescent="0.2">
      <c r="B3" s="25"/>
      <c r="C3" s="25"/>
      <c r="D3" s="25"/>
      <c r="E3" s="364" t="s">
        <v>137</v>
      </c>
      <c r="F3" s="364"/>
      <c r="G3" s="364"/>
      <c r="H3" s="364"/>
      <c r="I3" s="364"/>
      <c r="J3" s="364"/>
      <c r="K3" s="364"/>
      <c r="L3" s="152"/>
      <c r="M3" s="152"/>
      <c r="N3" s="152"/>
      <c r="O3" s="152"/>
      <c r="Q3" s="345" t="s">
        <v>149</v>
      </c>
      <c r="R3" s="346"/>
      <c r="S3" s="334" t="s">
        <v>150</v>
      </c>
      <c r="T3" s="335"/>
      <c r="U3" s="334" t="s">
        <v>151</v>
      </c>
      <c r="V3" s="335"/>
      <c r="W3" s="334" t="s">
        <v>152</v>
      </c>
      <c r="X3" s="335"/>
      <c r="Y3" s="334" t="s">
        <v>153</v>
      </c>
      <c r="Z3" s="335"/>
      <c r="AA3" s="334" t="s">
        <v>154</v>
      </c>
      <c r="AB3" s="335"/>
      <c r="AC3" s="35"/>
      <c r="AD3" s="35"/>
      <c r="AE3" s="35"/>
      <c r="AF3" s="61"/>
      <c r="AG3" s="61"/>
      <c r="AH3" s="61"/>
      <c r="AI3" s="201"/>
      <c r="AJ3" s="201"/>
      <c r="AK3" s="24"/>
      <c r="AO3" s="24"/>
      <c r="AQ3" s="61"/>
      <c r="AS3" s="24"/>
      <c r="AU3" s="60"/>
      <c r="AY3" s="60"/>
      <c r="BA3" s="24"/>
      <c r="BC3" s="24"/>
      <c r="BD3" s="24"/>
    </row>
    <row r="4" spans="2:56" ht="15" customHeight="1" x14ac:dyDescent="0.2">
      <c r="B4" s="25"/>
      <c r="C4" s="25"/>
      <c r="D4" s="25"/>
      <c r="E4" s="364"/>
      <c r="F4" s="364"/>
      <c r="G4" s="364"/>
      <c r="H4" s="364"/>
      <c r="I4" s="364"/>
      <c r="J4" s="364"/>
      <c r="K4" s="364"/>
      <c r="L4" s="152"/>
      <c r="M4" s="152"/>
      <c r="N4" s="152"/>
      <c r="O4" s="152"/>
      <c r="Q4" s="347"/>
      <c r="R4" s="348"/>
      <c r="S4" s="336"/>
      <c r="T4" s="337"/>
      <c r="U4" s="336"/>
      <c r="V4" s="337"/>
      <c r="W4" s="336"/>
      <c r="X4" s="337"/>
      <c r="Y4" s="336"/>
      <c r="Z4" s="337"/>
      <c r="AA4" s="336"/>
      <c r="AB4" s="337"/>
      <c r="AC4" s="35"/>
      <c r="AD4" s="35"/>
      <c r="AE4" s="35"/>
      <c r="AF4" s="61"/>
      <c r="AG4" s="61"/>
      <c r="AH4" s="61"/>
      <c r="AI4" s="201"/>
      <c r="AJ4" s="201"/>
      <c r="AK4" s="24"/>
      <c r="AO4" s="24"/>
      <c r="AQ4" s="61"/>
      <c r="AS4" s="24"/>
      <c r="AU4" s="60"/>
      <c r="AY4" s="60"/>
      <c r="BA4" s="24"/>
      <c r="BC4" s="24"/>
      <c r="BD4" s="24"/>
    </row>
    <row r="5" spans="2:56" ht="15" customHeight="1" x14ac:dyDescent="0.2">
      <c r="B5" s="25"/>
      <c r="C5" s="25"/>
      <c r="D5" s="25"/>
      <c r="E5" s="27" t="s">
        <v>173</v>
      </c>
      <c r="G5" s="25" t="s">
        <v>46</v>
      </c>
      <c r="H5" s="25"/>
      <c r="I5" s="25"/>
      <c r="J5" s="25"/>
      <c r="K5" s="25"/>
      <c r="L5" s="152"/>
      <c r="M5" s="152"/>
      <c r="N5" s="152"/>
      <c r="O5" s="152"/>
      <c r="Q5" s="349"/>
      <c r="R5" s="350"/>
      <c r="S5" s="338"/>
      <c r="T5" s="339"/>
      <c r="U5" s="338"/>
      <c r="V5" s="339"/>
      <c r="W5" s="338"/>
      <c r="X5" s="339"/>
      <c r="Y5" s="338"/>
      <c r="Z5" s="339"/>
      <c r="AA5" s="338"/>
      <c r="AB5" s="339"/>
      <c r="AC5" s="35"/>
      <c r="AD5" s="35"/>
      <c r="AE5" s="35"/>
      <c r="AF5" s="61"/>
      <c r="AG5" s="61"/>
      <c r="AH5" s="61"/>
      <c r="AI5" s="201"/>
      <c r="AJ5" s="201"/>
      <c r="AK5" s="24"/>
      <c r="AO5" s="24"/>
      <c r="AQ5" s="61"/>
      <c r="AS5" s="24"/>
      <c r="AU5" s="60"/>
      <c r="AY5" s="60"/>
      <c r="BA5" s="24"/>
      <c r="BC5" s="24"/>
      <c r="BD5" s="24"/>
    </row>
    <row r="6" spans="2:56" ht="15" customHeight="1" thickBot="1" x14ac:dyDescent="0.25">
      <c r="B6" s="25"/>
      <c r="C6" s="25"/>
      <c r="D6" s="25"/>
      <c r="E6" s="25" t="s">
        <v>213</v>
      </c>
      <c r="F6" s="25"/>
      <c r="G6" s="25"/>
      <c r="H6" s="25"/>
      <c r="I6" s="25"/>
      <c r="J6" s="25"/>
      <c r="K6" s="25"/>
      <c r="L6" s="25"/>
      <c r="M6" s="25"/>
      <c r="N6" s="25"/>
      <c r="O6" s="25"/>
      <c r="Q6" s="345" t="s">
        <v>155</v>
      </c>
      <c r="R6" s="346"/>
      <c r="S6" s="334" t="s">
        <v>156</v>
      </c>
      <c r="T6" s="335"/>
      <c r="U6" s="334" t="s">
        <v>157</v>
      </c>
      <c r="V6" s="335"/>
      <c r="W6" s="334" t="s">
        <v>158</v>
      </c>
      <c r="X6" s="335"/>
      <c r="Y6" s="334" t="s">
        <v>159</v>
      </c>
      <c r="Z6" s="335"/>
      <c r="AA6" s="334" t="s">
        <v>160</v>
      </c>
      <c r="AB6" s="335"/>
      <c r="AC6" s="35"/>
      <c r="AD6" s="35"/>
      <c r="AE6" s="35"/>
      <c r="AF6" s="61"/>
      <c r="AG6" s="61"/>
      <c r="AH6" s="61"/>
      <c r="AI6" s="201"/>
      <c r="AJ6" s="201"/>
      <c r="AK6" s="24"/>
      <c r="AO6" s="24"/>
      <c r="AQ6" s="61"/>
      <c r="AS6" s="24"/>
      <c r="AU6" s="60"/>
      <c r="AY6" s="60"/>
      <c r="BA6" s="24"/>
      <c r="BC6" s="24"/>
      <c r="BD6" s="24"/>
    </row>
    <row r="7" spans="2:56" ht="15" customHeight="1" thickBot="1" x14ac:dyDescent="0.25">
      <c r="B7" s="29"/>
      <c r="C7" s="30" t="s">
        <v>47</v>
      </c>
      <c r="D7" s="30"/>
      <c r="E7" s="30"/>
      <c r="F7" s="31" t="s">
        <v>48</v>
      </c>
      <c r="G7" s="32"/>
      <c r="H7" s="32"/>
      <c r="I7" s="32"/>
      <c r="J7" s="32"/>
      <c r="K7" s="32"/>
      <c r="L7" s="32"/>
      <c r="M7" s="32"/>
      <c r="N7" s="32"/>
      <c r="O7" s="33"/>
      <c r="Q7" s="347"/>
      <c r="R7" s="348"/>
      <c r="S7" s="336"/>
      <c r="T7" s="337"/>
      <c r="U7" s="336"/>
      <c r="V7" s="337"/>
      <c r="W7" s="336"/>
      <c r="X7" s="337"/>
      <c r="Y7" s="336"/>
      <c r="Z7" s="337"/>
      <c r="AA7" s="336"/>
      <c r="AB7" s="337"/>
      <c r="AC7" s="35"/>
      <c r="AD7" s="35"/>
      <c r="AE7" s="35"/>
      <c r="AF7" s="61"/>
      <c r="AG7" s="61"/>
      <c r="AH7" s="61"/>
      <c r="AI7" s="201"/>
      <c r="AJ7" s="201"/>
      <c r="AK7" s="24"/>
      <c r="AO7" s="24"/>
      <c r="AQ7" s="61"/>
      <c r="AS7" s="24"/>
      <c r="AU7" s="60"/>
      <c r="AY7" s="60"/>
      <c r="BA7" s="24"/>
      <c r="BC7" s="24"/>
      <c r="BD7" s="24"/>
    </row>
    <row r="8" spans="2:56" s="25" customFormat="1" ht="15" customHeight="1" thickTop="1" x14ac:dyDescent="0.2">
      <c r="B8" s="34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6"/>
      <c r="Q8" s="349"/>
      <c r="R8" s="350"/>
      <c r="S8" s="338"/>
      <c r="T8" s="339"/>
      <c r="U8" s="338"/>
      <c r="V8" s="339"/>
      <c r="W8" s="338"/>
      <c r="X8" s="339"/>
      <c r="Y8" s="338"/>
      <c r="Z8" s="339"/>
      <c r="AA8" s="338"/>
      <c r="AB8" s="339"/>
      <c r="AC8" s="35"/>
      <c r="AD8" s="35"/>
      <c r="AE8" s="35"/>
      <c r="AI8" s="201"/>
      <c r="AJ8" s="201"/>
      <c r="AK8" s="24"/>
      <c r="AL8" s="24"/>
      <c r="AM8" s="24"/>
      <c r="AN8" s="24"/>
      <c r="AO8" s="24"/>
      <c r="AP8" s="24"/>
      <c r="AQ8" s="61"/>
      <c r="AR8" s="24"/>
      <c r="AS8" s="24"/>
      <c r="AT8" s="24"/>
      <c r="AU8" s="60"/>
      <c r="AV8" s="24"/>
      <c r="AW8" s="24"/>
      <c r="AX8" s="24"/>
      <c r="AY8" s="60"/>
      <c r="AZ8" s="24"/>
      <c r="BA8" s="24"/>
      <c r="BB8" s="24"/>
    </row>
    <row r="9" spans="2:56" s="25" customFormat="1" ht="15" customHeight="1" x14ac:dyDescent="0.2">
      <c r="B9" s="37"/>
      <c r="C9" s="66" t="s">
        <v>49</v>
      </c>
      <c r="D9" s="67"/>
      <c r="E9" s="67"/>
      <c r="F9" s="68"/>
      <c r="G9" s="371" t="s">
        <v>95</v>
      </c>
      <c r="H9" s="372"/>
      <c r="I9" s="373"/>
      <c r="J9" s="35" t="s">
        <v>50</v>
      </c>
      <c r="K9" s="35"/>
      <c r="L9" s="35"/>
      <c r="M9" s="35"/>
      <c r="N9" s="35"/>
      <c r="O9" s="36"/>
      <c r="Q9" s="351" t="s">
        <v>161</v>
      </c>
      <c r="R9" s="352"/>
      <c r="S9" s="352"/>
      <c r="T9" s="352"/>
      <c r="U9" s="352"/>
      <c r="V9" s="352"/>
      <c r="W9" s="352"/>
      <c r="X9" s="352"/>
      <c r="Y9" s="352"/>
      <c r="Z9" s="352"/>
      <c r="AA9" s="352"/>
      <c r="AB9" s="353"/>
      <c r="AC9" s="35"/>
      <c r="AD9" s="35"/>
      <c r="AE9" s="35"/>
      <c r="AI9" s="201"/>
      <c r="AJ9" s="201"/>
      <c r="AK9" s="24"/>
      <c r="AL9" s="24"/>
      <c r="AM9" s="24"/>
      <c r="AN9" s="24"/>
      <c r="AO9" s="24"/>
      <c r="AP9" s="24"/>
      <c r="AQ9" s="61"/>
      <c r="AR9" s="24"/>
      <c r="AS9" s="24"/>
      <c r="AT9" s="24"/>
      <c r="AU9" s="60"/>
      <c r="AV9" s="24"/>
      <c r="AW9" s="24"/>
      <c r="AX9" s="24"/>
      <c r="AY9" s="60"/>
      <c r="AZ9" s="24"/>
      <c r="BA9" s="24"/>
      <c r="BB9" s="24"/>
    </row>
    <row r="10" spans="2:56" s="25" customFormat="1" ht="15" customHeight="1" x14ac:dyDescent="0.2">
      <c r="B10" s="37"/>
      <c r="C10" s="66" t="s">
        <v>51</v>
      </c>
      <c r="D10" s="67"/>
      <c r="E10" s="67"/>
      <c r="F10" s="68"/>
      <c r="G10" s="371" t="s">
        <v>96</v>
      </c>
      <c r="H10" s="372"/>
      <c r="I10" s="373"/>
      <c r="J10" s="35"/>
      <c r="K10" s="35"/>
      <c r="L10" s="35"/>
      <c r="M10" s="35"/>
      <c r="N10" s="35"/>
      <c r="O10" s="36"/>
      <c r="Q10" s="354" t="s">
        <v>170</v>
      </c>
      <c r="R10" s="355"/>
      <c r="S10" s="356" t="s">
        <v>144</v>
      </c>
      <c r="T10" s="357"/>
      <c r="U10" s="358" t="s">
        <v>145</v>
      </c>
      <c r="V10" s="359"/>
      <c r="W10" s="360" t="s">
        <v>146</v>
      </c>
      <c r="X10" s="361"/>
      <c r="Y10" s="362" t="s">
        <v>147</v>
      </c>
      <c r="Z10" s="363"/>
      <c r="AA10" s="340" t="s">
        <v>148</v>
      </c>
      <c r="AB10" s="341"/>
      <c r="AC10" s="35"/>
      <c r="AD10" s="35"/>
      <c r="AE10" s="35"/>
      <c r="AI10" s="201"/>
      <c r="AJ10" s="201"/>
      <c r="AK10" s="24"/>
      <c r="AL10" s="24"/>
      <c r="AM10" s="24"/>
      <c r="AN10" s="24"/>
      <c r="AO10" s="24"/>
      <c r="AP10" s="24"/>
      <c r="AQ10" s="61"/>
      <c r="AR10" s="24"/>
      <c r="AS10" s="24"/>
      <c r="AT10" s="24"/>
      <c r="AU10" s="60"/>
      <c r="AV10" s="24"/>
      <c r="AW10" s="24"/>
      <c r="AX10" s="24"/>
      <c r="AY10" s="60"/>
      <c r="AZ10" s="24"/>
      <c r="BA10" s="24"/>
      <c r="BB10" s="24"/>
    </row>
    <row r="11" spans="2:56" s="25" customFormat="1" ht="15" customHeight="1" x14ac:dyDescent="0.2">
      <c r="B11" s="37"/>
      <c r="C11" s="66" t="s">
        <v>52</v>
      </c>
      <c r="D11" s="67"/>
      <c r="E11" s="67"/>
      <c r="F11" s="68"/>
      <c r="G11" s="371"/>
      <c r="H11" s="372"/>
      <c r="I11" s="373"/>
      <c r="J11" s="35"/>
      <c r="K11" s="35"/>
      <c r="L11" s="35"/>
      <c r="M11" s="35"/>
      <c r="N11" s="35"/>
      <c r="O11" s="36"/>
      <c r="Q11" s="345" t="s">
        <v>162</v>
      </c>
      <c r="R11" s="346"/>
      <c r="S11" s="334" t="s">
        <v>179</v>
      </c>
      <c r="T11" s="335"/>
      <c r="U11" s="334" t="s">
        <v>195</v>
      </c>
      <c r="V11" s="342"/>
      <c r="W11" s="342"/>
      <c r="X11" s="335"/>
      <c r="Y11" s="334" t="s">
        <v>188</v>
      </c>
      <c r="Z11" s="335"/>
      <c r="AA11" s="334" t="s">
        <v>189</v>
      </c>
      <c r="AB11" s="335"/>
      <c r="AC11" s="201"/>
      <c r="AD11" s="201"/>
      <c r="AE11" s="24"/>
      <c r="AF11" s="24"/>
      <c r="AG11" s="24"/>
      <c r="AH11" s="24"/>
      <c r="AI11" s="24"/>
      <c r="AJ11" s="24"/>
      <c r="AK11" s="61"/>
      <c r="AL11" s="24"/>
      <c r="AM11" s="24"/>
      <c r="AN11" s="24"/>
      <c r="AO11" s="60"/>
      <c r="AP11" s="24"/>
      <c r="AQ11" s="24"/>
      <c r="AR11" s="24"/>
      <c r="AS11" s="60"/>
      <c r="AT11" s="24"/>
      <c r="AU11" s="24"/>
      <c r="AV11" s="24"/>
      <c r="AW11" s="24"/>
      <c r="AX11" s="24"/>
      <c r="AY11" s="91"/>
      <c r="BA11" s="64"/>
    </row>
    <row r="12" spans="2:56" s="25" customFormat="1" ht="15" customHeight="1" x14ac:dyDescent="0.2">
      <c r="B12" s="37"/>
      <c r="C12" s="66" t="s">
        <v>53</v>
      </c>
      <c r="D12" s="67"/>
      <c r="E12" s="67"/>
      <c r="F12" s="68"/>
      <c r="G12" s="365">
        <v>41975</v>
      </c>
      <c r="H12" s="366"/>
      <c r="I12" s="367"/>
      <c r="J12" s="35"/>
      <c r="K12" s="35"/>
      <c r="L12" s="35"/>
      <c r="M12" s="35"/>
      <c r="N12" s="35"/>
      <c r="O12" s="36"/>
      <c r="Q12" s="347"/>
      <c r="R12" s="348"/>
      <c r="S12" s="336"/>
      <c r="T12" s="337"/>
      <c r="U12" s="336"/>
      <c r="V12" s="343"/>
      <c r="W12" s="343"/>
      <c r="X12" s="337"/>
      <c r="Y12" s="336"/>
      <c r="Z12" s="337"/>
      <c r="AA12" s="336"/>
      <c r="AB12" s="337"/>
      <c r="AC12" s="201"/>
      <c r="AD12" s="201"/>
      <c r="AE12" s="24"/>
      <c r="AF12" s="24"/>
      <c r="AG12" s="24"/>
      <c r="AH12" s="24"/>
      <c r="AI12" s="24"/>
      <c r="AJ12" s="24"/>
      <c r="AK12" s="61"/>
      <c r="AL12" s="24"/>
      <c r="AM12" s="24"/>
      <c r="AN12" s="24"/>
      <c r="AO12" s="60"/>
      <c r="AP12" s="24"/>
      <c r="AQ12" s="24"/>
      <c r="AR12" s="24"/>
      <c r="AS12" s="60"/>
      <c r="AT12" s="24"/>
      <c r="AU12" s="24"/>
      <c r="AV12" s="24"/>
      <c r="AW12" s="24"/>
      <c r="AX12" s="24"/>
      <c r="AY12" s="91"/>
      <c r="BA12" s="64"/>
    </row>
    <row r="13" spans="2:56" s="25" customFormat="1" ht="15" customHeight="1" x14ac:dyDescent="0.2">
      <c r="B13" s="37"/>
      <c r="C13" s="66" t="s">
        <v>54</v>
      </c>
      <c r="D13" s="67"/>
      <c r="E13" s="67"/>
      <c r="F13" s="68"/>
      <c r="G13" s="294">
        <v>500</v>
      </c>
      <c r="H13" s="174"/>
      <c r="I13" s="205">
        <f>G13*3.281</f>
        <v>1640.5</v>
      </c>
      <c r="K13" s="35"/>
      <c r="L13" s="35"/>
      <c r="M13" s="35"/>
      <c r="N13" s="35"/>
      <c r="O13" s="36"/>
      <c r="Q13" s="349"/>
      <c r="R13" s="350"/>
      <c r="S13" s="338"/>
      <c r="T13" s="339"/>
      <c r="U13" s="338"/>
      <c r="V13" s="344"/>
      <c r="W13" s="344"/>
      <c r="X13" s="339"/>
      <c r="Y13" s="338"/>
      <c r="Z13" s="339"/>
      <c r="AA13" s="338"/>
      <c r="AB13" s="339"/>
      <c r="AC13" s="201"/>
      <c r="AD13" s="201"/>
      <c r="AE13" s="24"/>
      <c r="AF13" s="24"/>
      <c r="AG13" s="24"/>
      <c r="AH13" s="24"/>
      <c r="AI13" s="24"/>
      <c r="AJ13" s="24"/>
      <c r="AK13" s="61"/>
      <c r="AL13" s="24"/>
      <c r="AM13" s="24"/>
      <c r="AN13" s="24"/>
      <c r="AO13" s="60"/>
      <c r="AP13" s="24"/>
      <c r="AQ13" s="24"/>
      <c r="AR13" s="24"/>
      <c r="AS13" s="60"/>
      <c r="AT13" s="24"/>
      <c r="AU13" s="24"/>
      <c r="AV13" s="24"/>
      <c r="AW13" s="24"/>
      <c r="AX13" s="24"/>
      <c r="AY13" s="91"/>
      <c r="BA13" s="64"/>
    </row>
    <row r="14" spans="2:56" s="25" customFormat="1" ht="15" customHeight="1" x14ac:dyDescent="0.2">
      <c r="B14" s="37"/>
      <c r="C14" s="66" t="s">
        <v>225</v>
      </c>
      <c r="D14" s="67"/>
      <c r="E14" s="67"/>
      <c r="F14" s="68"/>
      <c r="G14" s="294">
        <v>0</v>
      </c>
      <c r="H14" s="67" t="s">
        <v>202</v>
      </c>
      <c r="I14" s="294">
        <v>0</v>
      </c>
      <c r="J14" s="68" t="s">
        <v>203</v>
      </c>
      <c r="M14" s="35"/>
      <c r="N14" s="35"/>
      <c r="O14" s="36"/>
      <c r="Q14" s="345" t="s">
        <v>172</v>
      </c>
      <c r="R14" s="346"/>
      <c r="S14" s="334" t="s">
        <v>163</v>
      </c>
      <c r="T14" s="335"/>
      <c r="U14" s="334" t="s">
        <v>164</v>
      </c>
      <c r="V14" s="335"/>
      <c r="W14" s="334" t="s">
        <v>165</v>
      </c>
      <c r="X14" s="335"/>
      <c r="Y14" s="334" t="s">
        <v>166</v>
      </c>
      <c r="Z14" s="335"/>
      <c r="AA14" s="334" t="s">
        <v>167</v>
      </c>
      <c r="AB14" s="335"/>
      <c r="AC14" s="201"/>
      <c r="AD14" s="201"/>
      <c r="AE14" s="24"/>
      <c r="AF14" s="24"/>
      <c r="AG14" s="24"/>
      <c r="AH14" s="24"/>
      <c r="AI14" s="24"/>
      <c r="AJ14" s="24"/>
      <c r="AK14" s="61"/>
      <c r="AL14" s="24"/>
      <c r="AM14" s="24"/>
      <c r="AN14" s="24"/>
      <c r="AO14" s="60"/>
      <c r="AP14" s="24"/>
      <c r="AQ14" s="24"/>
      <c r="AR14" s="24"/>
      <c r="AS14" s="60"/>
      <c r="AT14" s="24"/>
      <c r="AU14" s="24"/>
      <c r="AV14" s="24"/>
      <c r="AW14" s="24"/>
      <c r="AX14" s="24"/>
      <c r="AY14" s="91"/>
      <c r="BA14" s="64"/>
    </row>
    <row r="15" spans="2:56" s="25" customFormat="1" ht="15" customHeight="1" thickBot="1" x14ac:dyDescent="0.25"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1"/>
      <c r="Q15" s="347"/>
      <c r="R15" s="348"/>
      <c r="S15" s="336"/>
      <c r="T15" s="337"/>
      <c r="U15" s="336"/>
      <c r="V15" s="337"/>
      <c r="W15" s="336"/>
      <c r="X15" s="337"/>
      <c r="Y15" s="336"/>
      <c r="Z15" s="337"/>
      <c r="AA15" s="336"/>
      <c r="AB15" s="337"/>
      <c r="AC15" s="201"/>
      <c r="AD15" s="201"/>
      <c r="AE15" s="24"/>
      <c r="AF15" s="24"/>
      <c r="AG15" s="24"/>
      <c r="AH15" s="24"/>
      <c r="AI15" s="24"/>
      <c r="AJ15" s="24"/>
      <c r="AK15" s="61"/>
      <c r="AL15" s="24"/>
      <c r="AM15" s="24"/>
      <c r="AN15" s="24"/>
      <c r="AO15" s="60"/>
      <c r="AP15" s="24"/>
      <c r="AQ15" s="24"/>
      <c r="AR15" s="24"/>
      <c r="AS15" s="60"/>
      <c r="AT15" s="24"/>
      <c r="AU15" s="24"/>
      <c r="AV15" s="24"/>
      <c r="AW15" s="24"/>
      <c r="AX15" s="24"/>
      <c r="BA15" s="64"/>
    </row>
    <row r="16" spans="2:56" s="25" customFormat="1" ht="15" customHeight="1" thickBot="1" x14ac:dyDescent="0.25">
      <c r="B16" s="29"/>
      <c r="C16" s="30" t="s">
        <v>55</v>
      </c>
      <c r="D16" s="30"/>
      <c r="E16" s="30"/>
      <c r="F16" s="32"/>
      <c r="G16" s="32"/>
      <c r="H16" s="32"/>
      <c r="I16" s="32"/>
      <c r="J16" s="32"/>
      <c r="K16" s="32"/>
      <c r="L16" s="32"/>
      <c r="M16" s="32"/>
      <c r="N16" s="32"/>
      <c r="O16" s="33"/>
      <c r="Q16" s="349"/>
      <c r="R16" s="350"/>
      <c r="S16" s="338"/>
      <c r="T16" s="339"/>
      <c r="U16" s="338"/>
      <c r="V16" s="339"/>
      <c r="W16" s="338"/>
      <c r="X16" s="339"/>
      <c r="Y16" s="338"/>
      <c r="Z16" s="339"/>
      <c r="AA16" s="338"/>
      <c r="AB16" s="339"/>
      <c r="AC16" s="201"/>
      <c r="AD16" s="201"/>
      <c r="AE16" s="24"/>
      <c r="AF16" s="24"/>
      <c r="AG16" s="24"/>
      <c r="AH16" s="24"/>
      <c r="AI16" s="24"/>
      <c r="AJ16" s="24"/>
      <c r="AK16" s="61"/>
      <c r="AL16" s="24"/>
      <c r="AM16" s="24"/>
      <c r="AN16" s="24"/>
      <c r="AO16" s="60"/>
      <c r="AP16" s="24"/>
      <c r="AQ16" s="24"/>
      <c r="AR16" s="24"/>
      <c r="AS16" s="60"/>
      <c r="AT16" s="24"/>
      <c r="AU16" s="24"/>
      <c r="AV16" s="24"/>
      <c r="AW16" s="24"/>
      <c r="AX16" s="24"/>
      <c r="BA16" s="64"/>
    </row>
    <row r="17" spans="2:53" s="25" customFormat="1" ht="15" customHeight="1" thickTop="1" x14ac:dyDescent="0.2">
      <c r="B17" s="34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6"/>
      <c r="Q17" s="24"/>
      <c r="R17" s="61"/>
      <c r="S17" s="298">
        <v>1.4999999999999999E-2</v>
      </c>
      <c r="T17" s="298"/>
      <c r="U17" s="298"/>
      <c r="V17" s="298"/>
      <c r="W17" s="298"/>
      <c r="X17" s="298"/>
      <c r="Y17" s="298"/>
      <c r="Z17" s="299"/>
      <c r="AA17" s="299"/>
      <c r="AB17" s="299"/>
      <c r="AC17" s="201"/>
      <c r="AD17" s="201"/>
      <c r="AE17" s="24"/>
      <c r="AF17" s="24"/>
      <c r="AG17" s="24"/>
      <c r="AH17" s="24"/>
      <c r="AI17" s="24"/>
      <c r="AJ17" s="24"/>
      <c r="AK17" s="61"/>
      <c r="AL17" s="24"/>
      <c r="AM17" s="24"/>
      <c r="AN17" s="24"/>
      <c r="AO17" s="60"/>
      <c r="AP17" s="24"/>
      <c r="AQ17" s="24"/>
      <c r="AR17" s="24"/>
      <c r="AS17" s="60"/>
      <c r="AT17" s="24"/>
      <c r="AU17" s="24"/>
      <c r="AV17" s="24"/>
      <c r="AW17" s="24"/>
      <c r="AX17" s="24"/>
      <c r="BA17" s="64"/>
    </row>
    <row r="18" spans="2:53" s="25" customFormat="1" ht="15" customHeight="1" x14ac:dyDescent="0.2">
      <c r="B18" s="34"/>
      <c r="C18" s="42" t="s">
        <v>56</v>
      </c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6"/>
      <c r="Q18" s="24"/>
      <c r="R18" s="61"/>
      <c r="S18" s="298"/>
      <c r="T18" s="298"/>
      <c r="U18" s="298">
        <v>0.5</v>
      </c>
      <c r="V18" s="298"/>
      <c r="W18" s="298">
        <v>1</v>
      </c>
      <c r="X18" s="298"/>
      <c r="Y18" s="298">
        <v>2</v>
      </c>
      <c r="Z18" s="299"/>
      <c r="AA18" s="300">
        <v>5</v>
      </c>
      <c r="AB18" s="299"/>
      <c r="AC18" s="201"/>
      <c r="AD18" s="201"/>
      <c r="AE18" s="24"/>
      <c r="AF18" s="24"/>
      <c r="AG18" s="24"/>
      <c r="AH18" s="24"/>
      <c r="AI18" s="24"/>
      <c r="AJ18" s="24"/>
      <c r="AK18" s="61"/>
      <c r="AL18" s="24"/>
      <c r="AM18" s="24"/>
      <c r="AN18" s="24"/>
      <c r="AO18" s="60"/>
      <c r="AP18" s="24"/>
      <c r="AQ18" s="24"/>
      <c r="AR18" s="24"/>
      <c r="AS18" s="60"/>
      <c r="AT18" s="24"/>
      <c r="AU18" s="24"/>
      <c r="AV18" s="24"/>
      <c r="AW18" s="24"/>
      <c r="AX18" s="24"/>
      <c r="BA18" s="64"/>
    </row>
    <row r="19" spans="2:53" s="25" customFormat="1" ht="15" customHeight="1" x14ac:dyDescent="0.2">
      <c r="B19" s="43"/>
      <c r="C19" s="374" t="s">
        <v>57</v>
      </c>
      <c r="D19" s="375"/>
      <c r="E19" s="375"/>
      <c r="F19" s="376"/>
      <c r="G19" s="368" t="s">
        <v>58</v>
      </c>
      <c r="H19" s="369"/>
      <c r="I19" s="368" t="s">
        <v>204</v>
      </c>
      <c r="J19" s="370"/>
      <c r="K19" s="370"/>
      <c r="L19" s="369"/>
      <c r="O19" s="36"/>
      <c r="Q19" s="24"/>
      <c r="R19" s="61"/>
      <c r="S19" s="35"/>
      <c r="T19" s="35"/>
      <c r="U19" s="35"/>
      <c r="V19" s="35"/>
      <c r="W19" s="35"/>
      <c r="X19" s="35"/>
      <c r="Y19" s="35"/>
      <c r="Z19" s="61"/>
      <c r="AA19" s="61"/>
      <c r="AB19" s="61"/>
      <c r="AC19" s="201"/>
      <c r="AD19" s="201"/>
      <c r="AE19" s="24"/>
      <c r="AF19" s="24"/>
      <c r="AG19" s="24"/>
      <c r="AH19" s="24"/>
      <c r="AI19" s="24"/>
      <c r="AJ19" s="24"/>
      <c r="AK19" s="61"/>
      <c r="AL19" s="24"/>
      <c r="AM19" s="24"/>
      <c r="AN19" s="24"/>
      <c r="AO19" s="60"/>
      <c r="AP19" s="24"/>
      <c r="AQ19" s="24"/>
      <c r="AR19" s="24"/>
      <c r="AS19" s="60"/>
      <c r="AT19" s="24"/>
      <c r="AU19" s="24"/>
      <c r="AV19" s="24"/>
      <c r="AW19" s="24"/>
      <c r="AX19" s="24"/>
      <c r="BA19" s="64"/>
    </row>
    <row r="20" spans="2:53" s="25" customFormat="1" ht="15" customHeight="1" x14ac:dyDescent="0.2">
      <c r="B20" s="34"/>
      <c r="C20" s="71" t="s">
        <v>105</v>
      </c>
      <c r="D20" s="67"/>
      <c r="E20" s="67"/>
      <c r="F20" s="68"/>
      <c r="G20" s="194">
        <v>8</v>
      </c>
      <c r="H20" s="174" t="s">
        <v>29</v>
      </c>
      <c r="I20" s="175">
        <f>((TAN(G20/57.2958))*$G$13)/$G$13</f>
        <v>0.14054078379092161</v>
      </c>
      <c r="J20" s="71" t="s">
        <v>59</v>
      </c>
      <c r="K20" s="206">
        <f>I20*$G$13</f>
        <v>70.270391895460804</v>
      </c>
      <c r="L20" s="205">
        <f>I20*$I$13</f>
        <v>230.5571558090069</v>
      </c>
      <c r="O20" s="36"/>
      <c r="Q20" s="24"/>
      <c r="R20" s="61"/>
      <c r="S20" s="35"/>
      <c r="T20" s="35"/>
      <c r="U20" s="35"/>
      <c r="V20" s="35"/>
      <c r="W20" s="35"/>
      <c r="X20" s="35"/>
      <c r="Y20" s="35"/>
      <c r="Z20" s="61"/>
      <c r="AA20" s="61"/>
      <c r="AB20" s="61"/>
      <c r="AC20" s="201"/>
      <c r="AD20" s="201"/>
      <c r="AE20" s="24"/>
      <c r="AF20" s="24"/>
      <c r="AG20" s="24"/>
      <c r="AH20" s="24" t="s">
        <v>141</v>
      </c>
      <c r="AI20" s="24"/>
      <c r="AJ20" s="24"/>
      <c r="AK20" s="61"/>
      <c r="AL20" s="24"/>
      <c r="AM20" s="24"/>
      <c r="AN20" s="24"/>
      <c r="AO20" s="60"/>
      <c r="AP20" s="24"/>
      <c r="AQ20" s="24"/>
      <c r="AR20" s="24"/>
      <c r="AS20" s="60"/>
      <c r="AT20" s="24"/>
      <c r="AU20" s="24"/>
      <c r="AV20" s="24"/>
      <c r="AW20" s="24"/>
      <c r="AX20" s="24"/>
      <c r="BA20" s="64"/>
    </row>
    <row r="21" spans="2:53" s="25" customFormat="1" ht="15" customHeight="1" x14ac:dyDescent="0.2">
      <c r="B21" s="34"/>
      <c r="C21" s="48" t="s">
        <v>104</v>
      </c>
      <c r="D21" s="44"/>
      <c r="E21" s="44"/>
      <c r="F21" s="45"/>
      <c r="G21" s="194">
        <v>5</v>
      </c>
      <c r="H21" s="47" t="s">
        <v>29</v>
      </c>
      <c r="I21" s="46">
        <f>((TAN(G21/57.2958))*$G$13)/$G$13</f>
        <v>8.7488632083736501E-2</v>
      </c>
      <c r="J21" s="48" t="s">
        <v>59</v>
      </c>
      <c r="K21" s="207">
        <f>I21*$G$13</f>
        <v>43.744316041868252</v>
      </c>
      <c r="L21" s="208">
        <f>I21*$I$13</f>
        <v>143.52510093336974</v>
      </c>
      <c r="O21" s="36"/>
      <c r="Q21" s="24"/>
      <c r="R21" s="61"/>
      <c r="S21" s="35"/>
      <c r="T21" s="35"/>
      <c r="U21" s="35"/>
      <c r="V21" s="35"/>
      <c r="W21" s="35"/>
      <c r="X21" s="35"/>
      <c r="Y21" s="35"/>
      <c r="Z21" s="61"/>
      <c r="AA21" s="61"/>
      <c r="AB21" s="61"/>
      <c r="AC21" s="201"/>
      <c r="AD21" s="201"/>
      <c r="AE21" s="24"/>
      <c r="AF21" s="24"/>
      <c r="AG21" s="24"/>
      <c r="AH21" s="24"/>
      <c r="AI21" s="24"/>
      <c r="AJ21" s="24"/>
      <c r="AK21" s="61"/>
      <c r="AL21" s="24"/>
      <c r="AM21" s="24"/>
      <c r="AN21" s="24"/>
      <c r="AO21" s="60"/>
      <c r="AP21" s="24"/>
      <c r="AQ21" s="24"/>
      <c r="AR21" s="24"/>
      <c r="AS21" s="60"/>
      <c r="AT21" s="24"/>
      <c r="AU21" s="24"/>
      <c r="AV21" s="24"/>
      <c r="AW21" s="24"/>
      <c r="AX21" s="24"/>
      <c r="BA21" s="64"/>
    </row>
    <row r="22" spans="2:53" s="25" customFormat="1" ht="15" customHeight="1" x14ac:dyDescent="0.2">
      <c r="B22" s="34"/>
      <c r="C22" s="48" t="s">
        <v>103</v>
      </c>
      <c r="D22" s="44"/>
      <c r="E22" s="44"/>
      <c r="F22" s="45"/>
      <c r="G22" s="296">
        <v>30</v>
      </c>
      <c r="H22" s="47"/>
      <c r="I22" s="46">
        <f>((TAN(ACOS(I13/(I13+G22)))*I13)/I13)</f>
        <v>0.19211619786544951</v>
      </c>
      <c r="J22" s="48" t="s">
        <v>59</v>
      </c>
      <c r="K22" s="207">
        <f>I22*$G$13</f>
        <v>96.058098932724747</v>
      </c>
      <c r="L22" s="208">
        <f>I22*$I$13</f>
        <v>315.1666225982699</v>
      </c>
      <c r="O22" s="36"/>
      <c r="Q22" s="24"/>
      <c r="R22" s="61"/>
      <c r="S22" s="35"/>
      <c r="T22" s="35"/>
      <c r="U22" s="35"/>
      <c r="V22" s="35"/>
      <c r="W22" s="35"/>
      <c r="X22" s="35"/>
      <c r="Y22" s="35"/>
      <c r="Z22" s="61"/>
      <c r="AA22" s="61"/>
      <c r="AB22" s="61"/>
      <c r="AC22" s="201"/>
      <c r="AD22" s="201"/>
      <c r="AE22" s="24"/>
      <c r="AF22" s="24"/>
      <c r="AG22" s="24"/>
      <c r="AH22" s="24"/>
      <c r="AI22" s="24"/>
      <c r="AJ22" s="24"/>
      <c r="AK22" s="61"/>
      <c r="AL22" s="24"/>
      <c r="AM22" s="24"/>
      <c r="AN22" s="24"/>
      <c r="AO22" s="60"/>
      <c r="AP22" s="24"/>
      <c r="AQ22" s="24"/>
      <c r="AR22" s="24"/>
      <c r="AS22" s="60"/>
      <c r="AT22" s="24"/>
      <c r="AU22" s="24"/>
      <c r="AV22" s="24"/>
      <c r="AW22" s="24"/>
      <c r="AX22" s="24"/>
      <c r="BA22" s="64"/>
    </row>
    <row r="23" spans="2:53" s="25" customFormat="1" ht="15" customHeight="1" x14ac:dyDescent="0.2">
      <c r="B23" s="34"/>
      <c r="C23" s="48" t="s">
        <v>107</v>
      </c>
      <c r="D23" s="44"/>
      <c r="E23" s="44"/>
      <c r="F23" s="44"/>
      <c r="G23" s="164"/>
      <c r="H23" s="45"/>
      <c r="I23" s="49">
        <v>0.08</v>
      </c>
      <c r="J23" s="48" t="s">
        <v>59</v>
      </c>
      <c r="K23" s="207">
        <f>I23*$G$13</f>
        <v>40</v>
      </c>
      <c r="L23" s="208">
        <f>I23*$I$13</f>
        <v>131.24</v>
      </c>
      <c r="O23" s="36"/>
      <c r="Q23" s="24"/>
      <c r="R23" s="61"/>
      <c r="S23" s="35"/>
      <c r="T23" s="35"/>
      <c r="U23" s="35"/>
      <c r="V23" s="35"/>
      <c r="W23" s="35"/>
      <c r="X23" s="35"/>
      <c r="Y23" s="35"/>
      <c r="Z23" s="61"/>
      <c r="AA23" s="61"/>
      <c r="AB23" s="61"/>
      <c r="AC23" s="201"/>
      <c r="AD23" s="201"/>
      <c r="AE23" s="24"/>
      <c r="AF23" s="24"/>
      <c r="AG23" s="24"/>
      <c r="AH23" s="24"/>
      <c r="AI23" s="24"/>
      <c r="AJ23" s="24"/>
      <c r="AK23" s="61"/>
      <c r="AL23" s="24"/>
      <c r="AM23" s="24"/>
      <c r="AN23" s="24"/>
      <c r="AO23" s="60"/>
      <c r="AP23" s="24"/>
      <c r="AQ23" s="24"/>
      <c r="AR23" s="24"/>
      <c r="AS23" s="60"/>
      <c r="AT23" s="24"/>
      <c r="AU23" s="24"/>
      <c r="AV23" s="24"/>
      <c r="AW23" s="24"/>
      <c r="AX23" s="24"/>
      <c r="BA23" s="64"/>
    </row>
    <row r="24" spans="2:53" s="25" customFormat="1" ht="15" customHeight="1" x14ac:dyDescent="0.2">
      <c r="B24" s="34"/>
      <c r="C24" s="169" t="s">
        <v>106</v>
      </c>
      <c r="D24" s="170"/>
      <c r="E24" s="170"/>
      <c r="F24" s="170"/>
      <c r="G24" s="171"/>
      <c r="H24" s="172"/>
      <c r="I24" s="173">
        <v>0.08</v>
      </c>
      <c r="J24" s="169" t="s">
        <v>59</v>
      </c>
      <c r="K24" s="209">
        <f>I24*$G$13</f>
        <v>40</v>
      </c>
      <c r="L24" s="210">
        <f>I24*$I$13</f>
        <v>131.24</v>
      </c>
      <c r="O24" s="36"/>
      <c r="Q24" s="24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201"/>
      <c r="AD24" s="201"/>
      <c r="AE24" s="24"/>
      <c r="AF24" s="24"/>
      <c r="AG24" s="24"/>
      <c r="AH24" s="24"/>
      <c r="AI24" s="24"/>
      <c r="AJ24" s="24"/>
      <c r="AK24" s="61"/>
      <c r="AL24" s="24"/>
      <c r="AM24" s="24"/>
      <c r="AN24" s="24"/>
      <c r="AO24" s="60"/>
      <c r="AP24" s="24"/>
      <c r="AQ24" s="24"/>
      <c r="AR24" s="24"/>
      <c r="AS24" s="60"/>
      <c r="AT24" s="24"/>
      <c r="AU24" s="24"/>
      <c r="AV24" s="24"/>
      <c r="AW24" s="24"/>
      <c r="AX24" s="24"/>
      <c r="BA24" s="64"/>
    </row>
    <row r="25" spans="2:53" s="25" customFormat="1" ht="15" customHeight="1" x14ac:dyDescent="0.2">
      <c r="B25" s="34"/>
      <c r="C25" s="190" t="s">
        <v>140</v>
      </c>
      <c r="D25" s="67"/>
      <c r="E25" s="67"/>
      <c r="F25" s="67"/>
      <c r="G25" s="67"/>
      <c r="H25" s="68"/>
      <c r="I25" s="191" t="s">
        <v>206</v>
      </c>
      <c r="J25" s="35"/>
      <c r="K25" s="35"/>
      <c r="L25" s="35"/>
      <c r="O25" s="36"/>
      <c r="Q25" s="24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201"/>
      <c r="AD25" s="201"/>
      <c r="AE25" s="24"/>
      <c r="AF25" s="24"/>
      <c r="AG25" s="24"/>
      <c r="AH25" s="24"/>
      <c r="AI25" s="24"/>
      <c r="AJ25" s="24"/>
      <c r="AK25" s="61"/>
      <c r="AL25" s="24"/>
      <c r="AM25" s="24"/>
      <c r="AN25" s="24"/>
      <c r="AO25" s="60"/>
      <c r="AP25" s="24"/>
      <c r="AQ25" s="24"/>
      <c r="AR25" s="24"/>
      <c r="AS25" s="60"/>
      <c r="AT25" s="24"/>
      <c r="AU25" s="24"/>
      <c r="AV25" s="24"/>
      <c r="AW25" s="24"/>
      <c r="AX25" s="24"/>
      <c r="BA25" s="64"/>
    </row>
    <row r="26" spans="2:53" s="25" customFormat="1" ht="15" customHeight="1" x14ac:dyDescent="0.2">
      <c r="B26" s="34"/>
      <c r="C26" s="50" t="s">
        <v>113</v>
      </c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6"/>
      <c r="Q26" s="24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201"/>
      <c r="AD26" s="201"/>
      <c r="AE26" s="24"/>
      <c r="AF26" s="24"/>
      <c r="AG26" s="24"/>
      <c r="AH26" s="24"/>
      <c r="AI26" s="24"/>
      <c r="AJ26" s="24"/>
      <c r="AK26" s="61"/>
      <c r="AL26" s="24"/>
      <c r="AM26" s="24"/>
      <c r="AN26" s="24"/>
      <c r="AO26" s="60"/>
      <c r="AP26" s="24"/>
      <c r="AQ26" s="24"/>
      <c r="AR26" s="24"/>
      <c r="AS26" s="60"/>
      <c r="AT26" s="24"/>
      <c r="AU26" s="24"/>
      <c r="AV26" s="24"/>
      <c r="AW26" s="24"/>
      <c r="AX26" s="24"/>
      <c r="BA26" s="64"/>
    </row>
    <row r="27" spans="2:53" s="25" customFormat="1" ht="15" customHeight="1" x14ac:dyDescent="0.2">
      <c r="B27" s="34"/>
      <c r="C27" s="42" t="s">
        <v>60</v>
      </c>
      <c r="D27" s="35"/>
      <c r="E27" s="35"/>
      <c r="F27" s="35"/>
      <c r="G27" s="35"/>
      <c r="H27" s="35"/>
      <c r="I27" s="35"/>
      <c r="J27" s="35"/>
      <c r="K27" s="55"/>
      <c r="L27" s="35"/>
      <c r="M27" s="35"/>
      <c r="N27" s="35"/>
      <c r="O27" s="36"/>
      <c r="Q27" s="24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201"/>
      <c r="AD27" s="201"/>
      <c r="AE27" s="24"/>
      <c r="AF27" s="24"/>
      <c r="AG27" s="24"/>
      <c r="AH27" s="24"/>
      <c r="AI27" s="24"/>
      <c r="AJ27" s="24"/>
      <c r="AK27" s="61"/>
      <c r="AL27" s="24"/>
      <c r="AM27" s="24"/>
      <c r="AN27" s="24"/>
      <c r="AO27" s="60"/>
      <c r="AP27" s="24"/>
      <c r="AQ27" s="24"/>
      <c r="AR27" s="24"/>
      <c r="AS27" s="60"/>
      <c r="AT27" s="24"/>
      <c r="AU27" s="24"/>
      <c r="AV27" s="24"/>
      <c r="AW27" s="24"/>
      <c r="AX27" s="24"/>
      <c r="BA27" s="64"/>
    </row>
    <row r="28" spans="2:53" s="25" customFormat="1" ht="15" customHeight="1" x14ac:dyDescent="0.2">
      <c r="B28" s="34"/>
      <c r="C28" s="332" t="s">
        <v>61</v>
      </c>
      <c r="D28" s="374" t="s">
        <v>62</v>
      </c>
      <c r="E28" s="375"/>
      <c r="F28" s="376"/>
      <c r="G28" s="178" t="s">
        <v>196</v>
      </c>
      <c r="H28" s="333" t="s">
        <v>197</v>
      </c>
      <c r="I28" s="178" t="s">
        <v>198</v>
      </c>
      <c r="J28" s="333" t="s">
        <v>63</v>
      </c>
      <c r="K28" s="90"/>
      <c r="L28" s="90"/>
      <c r="M28" s="90"/>
      <c r="N28" s="35"/>
      <c r="O28" s="36"/>
      <c r="Q28" s="24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201"/>
      <c r="AD28" s="201"/>
      <c r="AE28" s="24"/>
      <c r="AF28" s="24"/>
      <c r="AG28" s="24"/>
      <c r="AH28" s="24"/>
      <c r="AI28" s="24"/>
      <c r="AJ28" s="24"/>
      <c r="AK28" s="61"/>
      <c r="AL28" s="24"/>
      <c r="AM28" s="24"/>
      <c r="AN28" s="24"/>
      <c r="AO28" s="60"/>
      <c r="AP28" s="24"/>
      <c r="AQ28" s="24"/>
      <c r="AR28" s="24"/>
      <c r="AS28" s="60"/>
      <c r="AT28" s="24"/>
      <c r="AU28" s="24"/>
      <c r="AV28" s="24"/>
      <c r="AW28" s="24"/>
      <c r="AX28" s="24"/>
      <c r="BA28" s="64"/>
    </row>
    <row r="29" spans="2:53" s="25" customFormat="1" ht="15" customHeight="1" x14ac:dyDescent="0.2">
      <c r="B29" s="34"/>
      <c r="C29" s="178">
        <v>1</v>
      </c>
      <c r="D29" s="71" t="s">
        <v>183</v>
      </c>
      <c r="E29" s="67"/>
      <c r="F29" s="68"/>
      <c r="G29" s="188">
        <v>16</v>
      </c>
      <c r="H29" s="295">
        <f>G32</f>
        <v>15</v>
      </c>
      <c r="I29" s="295">
        <f>G29+H29</f>
        <v>31</v>
      </c>
      <c r="J29" s="176"/>
      <c r="K29" s="35"/>
      <c r="L29" s="35"/>
      <c r="M29" s="35"/>
      <c r="N29" s="35"/>
      <c r="O29" s="36"/>
      <c r="Q29" s="24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201"/>
      <c r="AD29" s="201"/>
      <c r="AE29" s="24"/>
      <c r="AF29" s="24"/>
      <c r="AG29" s="24"/>
      <c r="AH29" s="24"/>
      <c r="AI29" s="24"/>
      <c r="AJ29" s="24"/>
      <c r="AK29" s="61"/>
      <c r="AL29" s="24"/>
      <c r="AM29" s="24"/>
      <c r="AN29" s="24"/>
      <c r="AO29" s="60"/>
      <c r="AP29" s="24"/>
      <c r="AQ29" s="24"/>
      <c r="AR29" s="24"/>
      <c r="AS29" s="60"/>
      <c r="AT29" s="24"/>
      <c r="AU29" s="24"/>
      <c r="AV29" s="24"/>
      <c r="AW29" s="24"/>
      <c r="AX29" s="24"/>
      <c r="BA29" s="64"/>
    </row>
    <row r="30" spans="2:53" s="25" customFormat="1" ht="15" customHeight="1" x14ac:dyDescent="0.2">
      <c r="B30" s="34"/>
      <c r="C30" s="177">
        <v>2</v>
      </c>
      <c r="D30" s="48" t="s">
        <v>184</v>
      </c>
      <c r="E30" s="44"/>
      <c r="F30" s="45"/>
      <c r="G30" s="188">
        <v>28</v>
      </c>
      <c r="H30" s="295">
        <f>G32</f>
        <v>15</v>
      </c>
      <c r="I30" s="295">
        <f t="shared" ref="I30:I31" si="0">G30+H30</f>
        <v>43</v>
      </c>
      <c r="J30" s="176" t="s">
        <v>34</v>
      </c>
      <c r="K30" s="35"/>
      <c r="L30" s="90"/>
      <c r="M30" s="90"/>
      <c r="N30" s="35"/>
      <c r="O30" s="36"/>
      <c r="Q30" s="24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201"/>
      <c r="AD30" s="201"/>
      <c r="AE30" s="24"/>
      <c r="AF30" s="24"/>
      <c r="AG30" s="24"/>
      <c r="AH30" s="24"/>
      <c r="AI30" s="24"/>
      <c r="AJ30" s="24"/>
      <c r="AK30" s="61"/>
      <c r="AL30" s="24"/>
      <c r="AM30" s="24"/>
      <c r="AN30" s="24"/>
      <c r="AO30" s="60"/>
      <c r="AP30" s="24"/>
      <c r="AQ30" s="24"/>
      <c r="AR30" s="24"/>
      <c r="AS30" s="60"/>
      <c r="AT30" s="24"/>
      <c r="AU30" s="24"/>
      <c r="AV30" s="24"/>
      <c r="AW30" s="24"/>
      <c r="AX30" s="24"/>
      <c r="BA30" s="64"/>
    </row>
    <row r="31" spans="2:53" s="25" customFormat="1" ht="15" customHeight="1" x14ac:dyDescent="0.2">
      <c r="B31" s="34"/>
      <c r="C31" s="177">
        <v>3</v>
      </c>
      <c r="D31" s="165" t="s">
        <v>102</v>
      </c>
      <c r="E31" s="166"/>
      <c r="F31" s="167"/>
      <c r="G31" s="292">
        <v>43</v>
      </c>
      <c r="H31" s="295">
        <f>G32</f>
        <v>15</v>
      </c>
      <c r="I31" s="295">
        <f t="shared" si="0"/>
        <v>58</v>
      </c>
      <c r="J31" s="176"/>
      <c r="K31" s="35"/>
      <c r="L31" s="35"/>
      <c r="M31" s="35"/>
      <c r="N31" s="35"/>
      <c r="O31" s="36"/>
      <c r="Q31" s="24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201"/>
      <c r="AD31" s="201"/>
      <c r="AE31" s="24"/>
      <c r="AF31" s="24"/>
      <c r="AG31" s="24"/>
      <c r="AH31" s="24"/>
      <c r="AI31" s="24"/>
      <c r="AJ31" s="24"/>
      <c r="AK31" s="61"/>
      <c r="AL31" s="24"/>
      <c r="AM31" s="24"/>
      <c r="AN31" s="24"/>
      <c r="AO31" s="60"/>
      <c r="AP31" s="24"/>
      <c r="AQ31" s="24"/>
      <c r="AR31" s="24"/>
      <c r="AS31" s="60"/>
      <c r="AT31" s="24"/>
      <c r="AU31" s="24"/>
      <c r="AV31" s="24"/>
      <c r="AW31" s="24"/>
      <c r="AX31" s="24"/>
      <c r="BA31" s="64"/>
    </row>
    <row r="32" spans="2:53" s="25" customFormat="1" ht="15" customHeight="1" x14ac:dyDescent="0.2">
      <c r="B32" s="34"/>
      <c r="C32" s="177" t="s">
        <v>129</v>
      </c>
      <c r="D32" s="48" t="s">
        <v>185</v>
      </c>
      <c r="E32" s="44"/>
      <c r="F32" s="45"/>
      <c r="G32" s="292">
        <v>15</v>
      </c>
      <c r="O32" s="36"/>
      <c r="Q32" s="24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201"/>
      <c r="AD32" s="201"/>
      <c r="AE32" s="24"/>
      <c r="AF32" s="24"/>
      <c r="AG32" s="24"/>
      <c r="AH32" s="24"/>
      <c r="AI32" s="24"/>
      <c r="AJ32" s="24"/>
      <c r="AK32" s="61"/>
      <c r="AL32" s="24"/>
      <c r="AM32" s="24"/>
      <c r="AN32" s="24"/>
      <c r="AO32" s="60"/>
      <c r="AP32" s="24"/>
      <c r="AQ32" s="24"/>
      <c r="AR32" s="24"/>
      <c r="AS32" s="60"/>
      <c r="AT32" s="24"/>
      <c r="AU32" s="24"/>
      <c r="AV32" s="24"/>
      <c r="AW32" s="24"/>
      <c r="AX32" s="24"/>
      <c r="BA32" s="64"/>
    </row>
    <row r="33" spans="2:53" s="25" customFormat="1" ht="15" hidden="1" customHeight="1" x14ac:dyDescent="0.2">
      <c r="B33" s="34"/>
      <c r="C33" s="177">
        <v>5</v>
      </c>
      <c r="D33" s="48"/>
      <c r="E33" s="44"/>
      <c r="F33" s="45"/>
      <c r="G33" s="292"/>
      <c r="O33" s="36"/>
      <c r="Q33" s="24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201"/>
      <c r="AD33" s="201"/>
      <c r="AE33" s="24"/>
      <c r="AF33" s="24"/>
      <c r="AG33" s="24"/>
      <c r="AH33" s="24"/>
      <c r="AI33" s="24"/>
      <c r="AJ33" s="24"/>
      <c r="AK33" s="61"/>
      <c r="AL33" s="24"/>
      <c r="AM33" s="24"/>
      <c r="AN33" s="24"/>
      <c r="AO33" s="60"/>
      <c r="AP33" s="24"/>
      <c r="AQ33" s="24"/>
      <c r="AR33" s="24"/>
      <c r="AS33" s="60"/>
      <c r="AT33" s="24"/>
      <c r="AU33" s="24"/>
      <c r="AV33" s="24"/>
      <c r="AW33" s="24"/>
      <c r="AX33" s="24"/>
      <c r="BA33" s="64"/>
    </row>
    <row r="34" spans="2:53" s="25" customFormat="1" ht="15" hidden="1" customHeight="1" x14ac:dyDescent="0.2">
      <c r="B34" s="34"/>
      <c r="C34" s="52"/>
      <c r="E34" s="35"/>
      <c r="F34" s="35"/>
      <c r="G34" s="292"/>
      <c r="K34" s="35"/>
      <c r="L34" s="35"/>
      <c r="M34" s="35"/>
      <c r="N34" s="35"/>
      <c r="O34" s="36"/>
      <c r="Q34" s="24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201"/>
      <c r="AD34" s="201"/>
      <c r="AE34" s="24"/>
      <c r="AF34" s="24"/>
      <c r="AG34" s="24"/>
      <c r="AH34" s="24"/>
      <c r="AI34" s="24"/>
      <c r="AJ34" s="24"/>
      <c r="AK34" s="61"/>
      <c r="AL34" s="24"/>
      <c r="AM34" s="24"/>
      <c r="AN34" s="24"/>
      <c r="AO34" s="60"/>
      <c r="AP34" s="24"/>
      <c r="AQ34" s="24"/>
      <c r="AR34" s="24"/>
      <c r="AS34" s="60"/>
      <c r="AT34" s="24"/>
      <c r="AU34" s="24"/>
      <c r="AV34" s="24"/>
      <c r="AW34" s="24"/>
      <c r="AX34" s="24"/>
      <c r="BA34" s="64"/>
    </row>
    <row r="35" spans="2:53" s="25" customFormat="1" ht="15" customHeight="1" x14ac:dyDescent="0.2">
      <c r="B35" s="53"/>
      <c r="C35" s="177" t="s">
        <v>186</v>
      </c>
      <c r="D35" s="48" t="s">
        <v>187</v>
      </c>
      <c r="E35" s="44"/>
      <c r="F35" s="45"/>
      <c r="G35" s="292">
        <v>45</v>
      </c>
      <c r="K35" s="35"/>
      <c r="L35" s="35"/>
      <c r="M35" s="35"/>
      <c r="N35" s="35"/>
      <c r="O35" s="36"/>
      <c r="Q35" s="24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201"/>
      <c r="AD35" s="201"/>
      <c r="AE35" s="24"/>
      <c r="AF35" s="24"/>
      <c r="AG35" s="24"/>
      <c r="AH35" s="24"/>
      <c r="AI35" s="24"/>
      <c r="AJ35" s="24"/>
      <c r="AK35" s="61"/>
      <c r="AL35" s="24"/>
      <c r="AM35" s="24"/>
      <c r="AN35" s="24"/>
      <c r="AO35" s="60"/>
      <c r="AP35" s="24"/>
      <c r="AQ35" s="24"/>
      <c r="AR35" s="24"/>
      <c r="AS35" s="60"/>
      <c r="AT35" s="24"/>
      <c r="AU35" s="24"/>
      <c r="AV35" s="24"/>
      <c r="AW35" s="24"/>
      <c r="AX35" s="24"/>
      <c r="BA35" s="64"/>
    </row>
    <row r="36" spans="2:53" s="25" customFormat="1" ht="15" customHeight="1" thickBot="1" x14ac:dyDescent="0.25">
      <c r="B36" s="39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1"/>
      <c r="Q36" s="24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201"/>
      <c r="AD36" s="201"/>
      <c r="AE36" s="24"/>
      <c r="AF36" s="24"/>
      <c r="AG36" s="24"/>
      <c r="AH36" s="24"/>
      <c r="AI36" s="24"/>
      <c r="AJ36" s="24"/>
      <c r="AK36" s="61"/>
      <c r="AL36" s="24"/>
      <c r="AM36" s="24"/>
      <c r="AN36" s="24"/>
      <c r="AO36" s="60"/>
      <c r="AP36" s="24"/>
      <c r="AQ36" s="24"/>
      <c r="AR36" s="24"/>
      <c r="AS36" s="60"/>
      <c r="AT36" s="24"/>
      <c r="AU36" s="24"/>
      <c r="AV36" s="24"/>
      <c r="AW36" s="24"/>
      <c r="AX36" s="24"/>
      <c r="BA36" s="64"/>
    </row>
    <row r="37" spans="2:53" s="25" customFormat="1" ht="15" customHeight="1" thickBot="1" x14ac:dyDescent="0.25">
      <c r="B37" s="29"/>
      <c r="C37" s="30" t="s">
        <v>111</v>
      </c>
      <c r="D37" s="30"/>
      <c r="E37" s="30"/>
      <c r="F37" s="32"/>
      <c r="G37" s="32"/>
      <c r="H37" s="32"/>
      <c r="I37" s="32"/>
      <c r="J37" s="32"/>
      <c r="K37" s="32"/>
      <c r="L37" s="32"/>
      <c r="M37" s="32"/>
      <c r="N37" s="32"/>
      <c r="O37" s="33"/>
      <c r="Q37" s="24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201"/>
      <c r="AD37" s="201"/>
      <c r="AE37" s="24"/>
      <c r="AF37" s="24"/>
      <c r="AG37" s="24"/>
      <c r="AH37" s="24"/>
      <c r="AI37" s="24"/>
      <c r="AJ37" s="24"/>
      <c r="AK37" s="61"/>
      <c r="AL37" s="24"/>
      <c r="AM37" s="24"/>
      <c r="AN37" s="24"/>
      <c r="AO37" s="60"/>
      <c r="AP37" s="24"/>
      <c r="AQ37" s="24"/>
      <c r="AR37" s="24"/>
      <c r="AS37" s="60"/>
      <c r="AT37" s="24"/>
      <c r="AU37" s="24"/>
      <c r="AV37" s="24"/>
      <c r="AW37" s="24"/>
      <c r="AX37" s="24"/>
      <c r="BA37" s="64"/>
    </row>
    <row r="38" spans="2:53" s="25" customFormat="1" ht="15" customHeight="1" thickTop="1" x14ac:dyDescent="0.2">
      <c r="B38" s="34"/>
      <c r="G38" s="55"/>
      <c r="H38" s="35"/>
      <c r="M38" s="35"/>
      <c r="N38" s="35"/>
      <c r="O38" s="36"/>
      <c r="Q38" s="24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201"/>
      <c r="AD38" s="201"/>
      <c r="AE38" s="24"/>
      <c r="AF38" s="24"/>
      <c r="AG38" s="24"/>
      <c r="AH38" s="24"/>
      <c r="AI38" s="24"/>
      <c r="AJ38" s="24"/>
      <c r="AK38" s="61"/>
      <c r="AL38" s="24"/>
      <c r="AM38" s="24"/>
      <c r="AN38" s="24"/>
      <c r="AO38" s="60"/>
      <c r="AP38" s="24"/>
      <c r="AQ38" s="24"/>
      <c r="AR38" s="24"/>
      <c r="AS38" s="60"/>
      <c r="AT38" s="24"/>
      <c r="AU38" s="24"/>
      <c r="AV38" s="24"/>
      <c r="AW38" s="24"/>
      <c r="AX38" s="24"/>
      <c r="BA38" s="64"/>
    </row>
    <row r="39" spans="2:53" s="25" customFormat="1" ht="15" customHeight="1" x14ac:dyDescent="0.2">
      <c r="B39" s="37"/>
      <c r="C39" s="66" t="s">
        <v>224</v>
      </c>
      <c r="D39" s="67"/>
      <c r="E39" s="67"/>
      <c r="F39" s="67"/>
      <c r="G39" s="51">
        <v>220</v>
      </c>
      <c r="H39" s="67" t="s">
        <v>65</v>
      </c>
      <c r="I39" s="67"/>
      <c r="J39" s="67"/>
      <c r="K39" s="67"/>
      <c r="L39" s="68"/>
      <c r="N39" s="35"/>
      <c r="O39" s="36"/>
      <c r="Q39" s="24"/>
      <c r="R39" s="24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201"/>
      <c r="AD39" s="201"/>
      <c r="AE39" s="24"/>
      <c r="AF39" s="24"/>
      <c r="AG39" s="24"/>
      <c r="AH39" s="24"/>
      <c r="AI39" s="24"/>
      <c r="AJ39" s="24"/>
      <c r="AK39" s="61"/>
      <c r="AL39" s="24"/>
      <c r="AM39" s="24"/>
      <c r="AN39" s="24"/>
      <c r="AO39" s="60"/>
      <c r="AP39" s="24"/>
      <c r="AQ39" s="24"/>
      <c r="AR39" s="24"/>
      <c r="AS39" s="60"/>
      <c r="AT39" s="24"/>
      <c r="AU39" s="24"/>
      <c r="AV39" s="24"/>
      <c r="AW39" s="24"/>
      <c r="AX39" s="24"/>
      <c r="BA39" s="64"/>
    </row>
    <row r="40" spans="2:53" s="25" customFormat="1" ht="15" customHeight="1" x14ac:dyDescent="0.2">
      <c r="B40" s="37"/>
      <c r="C40" s="66" t="s">
        <v>211</v>
      </c>
      <c r="D40" s="67"/>
      <c r="E40" s="67"/>
      <c r="F40" s="168"/>
      <c r="G40" s="297">
        <v>2</v>
      </c>
      <c r="H40" s="67" t="s">
        <v>202</v>
      </c>
      <c r="I40" s="67"/>
      <c r="J40" s="67"/>
      <c r="K40" s="297">
        <v>2</v>
      </c>
      <c r="L40" s="68" t="s">
        <v>203</v>
      </c>
      <c r="N40" s="35"/>
      <c r="O40" s="36"/>
      <c r="Q40" s="24"/>
      <c r="R40" s="24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201"/>
      <c r="AD40" s="201"/>
      <c r="AE40" s="24"/>
      <c r="AF40" s="24"/>
      <c r="AG40" s="24"/>
      <c r="AH40" s="24"/>
      <c r="AI40" s="24"/>
      <c r="AJ40" s="24"/>
      <c r="AK40" s="61"/>
      <c r="AL40" s="24"/>
      <c r="AM40" s="24"/>
      <c r="AN40" s="24"/>
      <c r="AO40" s="60"/>
      <c r="AP40" s="24"/>
      <c r="AQ40" s="24"/>
      <c r="AR40" s="24"/>
      <c r="AS40" s="60"/>
      <c r="AT40" s="24"/>
      <c r="AU40" s="24"/>
      <c r="AV40" s="24"/>
      <c r="AW40" s="24"/>
      <c r="AX40" s="24"/>
      <c r="BA40" s="64"/>
    </row>
    <row r="41" spans="2:53" s="25" customFormat="1" ht="15" customHeight="1" x14ac:dyDescent="0.2">
      <c r="B41" s="37"/>
      <c r="C41" s="66" t="s">
        <v>223</v>
      </c>
      <c r="D41" s="67"/>
      <c r="E41" s="67"/>
      <c r="F41" s="168"/>
      <c r="G41" s="243">
        <f>SQRT((G40)^2+(K40)^2)</f>
        <v>2.8284271247461903</v>
      </c>
      <c r="H41" s="67"/>
      <c r="I41" s="67"/>
      <c r="J41" s="67"/>
      <c r="K41" s="229">
        <f>ATAN($G$41/$G$13)*180/PI()</f>
        <v>0.32411041666828128</v>
      </c>
      <c r="L41" s="68" t="s">
        <v>29</v>
      </c>
      <c r="M41" s="238">
        <f>IF($K$41&gt;$AA$18,4,IF(AND($K$41&lt;=$AA$18,$K$41&gt;$Y$18),3,IF(AND($K$41&lt;=$Y$18,$K$41&gt;$W$18),2,IF(AND($K$41&lt;=$W$18,$K$41&gt;$U$18),1,0))))</f>
        <v>0</v>
      </c>
      <c r="N41" s="35"/>
      <c r="O41" s="36"/>
      <c r="Q41" s="24"/>
      <c r="R41" s="24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201"/>
      <c r="AD41" s="201"/>
      <c r="AE41" s="24"/>
      <c r="AF41" s="24"/>
      <c r="AG41" s="24"/>
      <c r="AH41" s="24"/>
      <c r="AI41" s="24"/>
      <c r="AJ41" s="24"/>
      <c r="AK41" s="61"/>
      <c r="AL41" s="24"/>
      <c r="AM41" s="24"/>
      <c r="AN41" s="24"/>
      <c r="AO41" s="60"/>
      <c r="AP41" s="24"/>
      <c r="AQ41" s="24"/>
      <c r="AR41" s="24"/>
      <c r="AS41" s="60"/>
      <c r="AT41" s="24"/>
      <c r="AU41" s="24"/>
      <c r="AV41" s="24"/>
      <c r="AW41" s="24"/>
      <c r="AX41" s="24"/>
      <c r="BA41" s="64"/>
    </row>
    <row r="42" spans="2:53" s="25" customFormat="1" ht="15" customHeight="1" x14ac:dyDescent="0.2">
      <c r="B42" s="34"/>
      <c r="C42" s="71" t="s">
        <v>222</v>
      </c>
      <c r="D42" s="67"/>
      <c r="E42" s="67"/>
      <c r="F42" s="67"/>
      <c r="G42" s="365">
        <v>41975</v>
      </c>
      <c r="H42" s="366"/>
      <c r="I42" s="367"/>
      <c r="J42" s="378">
        <v>0.54166666666666663</v>
      </c>
      <c r="K42" s="378"/>
      <c r="L42" s="378"/>
      <c r="M42" s="35"/>
      <c r="N42" s="35"/>
      <c r="O42" s="36"/>
      <c r="Q42" s="24"/>
      <c r="R42" s="24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201"/>
      <c r="AD42" s="201"/>
      <c r="AE42" s="24"/>
      <c r="AF42" s="24"/>
      <c r="AG42" s="24"/>
      <c r="AH42" s="24"/>
      <c r="AI42" s="24"/>
      <c r="AJ42" s="24"/>
      <c r="AK42" s="61"/>
      <c r="AL42" s="24"/>
      <c r="AM42" s="24"/>
      <c r="AN42" s="24"/>
      <c r="AO42" s="60"/>
      <c r="AP42" s="24"/>
      <c r="AQ42" s="24"/>
      <c r="AR42" s="24"/>
      <c r="AS42" s="60"/>
      <c r="AT42" s="24"/>
      <c r="AU42" s="24"/>
      <c r="AV42" s="24"/>
      <c r="AW42" s="24"/>
      <c r="AX42" s="24"/>
      <c r="BA42" s="64"/>
    </row>
    <row r="43" spans="2:53" s="25" customFormat="1" ht="15" customHeight="1" x14ac:dyDescent="0.2">
      <c r="B43" s="34"/>
      <c r="C43" s="57"/>
      <c r="D43" s="35"/>
      <c r="E43" s="35"/>
      <c r="F43" s="35"/>
      <c r="H43" s="35"/>
      <c r="I43" s="35"/>
      <c r="J43" s="38"/>
      <c r="L43" s="35"/>
      <c r="M43" s="35"/>
      <c r="N43" s="35"/>
      <c r="O43" s="36"/>
      <c r="Q43" s="24"/>
      <c r="R43" s="24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201"/>
      <c r="AD43" s="201"/>
      <c r="AE43" s="24"/>
      <c r="AF43" s="24"/>
      <c r="AG43" s="24"/>
      <c r="AH43" s="24"/>
      <c r="AI43" s="24"/>
      <c r="AJ43" s="24"/>
      <c r="AK43" s="61"/>
      <c r="AL43" s="24"/>
      <c r="AM43" s="24"/>
      <c r="AN43" s="24"/>
      <c r="AO43" s="60"/>
      <c r="AP43" s="24"/>
      <c r="AQ43" s="24"/>
      <c r="AR43" s="24"/>
      <c r="AS43" s="60"/>
      <c r="AT43" s="24"/>
      <c r="AU43" s="24"/>
      <c r="AV43" s="24"/>
      <c r="AW43" s="24"/>
      <c r="AX43" s="24"/>
      <c r="BA43" s="64"/>
    </row>
    <row r="44" spans="2:53" s="25" customFormat="1" ht="15" customHeight="1" thickBot="1" x14ac:dyDescent="0.25">
      <c r="B44" s="34"/>
      <c r="C44" s="329" t="s">
        <v>66</v>
      </c>
      <c r="D44" s="286"/>
      <c r="E44" s="286"/>
      <c r="F44" s="286"/>
      <c r="G44" s="305">
        <v>20</v>
      </c>
      <c r="H44" s="286" t="s">
        <v>194</v>
      </c>
      <c r="I44" s="330"/>
      <c r="J44" s="288" t="s">
        <v>112</v>
      </c>
      <c r="K44" s="306">
        <v>270</v>
      </c>
      <c r="L44" s="290" t="s">
        <v>65</v>
      </c>
      <c r="M44" s="35"/>
      <c r="N44" s="35"/>
      <c r="O44" s="36"/>
      <c r="AA44" s="61"/>
      <c r="AB44" s="61"/>
      <c r="AC44" s="201"/>
      <c r="AD44" s="201"/>
      <c r="AE44" s="24"/>
      <c r="AF44" s="24"/>
      <c r="AG44" s="24"/>
      <c r="AH44" s="24"/>
      <c r="AI44" s="24"/>
      <c r="AJ44" s="24"/>
      <c r="AK44" s="61"/>
      <c r="AL44" s="24"/>
      <c r="AM44" s="24"/>
      <c r="AN44" s="24"/>
      <c r="AO44" s="60"/>
      <c r="AP44" s="24"/>
      <c r="AQ44" s="24"/>
      <c r="AR44" s="24"/>
      <c r="AS44" s="60"/>
      <c r="AT44" s="24"/>
      <c r="AU44" s="24"/>
      <c r="AV44" s="24"/>
      <c r="AW44" s="24"/>
      <c r="AX44" s="24"/>
      <c r="BA44" s="64"/>
    </row>
    <row r="45" spans="2:53" s="25" customFormat="1" ht="15" customHeight="1" thickTop="1" x14ac:dyDescent="0.2">
      <c r="B45" s="34"/>
      <c r="C45" s="321" t="s">
        <v>210</v>
      </c>
      <c r="D45" s="67"/>
      <c r="E45" s="67"/>
      <c r="F45" s="323" t="s">
        <v>206</v>
      </c>
      <c r="G45" s="56">
        <v>14.9</v>
      </c>
      <c r="H45" s="67" t="s">
        <v>86</v>
      </c>
      <c r="I45" s="308"/>
      <c r="J45" s="183" t="s">
        <v>112</v>
      </c>
      <c r="K45" s="322">
        <v>239</v>
      </c>
      <c r="L45" s="68" t="s">
        <v>65</v>
      </c>
      <c r="M45" s="35"/>
      <c r="N45" s="35"/>
      <c r="O45" s="36"/>
      <c r="Q45" s="24"/>
      <c r="R45" s="24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201"/>
      <c r="AD45" s="201"/>
      <c r="AE45" s="24"/>
      <c r="AF45" s="24"/>
      <c r="AG45" s="24"/>
      <c r="AH45" s="24"/>
      <c r="AI45" s="24"/>
      <c r="AJ45" s="24"/>
      <c r="AK45" s="61"/>
      <c r="AL45" s="24"/>
      <c r="AM45" s="24"/>
      <c r="AN45" s="24"/>
      <c r="AO45" s="60"/>
      <c r="AP45" s="24"/>
      <c r="AQ45" s="24"/>
      <c r="AR45" s="24"/>
      <c r="AS45" s="60"/>
      <c r="AT45" s="24"/>
      <c r="AU45" s="24"/>
      <c r="AV45" s="24"/>
      <c r="AW45" s="24"/>
      <c r="AX45" s="24"/>
      <c r="BA45" s="64"/>
    </row>
    <row r="46" spans="2:53" s="25" customFormat="1" ht="15" customHeight="1" thickBot="1" x14ac:dyDescent="0.25">
      <c r="B46" s="34"/>
      <c r="C46" s="307" t="str">
        <f>IF(F45="N","Current ","Estimated Current")</f>
        <v xml:space="preserve">Current </v>
      </c>
      <c r="D46" s="67"/>
      <c r="E46" s="67"/>
      <c r="F46" s="67"/>
      <c r="G46" s="56">
        <v>2</v>
      </c>
      <c r="H46" s="67" t="s">
        <v>194</v>
      </c>
      <c r="I46" s="308"/>
      <c r="J46" s="183" t="s">
        <v>112</v>
      </c>
      <c r="K46" s="322">
        <v>200</v>
      </c>
      <c r="L46" s="68" t="s">
        <v>65</v>
      </c>
      <c r="M46" s="35"/>
      <c r="O46" s="36"/>
      <c r="Q46" s="24"/>
      <c r="R46" s="24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201"/>
      <c r="AD46" s="201"/>
      <c r="AE46" s="24"/>
      <c r="AF46" s="24"/>
      <c r="AG46" s="24"/>
      <c r="AH46" s="24"/>
      <c r="AI46" s="24"/>
      <c r="AJ46" s="24"/>
      <c r="AK46" s="61"/>
      <c r="AL46" s="24"/>
      <c r="AM46" s="24"/>
      <c r="AN46" s="24"/>
      <c r="AO46" s="60"/>
      <c r="AP46" s="24"/>
      <c r="AQ46" s="24"/>
      <c r="AR46" s="24"/>
      <c r="AS46" s="60"/>
      <c r="AT46" s="24"/>
      <c r="AU46" s="24"/>
      <c r="AV46" s="24"/>
      <c r="AW46" s="24"/>
      <c r="AX46" s="24"/>
      <c r="BA46" s="64"/>
    </row>
    <row r="47" spans="2:53" s="25" customFormat="1" ht="15" customHeight="1" thickTop="1" x14ac:dyDescent="0.2">
      <c r="B47" s="34"/>
      <c r="C47" s="279" t="s">
        <v>216</v>
      </c>
      <c r="D47" s="280"/>
      <c r="E47" s="280"/>
      <c r="F47" s="282" t="s">
        <v>217</v>
      </c>
      <c r="G47" s="291">
        <v>2</v>
      </c>
      <c r="H47" s="280" t="s">
        <v>67</v>
      </c>
      <c r="I47" s="281">
        <f>G47*3.281</f>
        <v>6.5620000000000003</v>
      </c>
      <c r="J47" s="282" t="s">
        <v>112</v>
      </c>
      <c r="K47" s="283">
        <v>280</v>
      </c>
      <c r="L47" s="284" t="s">
        <v>65</v>
      </c>
      <c r="M47" s="390" t="s">
        <v>215</v>
      </c>
      <c r="O47" s="36"/>
      <c r="Q47" s="24"/>
      <c r="R47" s="24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201"/>
      <c r="AD47" s="201"/>
      <c r="AE47" s="24"/>
      <c r="AF47" s="24"/>
      <c r="AG47" s="24"/>
      <c r="AH47" s="24"/>
      <c r="AI47" s="24"/>
      <c r="AJ47" s="24"/>
      <c r="AK47" s="61"/>
      <c r="AL47" s="24"/>
      <c r="AM47" s="24"/>
      <c r="AN47" s="24"/>
      <c r="AO47" s="60"/>
      <c r="AP47" s="24"/>
      <c r="AQ47" s="24"/>
      <c r="AR47" s="24"/>
      <c r="AS47" s="60"/>
      <c r="AT47" s="24"/>
      <c r="AU47" s="24"/>
      <c r="AV47" s="24"/>
      <c r="AW47" s="24"/>
      <c r="AX47" s="24"/>
      <c r="BA47" s="64"/>
    </row>
    <row r="48" spans="2:53" s="25" customFormat="1" ht="15" customHeight="1" x14ac:dyDescent="0.2">
      <c r="B48" s="34"/>
      <c r="C48" s="181"/>
      <c r="D48" s="67"/>
      <c r="E48" s="67"/>
      <c r="F48" s="183" t="s">
        <v>218</v>
      </c>
      <c r="G48" s="56">
        <v>8</v>
      </c>
      <c r="H48" s="67" t="s">
        <v>64</v>
      </c>
      <c r="I48" s="182"/>
      <c r="J48" s="180"/>
      <c r="K48" s="184"/>
      <c r="L48" s="68"/>
      <c r="M48" s="390"/>
      <c r="O48" s="36"/>
      <c r="Q48" s="24"/>
      <c r="R48" s="24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201"/>
      <c r="AD48" s="201"/>
      <c r="AE48" s="24"/>
      <c r="AF48" s="24"/>
      <c r="AG48" s="24"/>
      <c r="AH48" s="24"/>
      <c r="AI48" s="24"/>
      <c r="AJ48" s="24"/>
      <c r="AK48" s="61"/>
      <c r="AL48" s="24"/>
      <c r="AM48" s="24"/>
      <c r="AN48" s="24"/>
      <c r="AO48" s="60"/>
      <c r="AP48" s="24"/>
      <c r="AQ48" s="24"/>
      <c r="AR48" s="24"/>
      <c r="AS48" s="60"/>
      <c r="AT48" s="24"/>
      <c r="AU48" s="24"/>
      <c r="AV48" s="24"/>
      <c r="AW48" s="24"/>
      <c r="AX48" s="24"/>
      <c r="BA48" s="64"/>
    </row>
    <row r="49" spans="2:54" s="25" customFormat="1" ht="15" customHeight="1" thickBot="1" x14ac:dyDescent="0.25">
      <c r="B49" s="34"/>
      <c r="C49" s="285"/>
      <c r="D49" s="286"/>
      <c r="E49" s="286"/>
      <c r="F49" s="288" t="s">
        <v>219</v>
      </c>
      <c r="G49" s="287" t="s">
        <v>81</v>
      </c>
      <c r="H49" s="286"/>
      <c r="I49" s="286"/>
      <c r="J49" s="288" t="s">
        <v>68</v>
      </c>
      <c r="K49" s="289">
        <v>1</v>
      </c>
      <c r="L49" s="290"/>
      <c r="M49" s="390"/>
      <c r="O49" s="36"/>
      <c r="Q49" s="24"/>
      <c r="R49" s="24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201"/>
      <c r="AD49" s="201"/>
      <c r="AE49" s="24"/>
      <c r="AF49" s="24"/>
      <c r="AG49" s="24"/>
      <c r="AH49" s="24"/>
      <c r="AI49" s="24"/>
      <c r="AJ49" s="24"/>
      <c r="AK49" s="61"/>
      <c r="AL49" s="24"/>
      <c r="AM49" s="24"/>
      <c r="AN49" s="24"/>
      <c r="AO49" s="60"/>
      <c r="AP49" s="24"/>
      <c r="AQ49" s="24"/>
      <c r="AR49" s="24"/>
      <c r="AS49" s="60"/>
      <c r="AT49" s="24"/>
      <c r="AU49" s="24"/>
      <c r="AV49" s="24"/>
      <c r="AW49" s="24"/>
      <c r="AX49" s="24"/>
      <c r="BA49" s="64"/>
    </row>
    <row r="50" spans="2:54" s="25" customFormat="1" ht="15" customHeight="1" thickTop="1" x14ac:dyDescent="0.2">
      <c r="B50" s="34"/>
      <c r="C50" s="279" t="s">
        <v>191</v>
      </c>
      <c r="D50" s="280"/>
      <c r="E50" s="280"/>
      <c r="F50" s="282" t="s">
        <v>220</v>
      </c>
      <c r="G50" s="291">
        <v>1.5</v>
      </c>
      <c r="H50" s="280" t="s">
        <v>67</v>
      </c>
      <c r="I50" s="281">
        <f>G50*3.281</f>
        <v>4.9215</v>
      </c>
      <c r="J50" s="282" t="s">
        <v>112</v>
      </c>
      <c r="K50" s="283">
        <v>210</v>
      </c>
      <c r="L50" s="284" t="s">
        <v>65</v>
      </c>
      <c r="M50" s="390"/>
      <c r="O50" s="36"/>
      <c r="Q50" s="24"/>
      <c r="R50" s="24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201"/>
      <c r="AD50" s="201"/>
      <c r="AE50" s="24"/>
      <c r="AF50" s="24"/>
      <c r="AG50" s="24"/>
      <c r="AH50" s="24"/>
      <c r="AI50" s="24"/>
      <c r="AJ50" s="24"/>
      <c r="AK50" s="61"/>
      <c r="AL50" s="24"/>
      <c r="AM50" s="24"/>
      <c r="AN50" s="24"/>
      <c r="AO50" s="60"/>
      <c r="AP50" s="24"/>
      <c r="AQ50" s="24"/>
      <c r="AR50" s="24"/>
      <c r="AS50" s="60"/>
      <c r="AT50" s="24"/>
      <c r="AU50" s="24"/>
      <c r="AV50" s="24"/>
      <c r="AW50" s="24"/>
      <c r="AX50" s="24"/>
      <c r="BA50" s="64"/>
    </row>
    <row r="51" spans="2:54" s="25" customFormat="1" ht="15" customHeight="1" x14ac:dyDescent="0.2">
      <c r="B51" s="34"/>
      <c r="C51" s="181"/>
      <c r="D51" s="67"/>
      <c r="E51" s="67"/>
      <c r="F51" s="183" t="s">
        <v>221</v>
      </c>
      <c r="G51" s="56">
        <v>15</v>
      </c>
      <c r="H51" s="67" t="s">
        <v>64</v>
      </c>
      <c r="I51" s="182"/>
      <c r="J51" s="67"/>
      <c r="K51" s="184"/>
      <c r="L51" s="68"/>
      <c r="M51" s="390"/>
      <c r="O51" s="36"/>
      <c r="Q51" s="24"/>
      <c r="R51" s="24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201"/>
      <c r="AD51" s="201"/>
      <c r="AE51" s="24"/>
      <c r="AF51" s="24"/>
      <c r="AG51" s="24"/>
      <c r="AH51" s="24"/>
      <c r="AI51" s="24"/>
      <c r="AJ51" s="24"/>
      <c r="AK51" s="61"/>
      <c r="AL51" s="24"/>
      <c r="AM51" s="24"/>
      <c r="AN51" s="24"/>
      <c r="AO51" s="60"/>
      <c r="AP51" s="24"/>
      <c r="AQ51" s="24"/>
      <c r="AR51" s="24"/>
      <c r="AS51" s="60"/>
      <c r="AT51" s="24"/>
      <c r="AU51" s="24"/>
      <c r="AV51" s="24"/>
      <c r="AW51" s="24"/>
      <c r="AX51" s="24"/>
      <c r="BA51" s="64"/>
    </row>
    <row r="52" spans="2:54" s="25" customFormat="1" ht="15" customHeight="1" thickBot="1" x14ac:dyDescent="0.25">
      <c r="B52" s="34"/>
      <c r="C52" s="285"/>
      <c r="D52" s="286"/>
      <c r="E52" s="286"/>
      <c r="F52" s="288" t="s">
        <v>219</v>
      </c>
      <c r="G52" s="287" t="s">
        <v>81</v>
      </c>
      <c r="H52" s="286"/>
      <c r="I52" s="286"/>
      <c r="J52" s="288" t="s">
        <v>68</v>
      </c>
      <c r="K52" s="289">
        <v>7</v>
      </c>
      <c r="L52" s="290"/>
      <c r="M52" s="390"/>
      <c r="O52" s="36"/>
      <c r="Q52" s="24"/>
      <c r="R52" s="24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201"/>
      <c r="AD52" s="201"/>
      <c r="AE52" s="24"/>
      <c r="AF52" s="24"/>
      <c r="AG52" s="24"/>
      <c r="AH52" s="24"/>
      <c r="AI52" s="24"/>
      <c r="AJ52" s="24"/>
      <c r="AK52" s="61"/>
      <c r="AL52" s="24"/>
      <c r="AM52" s="24"/>
      <c r="AN52" s="24"/>
      <c r="AO52" s="60"/>
      <c r="AP52" s="24"/>
      <c r="AQ52" s="24"/>
      <c r="AR52" s="24"/>
      <c r="AS52" s="60"/>
      <c r="AT52" s="24"/>
      <c r="AU52" s="24"/>
      <c r="AV52" s="24"/>
      <c r="AW52" s="24"/>
      <c r="AX52" s="24"/>
      <c r="BA52" s="64"/>
    </row>
    <row r="53" spans="2:54" s="25" customFormat="1" ht="15" customHeight="1" thickTop="1" x14ac:dyDescent="0.2">
      <c r="B53" s="34"/>
      <c r="C53" s="279" t="s">
        <v>192</v>
      </c>
      <c r="D53" s="280"/>
      <c r="E53" s="280"/>
      <c r="F53" s="282" t="s">
        <v>220</v>
      </c>
      <c r="G53" s="291">
        <v>1</v>
      </c>
      <c r="H53" s="280" t="s">
        <v>67</v>
      </c>
      <c r="I53" s="281">
        <f>G53*3.281</f>
        <v>3.2810000000000001</v>
      </c>
      <c r="J53" s="282" t="s">
        <v>112</v>
      </c>
      <c r="K53" s="283">
        <v>230</v>
      </c>
      <c r="L53" s="284" t="s">
        <v>65</v>
      </c>
      <c r="M53" s="390"/>
      <c r="O53" s="36"/>
      <c r="Q53" s="24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201"/>
      <c r="AD53" s="201"/>
      <c r="AE53" s="24"/>
      <c r="AF53" s="24"/>
      <c r="AG53" s="24"/>
      <c r="AH53" s="24"/>
      <c r="AI53" s="24"/>
      <c r="AJ53" s="24"/>
      <c r="AK53" s="61"/>
      <c r="AL53" s="24"/>
      <c r="AM53" s="24"/>
      <c r="AN53" s="24"/>
      <c r="AO53" s="60"/>
      <c r="AP53" s="24"/>
      <c r="AQ53" s="24"/>
      <c r="AR53" s="24"/>
      <c r="AS53" s="60"/>
      <c r="AT53" s="24"/>
      <c r="AU53" s="24"/>
      <c r="AV53" s="24"/>
      <c r="AW53" s="24"/>
      <c r="AX53" s="24"/>
      <c r="BA53" s="64"/>
    </row>
    <row r="54" spans="2:54" s="25" customFormat="1" ht="15" customHeight="1" x14ac:dyDescent="0.2">
      <c r="B54" s="34"/>
      <c r="C54" s="181"/>
      <c r="D54" s="67"/>
      <c r="E54" s="67"/>
      <c r="F54" s="183" t="s">
        <v>221</v>
      </c>
      <c r="G54" s="56">
        <v>16</v>
      </c>
      <c r="H54" s="67" t="s">
        <v>64</v>
      </c>
      <c r="I54" s="182"/>
      <c r="J54" s="67"/>
      <c r="K54" s="184"/>
      <c r="L54" s="68"/>
      <c r="M54" s="390"/>
      <c r="O54" s="36"/>
      <c r="Q54" s="24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201"/>
      <c r="AD54" s="201"/>
      <c r="AE54" s="24"/>
      <c r="AF54" s="24"/>
      <c r="AG54" s="24"/>
      <c r="AH54" s="24"/>
      <c r="AI54" s="24"/>
      <c r="AJ54" s="24"/>
      <c r="AK54" s="61"/>
      <c r="AL54" s="24"/>
      <c r="AM54" s="24"/>
      <c r="AN54" s="24"/>
      <c r="AO54" s="60"/>
      <c r="AP54" s="24"/>
      <c r="AQ54" s="24"/>
      <c r="AR54" s="24"/>
      <c r="AS54" s="60"/>
      <c r="AT54" s="24"/>
      <c r="AU54" s="24"/>
      <c r="AV54" s="24"/>
      <c r="AW54" s="24"/>
      <c r="AX54" s="24"/>
      <c r="BA54" s="64"/>
    </row>
    <row r="55" spans="2:54" s="25" customFormat="1" ht="15" customHeight="1" thickBot="1" x14ac:dyDescent="0.25">
      <c r="B55" s="34"/>
      <c r="C55" s="285"/>
      <c r="D55" s="286"/>
      <c r="E55" s="286"/>
      <c r="F55" s="288" t="s">
        <v>219</v>
      </c>
      <c r="G55" s="287" t="s">
        <v>81</v>
      </c>
      <c r="H55" s="286"/>
      <c r="I55" s="286"/>
      <c r="J55" s="288" t="s">
        <v>68</v>
      </c>
      <c r="K55" s="289">
        <v>7</v>
      </c>
      <c r="L55" s="290"/>
      <c r="M55" s="390"/>
      <c r="O55" s="36"/>
      <c r="Q55" s="24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201"/>
      <c r="AD55" s="201"/>
      <c r="AE55" s="24"/>
      <c r="AF55" s="24"/>
      <c r="AG55" s="24"/>
      <c r="AH55" s="24"/>
      <c r="AI55" s="24"/>
      <c r="AJ55" s="24"/>
      <c r="AK55" s="61"/>
      <c r="AL55" s="24"/>
      <c r="AM55" s="24"/>
      <c r="AN55" s="24"/>
      <c r="AO55" s="60"/>
      <c r="AP55" s="24"/>
      <c r="AQ55" s="24"/>
      <c r="AR55" s="24"/>
      <c r="AS55" s="60"/>
      <c r="AT55" s="24"/>
      <c r="AU55" s="24"/>
      <c r="AV55" s="24"/>
      <c r="AW55" s="24"/>
      <c r="AX55" s="24"/>
      <c r="BA55" s="64"/>
    </row>
    <row r="56" spans="2:54" s="25" customFormat="1" ht="15" customHeight="1" thickTop="1" x14ac:dyDescent="0.2">
      <c r="B56" s="34"/>
      <c r="C56" s="279" t="s">
        <v>193</v>
      </c>
      <c r="D56" s="280"/>
      <c r="E56" s="280"/>
      <c r="F56" s="282" t="s">
        <v>220</v>
      </c>
      <c r="G56" s="291">
        <v>0</v>
      </c>
      <c r="H56" s="280" t="s">
        <v>67</v>
      </c>
      <c r="I56" s="281">
        <f>G56*3.281</f>
        <v>0</v>
      </c>
      <c r="J56" s="282" t="s">
        <v>112</v>
      </c>
      <c r="K56" s="283">
        <v>120</v>
      </c>
      <c r="L56" s="284" t="s">
        <v>65</v>
      </c>
      <c r="M56" s="390"/>
      <c r="O56" s="36"/>
      <c r="Q56" s="24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201"/>
      <c r="AD56" s="201"/>
      <c r="AE56" s="24"/>
      <c r="AF56" s="24"/>
      <c r="AG56" s="24"/>
      <c r="AH56" s="24"/>
      <c r="AI56" s="24"/>
      <c r="AJ56" s="24"/>
      <c r="AK56" s="61"/>
      <c r="AL56" s="24"/>
      <c r="AM56" s="24"/>
      <c r="AN56" s="24"/>
      <c r="AO56" s="60"/>
      <c r="AP56" s="24"/>
      <c r="AQ56" s="24"/>
      <c r="AR56" s="24"/>
      <c r="AS56" s="60"/>
      <c r="AT56" s="24"/>
      <c r="AU56" s="24"/>
      <c r="AV56" s="24"/>
      <c r="AW56" s="24"/>
      <c r="AX56" s="24"/>
      <c r="BA56" s="64"/>
    </row>
    <row r="57" spans="2:54" s="25" customFormat="1" ht="15" customHeight="1" x14ac:dyDescent="0.2">
      <c r="B57" s="34"/>
      <c r="C57" s="181"/>
      <c r="D57" s="67"/>
      <c r="E57" s="67"/>
      <c r="F57" s="183" t="s">
        <v>221</v>
      </c>
      <c r="G57" s="56">
        <v>15</v>
      </c>
      <c r="H57" s="67" t="s">
        <v>64</v>
      </c>
      <c r="I57" s="182"/>
      <c r="J57" s="67"/>
      <c r="K57" s="184"/>
      <c r="L57" s="68"/>
      <c r="M57" s="390"/>
      <c r="O57" s="36"/>
      <c r="AC57" s="201"/>
      <c r="AD57" s="201"/>
      <c r="AE57" s="24"/>
      <c r="AF57" s="24"/>
      <c r="AG57" s="24"/>
      <c r="AH57" s="24"/>
      <c r="AI57" s="24"/>
      <c r="AJ57" s="24"/>
      <c r="AK57" s="61"/>
      <c r="AL57" s="24"/>
      <c r="AM57" s="24"/>
      <c r="AN57" s="24"/>
      <c r="AO57" s="60"/>
      <c r="AP57" s="24"/>
      <c r="AQ57" s="24"/>
      <c r="AR57" s="24"/>
      <c r="AS57" s="60"/>
      <c r="AT57" s="24"/>
      <c r="AU57" s="24"/>
      <c r="AV57" s="24"/>
      <c r="AW57" s="24"/>
      <c r="AX57" s="24"/>
      <c r="BA57" s="64"/>
    </row>
    <row r="58" spans="2:54" s="25" customFormat="1" ht="15" customHeight="1" thickBot="1" x14ac:dyDescent="0.25">
      <c r="B58" s="34"/>
      <c r="C58" s="285"/>
      <c r="D58" s="286"/>
      <c r="E58" s="286"/>
      <c r="F58" s="288" t="s">
        <v>219</v>
      </c>
      <c r="G58" s="287" t="s">
        <v>81</v>
      </c>
      <c r="H58" s="286"/>
      <c r="I58" s="286"/>
      <c r="J58" s="288" t="s">
        <v>68</v>
      </c>
      <c r="K58" s="289">
        <v>7</v>
      </c>
      <c r="L58" s="290"/>
      <c r="M58" s="390"/>
      <c r="O58" s="36"/>
      <c r="AC58" s="201"/>
      <c r="AD58" s="201"/>
      <c r="AE58" s="24"/>
      <c r="AF58" s="24"/>
      <c r="AG58" s="24"/>
      <c r="AH58" s="24"/>
      <c r="AI58" s="24"/>
      <c r="AJ58" s="24"/>
      <c r="AK58" s="61"/>
      <c r="AL58" s="24"/>
      <c r="AM58" s="24"/>
      <c r="AN58" s="24"/>
      <c r="AO58" s="60"/>
      <c r="AP58" s="24"/>
      <c r="AQ58" s="24"/>
      <c r="AR58" s="24"/>
      <c r="AS58" s="60"/>
      <c r="AT58" s="24"/>
      <c r="AU58" s="24"/>
      <c r="AV58" s="24"/>
      <c r="AW58" s="24"/>
      <c r="AX58" s="24"/>
      <c r="BA58" s="64"/>
    </row>
    <row r="59" spans="2:54" s="25" customFormat="1" ht="15" customHeight="1" thickTop="1" x14ac:dyDescent="0.2">
      <c r="B59" s="34"/>
      <c r="C59" s="307" t="s">
        <v>108</v>
      </c>
      <c r="D59" s="67"/>
      <c r="E59" s="67"/>
      <c r="F59" s="68"/>
      <c r="G59" s="73">
        <v>1.8872324013094961</v>
      </c>
      <c r="H59" s="67" t="s">
        <v>199</v>
      </c>
      <c r="I59" s="73">
        <v>1.2208439444095518</v>
      </c>
      <c r="J59" s="67" t="s">
        <v>109</v>
      </c>
      <c r="K59" s="73">
        <v>2.2180105215988313</v>
      </c>
      <c r="L59" s="68" t="s">
        <v>110</v>
      </c>
      <c r="M59" s="35"/>
      <c r="N59" s="35"/>
      <c r="O59" s="36"/>
      <c r="AC59" s="201"/>
      <c r="AD59" s="201"/>
      <c r="AE59" s="24"/>
      <c r="AF59" s="24"/>
      <c r="AG59" s="24"/>
      <c r="AH59" s="24"/>
      <c r="AI59" s="24"/>
      <c r="AJ59" s="24"/>
      <c r="AK59" s="61"/>
      <c r="AL59" s="24"/>
      <c r="AM59" s="24"/>
      <c r="AN59" s="24"/>
      <c r="AO59" s="60"/>
      <c r="AP59" s="24"/>
      <c r="AQ59" s="24"/>
      <c r="AR59" s="24"/>
      <c r="AS59" s="60"/>
      <c r="AT59" s="24"/>
      <c r="AU59" s="24"/>
      <c r="AV59" s="24"/>
      <c r="AW59" s="24"/>
      <c r="AX59" s="24"/>
      <c r="BA59" s="64"/>
    </row>
    <row r="60" spans="2:54" s="25" customFormat="1" ht="15" customHeight="1" x14ac:dyDescent="0.2">
      <c r="B60" s="34"/>
      <c r="C60" s="307" t="s">
        <v>214</v>
      </c>
      <c r="D60" s="67"/>
      <c r="E60" s="67"/>
      <c r="F60" s="67"/>
      <c r="G60" s="73">
        <v>30.38754264555406</v>
      </c>
      <c r="H60" s="67" t="s">
        <v>86</v>
      </c>
      <c r="I60" s="308"/>
      <c r="J60" s="183" t="s">
        <v>112</v>
      </c>
      <c r="K60" s="331">
        <v>267</v>
      </c>
      <c r="L60" s="68" t="s">
        <v>65</v>
      </c>
      <c r="M60" s="35"/>
      <c r="N60" s="35"/>
      <c r="O60" s="36"/>
      <c r="Q60" s="24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201"/>
      <c r="AD60" s="201"/>
      <c r="AE60" s="24"/>
      <c r="AF60" s="24"/>
      <c r="AG60" s="24"/>
      <c r="AH60" s="24"/>
      <c r="AI60" s="24"/>
      <c r="AJ60" s="24"/>
      <c r="AK60" s="61"/>
      <c r="AL60" s="24"/>
      <c r="AM60" s="24"/>
      <c r="AN60" s="24"/>
      <c r="AO60" s="60"/>
      <c r="AP60" s="24"/>
      <c r="AQ60" s="24"/>
      <c r="AR60" s="24"/>
      <c r="AS60" s="60"/>
      <c r="AT60" s="24"/>
      <c r="AU60" s="24"/>
      <c r="AV60" s="24"/>
      <c r="AW60" s="24"/>
      <c r="AX60" s="24"/>
      <c r="BA60" s="64"/>
    </row>
    <row r="61" spans="2:54" s="25" customFormat="1" ht="15" customHeight="1" x14ac:dyDescent="0.2">
      <c r="B61" s="54"/>
      <c r="O61" s="36"/>
      <c r="Q61" s="24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201"/>
      <c r="AD61" s="201"/>
      <c r="AE61" s="24"/>
      <c r="AF61" s="24"/>
      <c r="AG61" s="24"/>
      <c r="AH61" s="24"/>
      <c r="AI61" s="267"/>
      <c r="AJ61" s="268">
        <f>IF($I$25="Y",-1,IF(AH63=FALSE,4,IF(AJ63=FALSE,3,IF(AJ62 &gt;=$S$17,0,1))))</f>
        <v>0</v>
      </c>
      <c r="AK61" s="237"/>
      <c r="AL61" s="268"/>
      <c r="AM61" s="267"/>
      <c r="AN61" s="268">
        <f>IF($I$25="N",-1,IF(AL63=FALSE,4,IF(AN63=FALSE,3,IF(AN62 &gt;=$S$17,0,1))))</f>
        <v>-1</v>
      </c>
      <c r="AO61" s="269"/>
      <c r="AP61" s="270"/>
      <c r="AQ61" s="244"/>
      <c r="AR61" s="244"/>
      <c r="AS61" s="270"/>
      <c r="AT61" s="267"/>
      <c r="AU61" s="268">
        <f>IF($I$25="Y",-1,IF(AS63=FALSE,4,IF(AU63=FALSE,3,IF(AU62 &gt;=$S$17,0,1))))</f>
        <v>0</v>
      </c>
      <c r="AV61" s="24"/>
      <c r="AW61" s="24"/>
      <c r="AX61" s="24"/>
      <c r="BA61" s="64"/>
    </row>
    <row r="62" spans="2:54" s="25" customFormat="1" ht="15" customHeight="1" x14ac:dyDescent="0.2">
      <c r="B62" s="54"/>
      <c r="C62" s="324" t="s">
        <v>207</v>
      </c>
      <c r="D62" s="325"/>
      <c r="E62" s="325"/>
      <c r="F62" s="326"/>
      <c r="G62" s="327" t="s">
        <v>206</v>
      </c>
      <c r="H62" s="319"/>
      <c r="I62" s="320"/>
      <c r="J62" s="35"/>
      <c r="K62" s="35"/>
      <c r="L62" s="320"/>
      <c r="O62" s="36"/>
      <c r="AC62" s="201"/>
      <c r="AD62" s="201"/>
      <c r="AE62" s="24"/>
      <c r="AF62" s="381" t="s">
        <v>180</v>
      </c>
      <c r="AG62" s="382"/>
      <c r="AH62" s="383"/>
      <c r="AI62" s="243">
        <f>IF($G$41&gt;AI65,0,AI65-$G$41)</f>
        <v>9.6715728752538102</v>
      </c>
      <c r="AJ62" s="247">
        <f>AI62/$G$13</f>
        <v>1.934314575050762E-2</v>
      </c>
      <c r="AK62" s="259"/>
      <c r="AL62" s="246"/>
      <c r="AM62" s="243">
        <f>IF($G$41-AM65&gt;0,0,AM65-$G$41)</f>
        <v>1.3355707669639778</v>
      </c>
      <c r="AN62" s="247">
        <f>AM62/$G$13</f>
        <v>2.6711415339279558E-3</v>
      </c>
      <c r="AO62" s="253"/>
      <c r="AP62" s="262"/>
      <c r="AQ62" s="259"/>
      <c r="AR62" s="67"/>
      <c r="AS62" s="246"/>
      <c r="AT62" s="243">
        <f>IF($AT$65&gt;AO65,0,AO65-$AT$65)</f>
        <v>12.657300678986307</v>
      </c>
      <c r="AU62" s="247">
        <f>AT62/$G$13</f>
        <v>2.5314601357972612E-2</v>
      </c>
      <c r="AV62" s="24"/>
      <c r="AW62" s="24"/>
      <c r="AX62" s="24"/>
      <c r="BA62" s="64"/>
    </row>
    <row r="63" spans="2:54" s="25" customFormat="1" ht="15" customHeight="1" thickBot="1" x14ac:dyDescent="0.25">
      <c r="B63" s="34"/>
      <c r="C63" s="101" t="s">
        <v>190</v>
      </c>
      <c r="D63" s="151"/>
      <c r="E63" s="151"/>
      <c r="F63" s="193"/>
      <c r="G63" s="191">
        <v>30.6</v>
      </c>
      <c r="H63" s="66" t="s">
        <v>86</v>
      </c>
      <c r="I63" s="67"/>
      <c r="J63" s="183" t="s">
        <v>112</v>
      </c>
      <c r="K63" s="191">
        <v>267</v>
      </c>
      <c r="L63" s="68" t="s">
        <v>65</v>
      </c>
      <c r="M63" s="35"/>
      <c r="N63" s="35"/>
      <c r="O63" s="36"/>
      <c r="Q63" s="59" t="s">
        <v>76</v>
      </c>
      <c r="R63" s="133"/>
      <c r="S63" s="133"/>
      <c r="T63" s="133"/>
      <c r="U63" s="133"/>
      <c r="V63" s="133"/>
      <c r="W63" s="133"/>
      <c r="X63" s="141"/>
      <c r="Y63" s="141"/>
      <c r="AC63" s="202"/>
      <c r="AD63" s="202"/>
      <c r="AE63" s="24"/>
      <c r="AF63" s="194" t="s">
        <v>142</v>
      </c>
      <c r="AG63" s="194"/>
      <c r="AH63" s="194" t="b">
        <f>$G$41&lt;AG65</f>
        <v>1</v>
      </c>
      <c r="AI63" s="194"/>
      <c r="AJ63" s="248" t="b">
        <f>$G$41&lt;AI65</f>
        <v>1</v>
      </c>
      <c r="AK63" s="254"/>
      <c r="AL63" s="194" t="b">
        <f>$G$41&lt;AK65</f>
        <v>1</v>
      </c>
      <c r="AM63" s="194"/>
      <c r="AN63" s="248" t="b">
        <f>$G$41&lt;AM65</f>
        <v>1</v>
      </c>
      <c r="AO63" s="263"/>
      <c r="AP63" s="264"/>
      <c r="AQ63" s="266"/>
      <c r="AR63" s="174"/>
      <c r="AS63" s="194" t="b">
        <f>$AR$65&lt;$AO$65</f>
        <v>1</v>
      </c>
      <c r="AT63" s="174"/>
      <c r="AU63" s="194" t="b">
        <f>$AT$65&lt;$AO$65</f>
        <v>1</v>
      </c>
      <c r="BA63" s="64"/>
    </row>
    <row r="64" spans="2:54" s="25" customFormat="1" ht="15" customHeight="1" thickBot="1" x14ac:dyDescent="0.25">
      <c r="B64" s="313"/>
      <c r="C64" s="314"/>
      <c r="D64" s="315"/>
      <c r="E64" s="315"/>
      <c r="F64" s="315"/>
      <c r="G64" s="315"/>
      <c r="H64" s="315"/>
      <c r="I64" s="315"/>
      <c r="J64" s="316"/>
      <c r="K64" s="315"/>
      <c r="L64" s="315"/>
      <c r="M64" s="315"/>
      <c r="N64" s="315"/>
      <c r="O64" s="317"/>
      <c r="Q64" s="200" t="s">
        <v>42</v>
      </c>
      <c r="R64" s="318" t="s">
        <v>34</v>
      </c>
      <c r="S64" s="318" t="s">
        <v>35</v>
      </c>
      <c r="T64" s="318" t="s">
        <v>13</v>
      </c>
      <c r="U64" s="384" t="s">
        <v>83</v>
      </c>
      <c r="V64" s="384"/>
      <c r="W64" s="318" t="s">
        <v>84</v>
      </c>
      <c r="X64" s="384" t="s">
        <v>101</v>
      </c>
      <c r="Y64" s="384"/>
      <c r="AC64" s="203" t="s">
        <v>125</v>
      </c>
      <c r="AD64" s="203" t="s">
        <v>126</v>
      </c>
      <c r="AE64" s="24"/>
      <c r="AF64" s="96"/>
      <c r="AG64" s="389" t="s">
        <v>174</v>
      </c>
      <c r="AH64" s="388"/>
      <c r="AI64" s="379" t="s">
        <v>175</v>
      </c>
      <c r="AJ64" s="380"/>
      <c r="AK64" s="387" t="s">
        <v>176</v>
      </c>
      <c r="AL64" s="388"/>
      <c r="AM64" s="379" t="s">
        <v>177</v>
      </c>
      <c r="AN64" s="380"/>
      <c r="AO64" s="391" t="s">
        <v>75</v>
      </c>
      <c r="AP64" s="392"/>
      <c r="AQ64" s="266"/>
      <c r="AR64" s="393" t="s">
        <v>115</v>
      </c>
      <c r="AS64" s="393"/>
      <c r="AT64" s="394" t="s">
        <v>114</v>
      </c>
      <c r="AU64" s="394"/>
      <c r="AW64" s="98" t="s">
        <v>73</v>
      </c>
      <c r="AX64" s="99"/>
      <c r="AY64" s="99"/>
      <c r="AZ64" s="100"/>
      <c r="BA64" s="100"/>
      <c r="BB64" s="100"/>
    </row>
    <row r="65" spans="1:54" s="25" customFormat="1" ht="15" customHeight="1" thickTop="1" thickBot="1" x14ac:dyDescent="0.25">
      <c r="B65" s="309"/>
      <c r="C65" s="310" t="s">
        <v>69</v>
      </c>
      <c r="D65" s="310"/>
      <c r="E65" s="310"/>
      <c r="F65" s="311"/>
      <c r="G65" s="311"/>
      <c r="H65" s="311"/>
      <c r="I65" s="311"/>
      <c r="J65" s="311"/>
      <c r="K65" s="311"/>
      <c r="L65" s="311"/>
      <c r="M65" s="311"/>
      <c r="N65" s="311"/>
      <c r="O65" s="312"/>
      <c r="Q65" s="212" t="s">
        <v>77</v>
      </c>
      <c r="R65" s="212" t="s">
        <v>78</v>
      </c>
      <c r="S65" s="212" t="s">
        <v>78</v>
      </c>
      <c r="T65" s="212" t="s">
        <v>79</v>
      </c>
      <c r="U65" s="212" t="s">
        <v>78</v>
      </c>
      <c r="V65" s="212" t="s">
        <v>94</v>
      </c>
      <c r="W65" s="212" t="s">
        <v>119</v>
      </c>
      <c r="X65" s="212" t="s">
        <v>78</v>
      </c>
      <c r="Y65" s="212" t="s">
        <v>94</v>
      </c>
      <c r="AC65" s="211" t="s">
        <v>78</v>
      </c>
      <c r="AD65" s="211" t="s">
        <v>78</v>
      </c>
      <c r="AE65" s="24"/>
      <c r="AF65" s="96" t="s">
        <v>72</v>
      </c>
      <c r="AG65" s="239">
        <f>$J$75</f>
        <v>25</v>
      </c>
      <c r="AH65" s="239">
        <f>IF($I$25="N",$J$75,0)</f>
        <v>25</v>
      </c>
      <c r="AI65" s="240">
        <f>$J$76</f>
        <v>12.5</v>
      </c>
      <c r="AJ65" s="249">
        <f>IF($I$25="N",$J$76,0)</f>
        <v>12.5</v>
      </c>
      <c r="AK65" s="255">
        <f>$J$77</f>
        <v>16.80397302925379</v>
      </c>
      <c r="AL65" s="239">
        <f>IF($I$25="Y",$J$77,0)</f>
        <v>0</v>
      </c>
      <c r="AM65" s="239">
        <f>$J$78</f>
        <v>4.1639978917101681</v>
      </c>
      <c r="AN65" s="249">
        <f>IF($I$25="Y",$J$78,0)</f>
        <v>0</v>
      </c>
      <c r="AO65" s="255">
        <f>$J$69</f>
        <v>40</v>
      </c>
      <c r="AP65" s="249">
        <f>IF($I$25="N",$J$69,0)</f>
        <v>40</v>
      </c>
      <c r="AQ65" s="266"/>
      <c r="AR65" s="187">
        <f>SQRT(($AS$68-$G$40)^2+($AR$68-$K$40)^2)</f>
        <v>20.326235268156349</v>
      </c>
      <c r="AS65" s="179"/>
      <c r="AT65" s="187">
        <f>SQRT(($AU$68-$G$40)^2+($AT$68-$K$40)^2)</f>
        <v>27.342699321013693</v>
      </c>
      <c r="AU65" s="179"/>
      <c r="AW65" s="102"/>
      <c r="AX65" s="99"/>
      <c r="AY65" s="99"/>
      <c r="AZ65" s="100"/>
      <c r="BA65" s="103" t="s">
        <v>34</v>
      </c>
      <c r="BB65" s="104" t="s">
        <v>35</v>
      </c>
    </row>
    <row r="66" spans="1:54" s="25" customFormat="1" ht="15" customHeight="1" thickTop="1" x14ac:dyDescent="0.2">
      <c r="B66" s="34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6"/>
      <c r="Q66" s="24">
        <v>0</v>
      </c>
      <c r="R66" s="61">
        <v>2</v>
      </c>
      <c r="S66" s="61">
        <v>2</v>
      </c>
      <c r="T66" s="61">
        <v>220</v>
      </c>
      <c r="U66" s="61">
        <v>2.8284271247461903</v>
      </c>
      <c r="V66" s="276">
        <v>5.656854249492381E-3</v>
      </c>
      <c r="W66" s="61">
        <v>0</v>
      </c>
      <c r="X66" s="61">
        <v>0</v>
      </c>
      <c r="Y66" s="276">
        <v>0</v>
      </c>
      <c r="Z66" s="61"/>
      <c r="AA66" s="276"/>
      <c r="AB66" s="61"/>
      <c r="AC66" s="201">
        <f t="shared" ref="AC66:AC129" si="1">IF(Q66="","",SQRT(($R66-$AT$68)^2+($S66-$AU$68)^2))</f>
        <v>27.342699321013693</v>
      </c>
      <c r="AD66" s="201">
        <f t="shared" ref="AD66:AD129" si="2">IF(Q66="","",SQRT(($R66-$AR$68)^2+($S66-$AS$68)^2))</f>
        <v>20.326235268156349</v>
      </c>
      <c r="AE66" s="24"/>
      <c r="AF66" s="241" t="s">
        <v>71</v>
      </c>
      <c r="AG66" s="242" t="s">
        <v>34</v>
      </c>
      <c r="AH66" s="242" t="s">
        <v>35</v>
      </c>
      <c r="AI66" s="242" t="s">
        <v>34</v>
      </c>
      <c r="AJ66" s="250" t="s">
        <v>35</v>
      </c>
      <c r="AK66" s="256" t="s">
        <v>34</v>
      </c>
      <c r="AL66" s="242" t="s">
        <v>35</v>
      </c>
      <c r="AM66" s="242" t="s">
        <v>34</v>
      </c>
      <c r="AN66" s="250" t="s">
        <v>35</v>
      </c>
      <c r="AO66" s="265" t="s">
        <v>34</v>
      </c>
      <c r="AP66" s="250" t="s">
        <v>35</v>
      </c>
      <c r="AQ66" s="275" t="s">
        <v>182</v>
      </c>
      <c r="AR66" s="188">
        <f>K72</f>
        <v>45</v>
      </c>
      <c r="AS66" s="187">
        <f>$AU$66-VLOOKUP($AR$66,$Q$66:$X$466,8)</f>
        <v>18.13600255948873</v>
      </c>
      <c r="AT66" s="188">
        <f>K72+K71</f>
        <v>88</v>
      </c>
      <c r="AU66" s="187">
        <f>VLOOKUP($AT$66,$Q$66:$X$466,8)</f>
        <v>25.175189834037464</v>
      </c>
      <c r="AW66" s="107" t="s">
        <v>36</v>
      </c>
      <c r="AX66" s="108"/>
      <c r="AY66" s="108">
        <f>90-$G$39</f>
        <v>-130</v>
      </c>
      <c r="AZ66" s="109" t="s">
        <v>29</v>
      </c>
      <c r="BA66" s="110">
        <f>K40</f>
        <v>2</v>
      </c>
      <c r="BB66" s="111">
        <f>G40</f>
        <v>2</v>
      </c>
    </row>
    <row r="67" spans="1:54" s="25" customFormat="1" ht="15" customHeight="1" x14ac:dyDescent="0.2">
      <c r="B67" s="34"/>
      <c r="C67" s="185" t="s">
        <v>88</v>
      </c>
      <c r="D67" s="67"/>
      <c r="E67" s="67"/>
      <c r="F67" s="67"/>
      <c r="G67" s="68"/>
      <c r="H67" s="167">
        <v>150</v>
      </c>
      <c r="I67" s="303">
        <v>0.25</v>
      </c>
      <c r="J67" s="72"/>
      <c r="K67" s="69"/>
      <c r="L67" s="70"/>
      <c r="M67" s="293"/>
      <c r="N67" s="35"/>
      <c r="O67" s="36"/>
      <c r="Q67" s="24">
        <v>1</v>
      </c>
      <c r="R67" s="61">
        <v>2.0035716438333364</v>
      </c>
      <c r="S67" s="61">
        <v>2.0010774064148702</v>
      </c>
      <c r="T67" s="61">
        <v>219.9998779296875</v>
      </c>
      <c r="U67" s="61">
        <v>2.8317150489477365</v>
      </c>
      <c r="V67" s="276">
        <v>5.6634300978954727E-3</v>
      </c>
      <c r="W67" s="61">
        <v>7.4554039692747908E-3</v>
      </c>
      <c r="X67" s="61">
        <v>3.7306090997333771E-3</v>
      </c>
      <c r="Y67" s="276">
        <v>7.4612181994667544E-6</v>
      </c>
      <c r="Z67" s="61"/>
      <c r="AA67" s="276"/>
      <c r="AB67" s="61"/>
      <c r="AC67" s="201">
        <f t="shared" si="1"/>
        <v>27.346375309293879</v>
      </c>
      <c r="AD67" s="201">
        <f t="shared" si="2"/>
        <v>20.329925447639368</v>
      </c>
      <c r="AE67" s="24"/>
      <c r="AF67" s="105">
        <v>0</v>
      </c>
      <c r="AG67" s="257">
        <f>$AH$65*COS(RADIANS($AF67))</f>
        <v>25</v>
      </c>
      <c r="AH67" s="106">
        <f>$AH$65*SIN(RADIANS($AF67))</f>
        <v>0</v>
      </c>
      <c r="AI67" s="106">
        <f>$AJ$65*COS(RADIANS(AF67))</f>
        <v>12.5</v>
      </c>
      <c r="AJ67" s="251">
        <f>$AJ$65*SIN(RADIANS(AF67))</f>
        <v>0</v>
      </c>
      <c r="AK67" s="257">
        <f>$AL$65*COS(RADIANS($AF67))</f>
        <v>0</v>
      </c>
      <c r="AL67" s="106">
        <f>$AL$65*SIN(RADIANS($AF67))</f>
        <v>0</v>
      </c>
      <c r="AM67" s="106">
        <f>$AN$65*COS(RADIANS($AF67))</f>
        <v>0</v>
      </c>
      <c r="AN67" s="251">
        <f>$AN$65*SIN(RADIANS($AF67))</f>
        <v>0</v>
      </c>
      <c r="AO67" s="257">
        <f>$AO$65*COS(RADIANS(AF67))</f>
        <v>40</v>
      </c>
      <c r="AP67" s="251">
        <f>$AO$65*SIN(RADIANS(AF67))</f>
        <v>0</v>
      </c>
      <c r="AQ67" s="273"/>
      <c r="AR67" s="242" t="s">
        <v>34</v>
      </c>
      <c r="AS67" s="242" t="s">
        <v>35</v>
      </c>
      <c r="AT67" s="242" t="s">
        <v>34</v>
      </c>
      <c r="AU67" s="242" t="s">
        <v>35</v>
      </c>
      <c r="AW67" s="112"/>
      <c r="AX67" s="113" t="s">
        <v>37</v>
      </c>
      <c r="AY67" s="113">
        <f>AY69-(2/150)*(J69+10)</f>
        <v>9.3333333333333339</v>
      </c>
      <c r="AZ67" s="114"/>
      <c r="BA67" s="115">
        <f>BA66+AY68*COS(RADIANS(AY66))</f>
        <v>-6.5705014624871918</v>
      </c>
      <c r="BB67" s="116">
        <f>BB66+AY68*SIN(RADIANS(AY66))</f>
        <v>-8.2139259082530405</v>
      </c>
    </row>
    <row r="68" spans="1:54" s="25" customFormat="1" ht="15" customHeight="1" x14ac:dyDescent="0.2">
      <c r="B68" s="34"/>
      <c r="C68" s="185"/>
      <c r="D68" s="67"/>
      <c r="E68" s="67"/>
      <c r="F68" s="67"/>
      <c r="G68" s="67"/>
      <c r="H68" s="67"/>
      <c r="I68" s="67"/>
      <c r="J68" s="48"/>
      <c r="K68" s="304"/>
      <c r="L68" s="45"/>
      <c r="M68" s="293"/>
      <c r="N68" s="35"/>
      <c r="O68" s="36"/>
      <c r="Q68" s="24">
        <v>2</v>
      </c>
      <c r="R68" s="61">
        <v>2.0142612563805113</v>
      </c>
      <c r="S68" s="61">
        <v>2.0043091877412076</v>
      </c>
      <c r="T68" s="61">
        <v>219.99951171875</v>
      </c>
      <c r="U68" s="61">
        <v>2.8415671255522743</v>
      </c>
      <c r="V68" s="276">
        <v>5.6831342511045489E-3</v>
      </c>
      <c r="W68" s="61">
        <v>1.487375834203959E-2</v>
      </c>
      <c r="X68" s="61">
        <v>1.489807143692261E-2</v>
      </c>
      <c r="Y68" s="276">
        <v>2.9796142873845219E-5</v>
      </c>
      <c r="Z68" s="61"/>
      <c r="AA68" s="276"/>
      <c r="AB68" s="61"/>
      <c r="AC68" s="201">
        <f t="shared" si="1"/>
        <v>27.357378178079269</v>
      </c>
      <c r="AD68" s="201">
        <f t="shared" si="2"/>
        <v>20.34097096036308</v>
      </c>
      <c r="AE68" s="24"/>
      <c r="AF68" s="105">
        <f>AF67+15</f>
        <v>15</v>
      </c>
      <c r="AG68" s="257">
        <f t="shared" ref="AG68:AG91" si="3">$AH$65*COS(RADIANS($AF68))</f>
        <v>24.148145657226706</v>
      </c>
      <c r="AH68" s="106">
        <f t="shared" ref="AH68:AH91" si="4">$AH$65*SIN(RADIANS($AF68))</f>
        <v>6.4704761275630185</v>
      </c>
      <c r="AI68" s="106">
        <f t="shared" ref="AI68:AI91" si="5">$AJ$65*COS(RADIANS(AF68))</f>
        <v>12.074072828613353</v>
      </c>
      <c r="AJ68" s="251">
        <f t="shared" ref="AJ68:AJ91" si="6">$AJ$65*SIN(RADIANS(AF68))</f>
        <v>3.2352380637815092</v>
      </c>
      <c r="AK68" s="257">
        <f t="shared" ref="AK68:AK91" si="7">$AL$65*COS(RADIANS($AF68))</f>
        <v>0</v>
      </c>
      <c r="AL68" s="106">
        <f t="shared" ref="AL68:AL91" si="8">$AL$65*SIN(RADIANS($AF68))</f>
        <v>0</v>
      </c>
      <c r="AM68" s="106">
        <f t="shared" ref="AM68:AM91" si="9">$AN$65*COS(RADIANS($AF68))</f>
        <v>0</v>
      </c>
      <c r="AN68" s="251">
        <f t="shared" ref="AN68:AN91" si="10">$AN$65*SIN(RADIANS($AF68))</f>
        <v>0</v>
      </c>
      <c r="AO68" s="257">
        <f t="shared" ref="AO68:AO91" si="11">$AO$65*COS(RADIANS(AF68))</f>
        <v>38.637033051562732</v>
      </c>
      <c r="AP68" s="251">
        <f t="shared" ref="AP68:AP91" si="12">$AO$65*SIN(RADIANS(AF68))</f>
        <v>10.35276180410083</v>
      </c>
      <c r="AQ68" s="67" t="s">
        <v>127</v>
      </c>
      <c r="AR68" s="272">
        <f xml:space="preserve"> - $AS$66*COS(RADIANS(270-$K$60))</f>
        <v>-18.111147798289991</v>
      </c>
      <c r="AS68" s="272">
        <f xml:space="preserve"> - $AS$66*SIN(RADIANS(270-$K$60))</f>
        <v>-0.94916503637531957</v>
      </c>
      <c r="AT68" s="272">
        <f xml:space="preserve"> - $AU$66*COS(RADIANS(270-$K$60))</f>
        <v>-25.140688111322909</v>
      </c>
      <c r="AU68" s="272">
        <f xml:space="preserve"> - $AU$66*SIN(RADIANS(270-$K$60))</f>
        <v>-1.3175676335619892</v>
      </c>
      <c r="AW68" s="112"/>
      <c r="AX68" s="113" t="s">
        <v>38</v>
      </c>
      <c r="AY68" s="117">
        <f>(J69+10)*(40/150)</f>
        <v>13.333333333333334</v>
      </c>
      <c r="AZ68" s="114"/>
      <c r="BA68" s="115">
        <f>BA66+AY67*COS(RADIANS(AY66+AY70))</f>
        <v>-3.7461737697061448</v>
      </c>
      <c r="BB68" s="116">
        <f>BB66+AY67*SIN(RADIANS(AY66+AY70))</f>
        <v>-5.3547670336627391</v>
      </c>
    </row>
    <row r="69" spans="1:54" s="25" customFormat="1" ht="15" customHeight="1" x14ac:dyDescent="0.2">
      <c r="B69" s="34"/>
      <c r="C69" s="185" t="s">
        <v>208</v>
      </c>
      <c r="D69" s="67"/>
      <c r="E69" s="67"/>
      <c r="F69" s="67"/>
      <c r="G69" s="68"/>
      <c r="H69" s="186">
        <f>I24</f>
        <v>0.08</v>
      </c>
      <c r="I69" s="67" t="s">
        <v>59</v>
      </c>
      <c r="J69" s="187">
        <f>$K$24</f>
        <v>40</v>
      </c>
      <c r="K69" s="385" t="s">
        <v>205</v>
      </c>
      <c r="L69" s="386"/>
      <c r="O69" s="36"/>
      <c r="Q69" s="24">
        <v>3</v>
      </c>
      <c r="R69" s="61">
        <v>2.0320305027553842</v>
      </c>
      <c r="S69" s="61">
        <v>2.0096946494214039</v>
      </c>
      <c r="T69" s="61">
        <v>219.99891662597656</v>
      </c>
      <c r="U69" s="61">
        <v>2.8579749033260105</v>
      </c>
      <c r="V69" s="276">
        <v>5.7159498066520209E-3</v>
      </c>
      <c r="W69" s="61">
        <v>2.2255379296421626E-2</v>
      </c>
      <c r="X69" s="61">
        <v>3.3465494679843028E-2</v>
      </c>
      <c r="Y69" s="276">
        <v>6.6930989359686053E-5</v>
      </c>
      <c r="Z69" s="61"/>
      <c r="AA69" s="276"/>
      <c r="AB69" s="61"/>
      <c r="AC69" s="201">
        <f t="shared" si="1"/>
        <v>27.375670059007518</v>
      </c>
      <c r="AD69" s="201">
        <f t="shared" si="2"/>
        <v>20.359334043822216</v>
      </c>
      <c r="AE69" s="24"/>
      <c r="AF69" s="105">
        <f t="shared" ref="AF69:AF88" si="13">AF68+15</f>
        <v>30</v>
      </c>
      <c r="AG69" s="257">
        <f t="shared" si="3"/>
        <v>21.650635094610969</v>
      </c>
      <c r="AH69" s="106">
        <f t="shared" si="4"/>
        <v>12.499999999999998</v>
      </c>
      <c r="AI69" s="106">
        <f t="shared" si="5"/>
        <v>10.825317547305485</v>
      </c>
      <c r="AJ69" s="251">
        <f t="shared" si="6"/>
        <v>6.2499999999999991</v>
      </c>
      <c r="AK69" s="257">
        <f t="shared" si="7"/>
        <v>0</v>
      </c>
      <c r="AL69" s="106">
        <f t="shared" si="8"/>
        <v>0</v>
      </c>
      <c r="AM69" s="106">
        <f t="shared" si="9"/>
        <v>0</v>
      </c>
      <c r="AN69" s="251">
        <f t="shared" si="10"/>
        <v>0</v>
      </c>
      <c r="AO69" s="257">
        <f t="shared" si="11"/>
        <v>34.641016151377549</v>
      </c>
      <c r="AP69" s="251">
        <f t="shared" si="12"/>
        <v>19.999999999999996</v>
      </c>
      <c r="AQ69" s="274" t="s">
        <v>71</v>
      </c>
      <c r="AR69" s="174"/>
      <c r="AS69" s="174"/>
      <c r="AT69" s="174"/>
      <c r="AU69" s="174"/>
      <c r="AW69" s="112"/>
      <c r="AX69" s="113" t="s">
        <v>39</v>
      </c>
      <c r="AY69" s="117">
        <f>(J69+10)*(30/150)</f>
        <v>10</v>
      </c>
      <c r="AZ69" s="114"/>
      <c r="BA69" s="115">
        <f>BA66+AY67*COS(RADIANS(AY66-AY70))</f>
        <v>-4.2452189926826769</v>
      </c>
      <c r="BB69" s="116">
        <f>BB66+AY67*SIN(RADIANS(AY66-AY70))</f>
        <v>-4.9360183711223469</v>
      </c>
    </row>
    <row r="70" spans="1:54" s="25" customFormat="1" ht="15" customHeight="1" x14ac:dyDescent="0.2">
      <c r="B70" s="34"/>
      <c r="C70" s="185" t="s">
        <v>209</v>
      </c>
      <c r="D70" s="67"/>
      <c r="E70" s="67"/>
      <c r="F70" s="67"/>
      <c r="G70" s="68"/>
      <c r="H70" s="186">
        <f>J70/G13</f>
        <v>7.4872025885117766E-2</v>
      </c>
      <c r="I70" s="67" t="s">
        <v>59</v>
      </c>
      <c r="J70" s="187">
        <f>(($K$70-INDEX($Q$66:$Q$1066,MATCH($K$70,$Q$66:$Q$1066)))/(INDEX($Q$66:$Q$1066,MATCH($K$70,$Q$66:$Q$1066)+1)-INDEX($Q$66:$Q$1066,MATCH($K$70,$Q$66:$Q$1066)))*(INDEX($X$66:$X$1066,MATCH($K$70,$Q$66:$Q$1066)+1)-INDEX($X$66:$X$1066,MATCH($K$70,$Q$66:$Q$1066)))+INDEX($X$66:$X$1066,MATCH($K$70,$Q$66:$Q$1066)))</f>
        <v>37.436012942558882</v>
      </c>
      <c r="K70" s="188">
        <f>(($J$69-INDEX($U$66:$U$1066,MATCH($J$69,$U$66:$U$1066)))/(INDEX($U$66:$U$1066,MATCH($J$69,$U$66:$U$1066)+1)-INDEX($U$66:$U$1066,MATCH($J$69,$U$66:$U$1066)))*(INDEX($Q$66:$Q$1066,MATCH($J$69,$U$66:$U$1066)+1)-INDEX($Q$66:$Q$1066,MATCH($J$69,$U$66:$U$1066)))+INDEX($Q$66:$Q$1066,MATCH($J$69,$U$66:$U$1066)))</f>
        <v>108.93881416587304</v>
      </c>
      <c r="L70" s="189">
        <f>K70/60</f>
        <v>1.8156469027645508</v>
      </c>
      <c r="O70" s="36"/>
      <c r="Q70" s="25">
        <v>4</v>
      </c>
      <c r="R70" s="62">
        <v>2.0568413727178845</v>
      </c>
      <c r="S70" s="62">
        <v>2.0172330559566554</v>
      </c>
      <c r="T70" s="62">
        <v>219.99812316894531</v>
      </c>
      <c r="U70" s="62">
        <v>2.8809417964561899</v>
      </c>
      <c r="V70" s="277">
        <v>5.7618835929123795E-3</v>
      </c>
      <c r="W70" s="62">
        <v>2.9600570236198751E-2</v>
      </c>
      <c r="X70" s="62">
        <v>5.9396295086972188E-2</v>
      </c>
      <c r="Y70" s="277">
        <v>1.1879259017394438E-4</v>
      </c>
      <c r="Z70" s="62"/>
      <c r="AA70" s="277"/>
      <c r="AB70" s="62"/>
      <c r="AC70" s="201">
        <f t="shared" si="1"/>
        <v>27.401213580315787</v>
      </c>
      <c r="AD70" s="201">
        <f t="shared" si="2"/>
        <v>20.384977430551196</v>
      </c>
      <c r="AE70" s="24"/>
      <c r="AF70" s="105">
        <f t="shared" si="13"/>
        <v>45</v>
      </c>
      <c r="AG70" s="257">
        <f t="shared" si="3"/>
        <v>17.677669529663689</v>
      </c>
      <c r="AH70" s="106">
        <f t="shared" si="4"/>
        <v>17.677669529663685</v>
      </c>
      <c r="AI70" s="106">
        <f t="shared" si="5"/>
        <v>8.8388347648318444</v>
      </c>
      <c r="AJ70" s="251">
        <f t="shared" si="6"/>
        <v>8.8388347648318426</v>
      </c>
      <c r="AK70" s="257">
        <f t="shared" si="7"/>
        <v>0</v>
      </c>
      <c r="AL70" s="106">
        <f t="shared" si="8"/>
        <v>0</v>
      </c>
      <c r="AM70" s="106">
        <f t="shared" si="9"/>
        <v>0</v>
      </c>
      <c r="AN70" s="251">
        <f t="shared" si="10"/>
        <v>0</v>
      </c>
      <c r="AO70" s="257">
        <f t="shared" si="11"/>
        <v>28.284271247461902</v>
      </c>
      <c r="AP70" s="251">
        <f t="shared" si="12"/>
        <v>28.284271247461898</v>
      </c>
      <c r="AQ70" s="260">
        <f>AQ71-15</f>
        <v>-57</v>
      </c>
      <c r="AR70" s="197">
        <f t="shared" ref="AR70:AR78" si="14">$AP$65*COS(RADIANS($AQ70)) +$AR$68</f>
        <v>3.6744136023110912</v>
      </c>
      <c r="AS70" s="197">
        <f t="shared" ref="AS70:AS78" si="15">$AP$65*SIN(RADIANS($AQ70)) +$AS$68</f>
        <v>-34.495987754192285</v>
      </c>
      <c r="AT70" s="197">
        <f t="shared" ref="AT70:AT78" si="16">$AP$65*COS(RADIANS($AQ70)) +$AT$68</f>
        <v>-3.3551267107218266</v>
      </c>
      <c r="AU70" s="197">
        <f t="shared" ref="AU70:AU78" si="17">$AP$65*SIN(RADIANS($AQ70))+$AU$68</f>
        <v>-34.864390351378958</v>
      </c>
      <c r="AW70" s="118"/>
      <c r="AX70" s="119" t="s">
        <v>40</v>
      </c>
      <c r="AY70" s="120">
        <f>(J69+10)*(6/150)</f>
        <v>2</v>
      </c>
      <c r="AZ70" s="121"/>
      <c r="BA70" s="122">
        <f>BA67</f>
        <v>-6.5705014624871918</v>
      </c>
      <c r="BB70" s="123">
        <f>BB67</f>
        <v>-8.2139259082530405</v>
      </c>
    </row>
    <row r="71" spans="1:54" s="25" customFormat="1" ht="15" customHeight="1" x14ac:dyDescent="0.2">
      <c r="B71" s="34"/>
      <c r="C71" s="185" t="s">
        <v>200</v>
      </c>
      <c r="D71" s="67"/>
      <c r="E71" s="67"/>
      <c r="F71" s="67"/>
      <c r="G71" s="67"/>
      <c r="H71" s="67"/>
      <c r="I71" s="67"/>
      <c r="J71" s="67"/>
      <c r="K71" s="188">
        <f>IF(J29&lt;&gt;"",I29,IF(J30&lt;&gt;"",I30,I31))</f>
        <v>43</v>
      </c>
      <c r="L71" s="189">
        <f>K71/60</f>
        <v>0.71666666666666667</v>
      </c>
      <c r="O71" s="36"/>
      <c r="Q71" s="25">
        <v>5</v>
      </c>
      <c r="R71" s="62">
        <v>2.0886561692387615</v>
      </c>
      <c r="S71" s="62">
        <v>2.0269236259294838</v>
      </c>
      <c r="T71" s="62">
        <v>219.99713134765625</v>
      </c>
      <c r="U71" s="62">
        <v>2.9104817433975194</v>
      </c>
      <c r="V71" s="277">
        <v>5.8209634867950385E-3</v>
      </c>
      <c r="W71" s="62">
        <v>3.6909622027599467E-2</v>
      </c>
      <c r="X71" s="62">
        <v>9.2654184888124172E-2</v>
      </c>
      <c r="Y71" s="277">
        <v>1.8530836977624835E-4</v>
      </c>
      <c r="Z71" s="62"/>
      <c r="AA71" s="277"/>
      <c r="AB71" s="62"/>
      <c r="AC71" s="201">
        <f t="shared" si="1"/>
        <v>27.433971854876781</v>
      </c>
      <c r="AD71" s="201">
        <f t="shared" si="2"/>
        <v>20.417864336225019</v>
      </c>
      <c r="AE71" s="24"/>
      <c r="AF71" s="105">
        <f t="shared" si="13"/>
        <v>60</v>
      </c>
      <c r="AG71" s="257">
        <f t="shared" si="3"/>
        <v>12.500000000000004</v>
      </c>
      <c r="AH71" s="106">
        <f t="shared" si="4"/>
        <v>21.650635094610966</v>
      </c>
      <c r="AI71" s="106">
        <f t="shared" si="5"/>
        <v>6.2500000000000018</v>
      </c>
      <c r="AJ71" s="251">
        <f t="shared" si="6"/>
        <v>10.825317547305483</v>
      </c>
      <c r="AK71" s="257">
        <f t="shared" si="7"/>
        <v>0</v>
      </c>
      <c r="AL71" s="106">
        <f t="shared" si="8"/>
        <v>0</v>
      </c>
      <c r="AM71" s="106">
        <f t="shared" si="9"/>
        <v>0</v>
      </c>
      <c r="AN71" s="251">
        <f t="shared" si="10"/>
        <v>0</v>
      </c>
      <c r="AO71" s="257">
        <f t="shared" si="11"/>
        <v>20.000000000000004</v>
      </c>
      <c r="AP71" s="251">
        <f t="shared" si="12"/>
        <v>34.641016151377542</v>
      </c>
      <c r="AQ71" s="260">
        <f t="shared" ref="AQ71:AQ73" si="18">AQ72-15</f>
        <v>-42</v>
      </c>
      <c r="AR71" s="197">
        <f t="shared" si="14"/>
        <v>11.614645220805777</v>
      </c>
      <c r="AS71" s="197">
        <f t="shared" si="15"/>
        <v>-27.714389290729649</v>
      </c>
      <c r="AT71" s="197">
        <f t="shared" si="16"/>
        <v>4.585104907772859</v>
      </c>
      <c r="AU71" s="197">
        <f t="shared" si="17"/>
        <v>-28.082791887916319</v>
      </c>
      <c r="AW71" s="107" t="s">
        <v>41</v>
      </c>
      <c r="AX71" s="108"/>
      <c r="AY71" s="108">
        <f>K44</f>
        <v>270</v>
      </c>
      <c r="AZ71" s="109" t="s">
        <v>29</v>
      </c>
      <c r="BA71" s="110">
        <f>AY73*COS(RADIANS(AY71))</f>
        <v>-7.9634649569060285E-15</v>
      </c>
      <c r="BB71" s="111">
        <f>AY73*SIN(RADIANS(AY71))+IF($G$44=0,10000,0)</f>
        <v>-43.333333333333329</v>
      </c>
    </row>
    <row r="72" spans="1:54" s="25" customFormat="1" ht="15" customHeight="1" x14ac:dyDescent="0.2">
      <c r="A72" s="35"/>
      <c r="B72" s="34"/>
      <c r="C72" s="185" t="s">
        <v>201</v>
      </c>
      <c r="D72" s="67"/>
      <c r="E72" s="67"/>
      <c r="F72" s="67"/>
      <c r="G72" s="67"/>
      <c r="H72" s="67"/>
      <c r="I72" s="67"/>
      <c r="J72" s="67"/>
      <c r="K72" s="188">
        <f>G35</f>
        <v>45</v>
      </c>
      <c r="L72" s="189">
        <f>K72/60</f>
        <v>0.75</v>
      </c>
      <c r="O72" s="36"/>
      <c r="Q72" s="25">
        <v>6</v>
      </c>
      <c r="R72" s="62">
        <v>2.1274374972717931</v>
      </c>
      <c r="S72" s="62">
        <v>2.0387655271625116</v>
      </c>
      <c r="T72" s="62">
        <v>219.99595642089844</v>
      </c>
      <c r="U72" s="62">
        <v>2.946617582847205</v>
      </c>
      <c r="V72" s="277">
        <v>5.8932351656944097E-3</v>
      </c>
      <c r="W72" s="62">
        <v>4.4182813227530461E-2</v>
      </c>
      <c r="X72" s="62">
        <v>0.13320315989902679</v>
      </c>
      <c r="Y72" s="277">
        <v>2.6640631979805355E-4</v>
      </c>
      <c r="Z72" s="62"/>
      <c r="AA72" s="277"/>
      <c r="AB72" s="62"/>
      <c r="AC72" s="201">
        <f t="shared" si="1"/>
        <v>27.473908467705812</v>
      </c>
      <c r="AD72" s="201">
        <f t="shared" si="2"/>
        <v>20.457958446977379</v>
      </c>
      <c r="AE72" s="24"/>
      <c r="AF72" s="105">
        <f t="shared" si="13"/>
        <v>75</v>
      </c>
      <c r="AG72" s="257">
        <f t="shared" si="3"/>
        <v>6.4704761275630185</v>
      </c>
      <c r="AH72" s="106">
        <f t="shared" si="4"/>
        <v>24.148145657226706</v>
      </c>
      <c r="AI72" s="106">
        <f t="shared" si="5"/>
        <v>3.2352380637815092</v>
      </c>
      <c r="AJ72" s="251">
        <f t="shared" si="6"/>
        <v>12.074072828613353</v>
      </c>
      <c r="AK72" s="257">
        <f t="shared" si="7"/>
        <v>0</v>
      </c>
      <c r="AL72" s="106">
        <f t="shared" si="8"/>
        <v>0</v>
      </c>
      <c r="AM72" s="106">
        <f t="shared" si="9"/>
        <v>0</v>
      </c>
      <c r="AN72" s="251">
        <f t="shared" si="10"/>
        <v>0</v>
      </c>
      <c r="AO72" s="257">
        <f t="shared" si="11"/>
        <v>10.35276180410083</v>
      </c>
      <c r="AP72" s="251">
        <f t="shared" si="12"/>
        <v>38.637033051562732</v>
      </c>
      <c r="AQ72" s="260">
        <f t="shared" si="18"/>
        <v>-27</v>
      </c>
      <c r="AR72" s="197">
        <f t="shared" si="14"/>
        <v>17.529113169244724</v>
      </c>
      <c r="AS72" s="197">
        <f t="shared" si="15"/>
        <v>-19.108785025957189</v>
      </c>
      <c r="AT72" s="197">
        <f t="shared" si="16"/>
        <v>10.499572856211806</v>
      </c>
      <c r="AU72" s="197">
        <f t="shared" si="17"/>
        <v>-19.477187623143859</v>
      </c>
      <c r="AW72" s="112"/>
      <c r="AX72" s="113" t="s">
        <v>37</v>
      </c>
      <c r="AY72" s="113">
        <f>AY74+(14/150)*($J$69+10)</f>
        <v>24.666666666666668</v>
      </c>
      <c r="AZ72" s="114"/>
      <c r="BA72" s="115">
        <f>AY74*COS(RADIANS(AY71))</f>
        <v>-3.67544536472586E-15</v>
      </c>
      <c r="BB72" s="116">
        <f>AY74*SIN(RADIANS(AY71))+IF($G$44=0,10000,0)</f>
        <v>-20</v>
      </c>
    </row>
    <row r="73" spans="1:54" s="25" customFormat="1" ht="15" customHeight="1" x14ac:dyDescent="0.2">
      <c r="A73" s="35"/>
      <c r="B73" s="34"/>
      <c r="C73" s="230" t="s">
        <v>168</v>
      </c>
      <c r="D73" s="231"/>
      <c r="E73" s="231"/>
      <c r="F73" s="231"/>
      <c r="G73" s="232"/>
      <c r="H73" s="233">
        <f>J73/$G$13</f>
        <v>3.9679177008122492E-2</v>
      </c>
      <c r="I73" s="233" t="s">
        <v>59</v>
      </c>
      <c r="J73" s="243">
        <f>0.5*(INDEX($X$66:$X$466,MATCH($J$69,$AD$66:$AD$466))+INDEX($X$66:$X$466,MATCH($J$69,$AD$66:$AD$466)+1))</f>
        <v>19.839588504061247</v>
      </c>
      <c r="K73" s="301"/>
      <c r="L73" s="302"/>
      <c r="O73" s="36"/>
      <c r="P73" s="35"/>
      <c r="Q73" s="25">
        <v>7</v>
      </c>
      <c r="R73" s="62">
        <v>2.1731482527267887</v>
      </c>
      <c r="S73" s="62">
        <v>2.0527578720049822</v>
      </c>
      <c r="T73" s="62">
        <v>219.99459838867187</v>
      </c>
      <c r="U73" s="62">
        <v>2.9893792347923869</v>
      </c>
      <c r="V73" s="277">
        <v>5.9787584695847737E-3</v>
      </c>
      <c r="W73" s="62">
        <v>5.1420410303621725E-2</v>
      </c>
      <c r="X73" s="62">
        <v>0.18100748736125244</v>
      </c>
      <c r="Y73" s="277">
        <v>3.6201497472250488E-4</v>
      </c>
      <c r="Z73" s="62"/>
      <c r="AA73" s="277"/>
      <c r="AB73" s="62"/>
      <c r="AC73" s="201">
        <f t="shared" si="1"/>
        <v>27.520987462944692</v>
      </c>
      <c r="AD73" s="201">
        <f t="shared" si="2"/>
        <v>20.505223905950245</v>
      </c>
      <c r="AE73" s="24"/>
      <c r="AF73" s="105">
        <f t="shared" si="13"/>
        <v>90</v>
      </c>
      <c r="AG73" s="257">
        <f t="shared" si="3"/>
        <v>1.531435568635775E-15</v>
      </c>
      <c r="AH73" s="106">
        <f t="shared" si="4"/>
        <v>25</v>
      </c>
      <c r="AI73" s="106">
        <f t="shared" si="5"/>
        <v>7.6571778431788751E-16</v>
      </c>
      <c r="AJ73" s="251">
        <f t="shared" si="6"/>
        <v>12.5</v>
      </c>
      <c r="AK73" s="257">
        <f t="shared" si="7"/>
        <v>0</v>
      </c>
      <c r="AL73" s="106">
        <f t="shared" si="8"/>
        <v>0</v>
      </c>
      <c r="AM73" s="106">
        <f t="shared" si="9"/>
        <v>0</v>
      </c>
      <c r="AN73" s="251">
        <f t="shared" si="10"/>
        <v>0</v>
      </c>
      <c r="AO73" s="257">
        <f t="shared" si="11"/>
        <v>2.45029690981724E-15</v>
      </c>
      <c r="AP73" s="251">
        <f t="shared" si="12"/>
        <v>40</v>
      </c>
      <c r="AQ73" s="260">
        <f t="shared" si="18"/>
        <v>-12</v>
      </c>
      <c r="AR73" s="197">
        <f t="shared" si="14"/>
        <v>21.014756231062236</v>
      </c>
      <c r="AS73" s="197">
        <f t="shared" si="15"/>
        <v>-9.2656326690856936</v>
      </c>
      <c r="AT73" s="197">
        <f t="shared" si="16"/>
        <v>13.985215918029319</v>
      </c>
      <c r="AU73" s="197">
        <f t="shared" si="17"/>
        <v>-9.6340352662723632</v>
      </c>
      <c r="AW73" s="112"/>
      <c r="AX73" s="113" t="s">
        <v>38</v>
      </c>
      <c r="AY73" s="117">
        <f>($J$69+10)*(100/150)+10</f>
        <v>43.333333333333329</v>
      </c>
      <c r="AZ73" s="114"/>
      <c r="BA73" s="115">
        <f>AY72*COS(RADIANS(AY71+AY75))</f>
        <v>0.43049269211965058</v>
      </c>
      <c r="BB73" s="116">
        <f>AY72*SIN(RADIANS(AY71+AY75))+IF($G$44=0,10000,0)</f>
        <v>-24.662909813857652</v>
      </c>
    </row>
    <row r="74" spans="1:54" s="25" customFormat="1" ht="15" customHeight="1" x14ac:dyDescent="0.2">
      <c r="A74" s="35"/>
      <c r="B74" s="34"/>
      <c r="C74" s="230" t="s">
        <v>169</v>
      </c>
      <c r="D74" s="231"/>
      <c r="E74" s="231"/>
      <c r="F74" s="231"/>
      <c r="G74" s="232"/>
      <c r="H74" s="233">
        <f>J74/$G$13</f>
        <v>2.5618217160470899E-2</v>
      </c>
      <c r="I74" s="233" t="s">
        <v>59</v>
      </c>
      <c r="J74" s="243">
        <f>0.5*(INDEX($X$66:$X$466,MATCH($J$69,$AC$66:$AC$466))+INDEX($X$66:$X$466,MATCH($J$69,$AC$66:$AC$466)+1))</f>
        <v>12.809108580235449</v>
      </c>
      <c r="K74" s="67"/>
      <c r="L74" s="302"/>
      <c r="O74" s="36"/>
      <c r="Q74" s="25">
        <v>8</v>
      </c>
      <c r="R74" s="62">
        <v>2.2257516116370279</v>
      </c>
      <c r="S74" s="62">
        <v>2.0688997127390052</v>
      </c>
      <c r="T74" s="62">
        <v>219.99310302734375</v>
      </c>
      <c r="U74" s="62">
        <v>3.0388017799909828</v>
      </c>
      <c r="V74" s="277">
        <v>6.0776035599819653E-3</v>
      </c>
      <c r="W74" s="62">
        <v>5.862266784646749E-2</v>
      </c>
      <c r="X74" s="62">
        <v>0.23603169399941382</v>
      </c>
      <c r="Y74" s="277">
        <v>4.7206338799882762E-4</v>
      </c>
      <c r="Z74" s="62"/>
      <c r="AA74" s="277"/>
      <c r="AB74" s="62"/>
      <c r="AC74" s="201">
        <f t="shared" si="1"/>
        <v>27.575173330333982</v>
      </c>
      <c r="AD74" s="201">
        <f t="shared" si="2"/>
        <v>20.559625299098634</v>
      </c>
      <c r="AE74" s="24"/>
      <c r="AF74" s="105">
        <f t="shared" si="13"/>
        <v>105</v>
      </c>
      <c r="AG74" s="257">
        <f t="shared" si="3"/>
        <v>-6.4704761275630212</v>
      </c>
      <c r="AH74" s="106">
        <f t="shared" si="4"/>
        <v>24.148145657226706</v>
      </c>
      <c r="AI74" s="106">
        <f t="shared" si="5"/>
        <v>-3.2352380637815106</v>
      </c>
      <c r="AJ74" s="251">
        <f t="shared" si="6"/>
        <v>12.074072828613353</v>
      </c>
      <c r="AK74" s="257">
        <f t="shared" si="7"/>
        <v>0</v>
      </c>
      <c r="AL74" s="106">
        <f t="shared" si="8"/>
        <v>0</v>
      </c>
      <c r="AM74" s="106">
        <f t="shared" si="9"/>
        <v>0</v>
      </c>
      <c r="AN74" s="251">
        <f t="shared" si="10"/>
        <v>0</v>
      </c>
      <c r="AO74" s="257">
        <f t="shared" si="11"/>
        <v>-10.352761804100833</v>
      </c>
      <c r="AP74" s="251">
        <f t="shared" si="12"/>
        <v>38.637033051562732</v>
      </c>
      <c r="AQ74" s="261">
        <f>270-$K$60</f>
        <v>3</v>
      </c>
      <c r="AR74" s="197">
        <f t="shared" si="14"/>
        <v>21.834033591892961</v>
      </c>
      <c r="AS74" s="197">
        <f t="shared" si="15"/>
        <v>1.144273213342434</v>
      </c>
      <c r="AT74" s="197">
        <f t="shared" si="16"/>
        <v>14.804493278860043</v>
      </c>
      <c r="AU74" s="197">
        <f t="shared" si="17"/>
        <v>0.77587061615576425</v>
      </c>
      <c r="AW74" s="112"/>
      <c r="AX74" s="113" t="s">
        <v>39</v>
      </c>
      <c r="AY74" s="117">
        <f>($J$69+10)*(60/150)</f>
        <v>20</v>
      </c>
      <c r="AZ74" s="114"/>
      <c r="BA74" s="115">
        <f>AY72*COS(RADIANS(AY71-AY75))</f>
        <v>-0.43049269211965963</v>
      </c>
      <c r="BB74" s="116">
        <f>AY72*SIN(RADIANS(AY71-AY75))+IF($G$44=0,10000,0)</f>
        <v>-24.662909813857652</v>
      </c>
    </row>
    <row r="75" spans="1:54" s="25" customFormat="1" ht="15" customHeight="1" x14ac:dyDescent="0.2">
      <c r="A75" s="35"/>
      <c r="B75" s="34"/>
      <c r="C75" s="230" t="s">
        <v>122</v>
      </c>
      <c r="D75" s="231"/>
      <c r="E75" s="231"/>
      <c r="F75" s="231"/>
      <c r="G75" s="232"/>
      <c r="H75" s="233">
        <f>IF($I$13&lt;5000,0.05,0.04)</f>
        <v>0.05</v>
      </c>
      <c r="I75" s="233" t="s">
        <v>59</v>
      </c>
      <c r="J75" s="243">
        <f>ROUNDDOWN(H75*$G$13,1)</f>
        <v>25</v>
      </c>
      <c r="K75" s="234">
        <f>(($J$75-INDEX($U$66:$U$1066,MATCH($J$75,$U$66:$U$1066)))/(INDEX($U$66:$U$1066,MATCH($J$75,$U$66:$U$1066)+1)-INDEX($U$66:$U$1066,MATCH($J$75,$U$66:$U$1066)))*(INDEX($Q$66:$Q$1066,MATCH($J$75,$U$66:$U$1066)+1)-INDEX($Q$66:$Q$1066,MATCH($J$75,$U$66:$U$1066)))+INDEX($Q$66:$Q$1066,MATCH($J$75,$U$66:$U$1066)))</f>
        <v>82.742750089568759</v>
      </c>
      <c r="L75" s="235">
        <f t="shared" ref="L75:L78" si="19">K75/60</f>
        <v>1.3790458348261461</v>
      </c>
      <c r="O75" s="36"/>
      <c r="Q75" s="25">
        <v>9</v>
      </c>
      <c r="R75" s="62">
        <v>2.2852110195150215</v>
      </c>
      <c r="S75" s="62">
        <v>2.0871900370979786</v>
      </c>
      <c r="T75" s="62">
        <v>219.991455078125</v>
      </c>
      <c r="U75" s="62">
        <v>3.0949235296972919</v>
      </c>
      <c r="V75" s="277">
        <v>6.1898470593945839E-3</v>
      </c>
      <c r="W75" s="62">
        <v>6.5789828774429709E-2</v>
      </c>
      <c r="X75" s="62">
        <v>0.29824055428788493</v>
      </c>
      <c r="Y75" s="277">
        <v>5.9648110857576985E-4</v>
      </c>
      <c r="Z75" s="62"/>
      <c r="AA75" s="277"/>
      <c r="AB75" s="62"/>
      <c r="AC75" s="201">
        <f t="shared" si="1"/>
        <v>27.636430991190135</v>
      </c>
      <c r="AD75" s="201">
        <f t="shared" si="2"/>
        <v>20.621127640283383</v>
      </c>
      <c r="AE75" s="24"/>
      <c r="AF75" s="105">
        <f t="shared" si="13"/>
        <v>120</v>
      </c>
      <c r="AG75" s="257">
        <f t="shared" si="3"/>
        <v>-12.499999999999995</v>
      </c>
      <c r="AH75" s="106">
        <f t="shared" si="4"/>
        <v>21.650635094610969</v>
      </c>
      <c r="AI75" s="106">
        <f t="shared" si="5"/>
        <v>-6.2499999999999973</v>
      </c>
      <c r="AJ75" s="251">
        <f t="shared" si="6"/>
        <v>10.825317547305485</v>
      </c>
      <c r="AK75" s="257">
        <f t="shared" si="7"/>
        <v>0</v>
      </c>
      <c r="AL75" s="106">
        <f t="shared" si="8"/>
        <v>0</v>
      </c>
      <c r="AM75" s="106">
        <f t="shared" si="9"/>
        <v>0</v>
      </c>
      <c r="AN75" s="251">
        <f t="shared" si="10"/>
        <v>0</v>
      </c>
      <c r="AO75" s="257">
        <f t="shared" si="11"/>
        <v>-19.999999999999993</v>
      </c>
      <c r="AP75" s="251">
        <f t="shared" si="12"/>
        <v>34.641016151377549</v>
      </c>
      <c r="AQ75" s="260">
        <f>AQ74+15</f>
        <v>18</v>
      </c>
      <c r="AR75" s="197">
        <f t="shared" si="14"/>
        <v>19.931112853516147</v>
      </c>
      <c r="AS75" s="197">
        <f t="shared" si="15"/>
        <v>11.411514738622577</v>
      </c>
      <c r="AT75" s="197">
        <f t="shared" si="16"/>
        <v>12.90157254048323</v>
      </c>
      <c r="AU75" s="197">
        <f t="shared" si="17"/>
        <v>11.043112141435907</v>
      </c>
      <c r="AW75" s="118"/>
      <c r="AX75" s="119" t="s">
        <v>40</v>
      </c>
      <c r="AY75" s="120">
        <f>($J$69+10)*(3/150)</f>
        <v>1</v>
      </c>
      <c r="AZ75" s="121"/>
      <c r="BA75" s="122">
        <f>BA72</f>
        <v>-3.67544536472586E-15</v>
      </c>
      <c r="BB75" s="123">
        <f>BB72</f>
        <v>-20</v>
      </c>
    </row>
    <row r="76" spans="1:54" s="25" customFormat="1" ht="15" customHeight="1" x14ac:dyDescent="0.2">
      <c r="A76" s="35"/>
      <c r="B76" s="34"/>
      <c r="C76" s="230" t="s">
        <v>123</v>
      </c>
      <c r="D76" s="231"/>
      <c r="E76" s="231"/>
      <c r="F76" s="231"/>
      <c r="G76" s="232"/>
      <c r="H76" s="233">
        <f>0.5*H75</f>
        <v>2.5000000000000001E-2</v>
      </c>
      <c r="I76" s="233" t="s">
        <v>59</v>
      </c>
      <c r="J76" s="243">
        <f>ROUNDDOWN(H76*$G$13,1)</f>
        <v>12.5</v>
      </c>
      <c r="K76" s="234">
        <f>(($J$76-INDEX($U$66:$U$1066,MATCH($J$76,$U$66:$U$1066)))/(INDEX($U$66:$U$1066,MATCH($J$76,$U$66:$U$1066)+1)-INDEX($U$66:$U$1066,MATCH($J$76,$U$66:$U$1066)))*(INDEX($Q$66:$Q$1066,MATCH($J$76,$U$66:$U$1066)+1)-INDEX($Q$66:$Q$1066,MATCH($J$76,$U$66:$U$1066)))+INDEX($Q$66:$Q$1066,MATCH($J$76,$U$66:$U$1066)))</f>
        <v>53.77221451703214</v>
      </c>
      <c r="L76" s="235">
        <f t="shared" si="19"/>
        <v>0.89620357528386896</v>
      </c>
      <c r="O76" s="36"/>
      <c r="Q76" s="25">
        <v>10</v>
      </c>
      <c r="R76" s="62">
        <v>2.3514901808908029</v>
      </c>
      <c r="S76" s="62">
        <v>2.1076277638900631</v>
      </c>
      <c r="T76" s="62">
        <v>219.98966979980469</v>
      </c>
      <c r="U76" s="62">
        <v>3.1577841696268742</v>
      </c>
      <c r="V76" s="277">
        <v>6.3155683392537489E-3</v>
      </c>
      <c r="W76" s="62">
        <v>7.2922124531360599E-2</v>
      </c>
      <c r="X76" s="62">
        <v>0.36759907891971721</v>
      </c>
      <c r="Y76" s="277">
        <v>7.351981578394344E-4</v>
      </c>
      <c r="Z76" s="62"/>
      <c r="AA76" s="277"/>
      <c r="AB76" s="62"/>
      <c r="AC76" s="201">
        <f t="shared" si="1"/>
        <v>27.704725783909026</v>
      </c>
      <c r="AD76" s="201">
        <f t="shared" si="2"/>
        <v>20.689696355692767</v>
      </c>
      <c r="AE76" s="24"/>
      <c r="AF76" s="105">
        <f t="shared" si="13"/>
        <v>135</v>
      </c>
      <c r="AG76" s="257">
        <f t="shared" si="3"/>
        <v>-17.677669529663685</v>
      </c>
      <c r="AH76" s="106">
        <f t="shared" si="4"/>
        <v>17.677669529663689</v>
      </c>
      <c r="AI76" s="106">
        <f t="shared" si="5"/>
        <v>-8.8388347648318426</v>
      </c>
      <c r="AJ76" s="251">
        <f t="shared" si="6"/>
        <v>8.8388347648318444</v>
      </c>
      <c r="AK76" s="257">
        <f t="shared" si="7"/>
        <v>0</v>
      </c>
      <c r="AL76" s="106">
        <f t="shared" si="8"/>
        <v>0</v>
      </c>
      <c r="AM76" s="106">
        <f t="shared" si="9"/>
        <v>0</v>
      </c>
      <c r="AN76" s="251">
        <f t="shared" si="10"/>
        <v>0</v>
      </c>
      <c r="AO76" s="257">
        <f t="shared" si="11"/>
        <v>-28.284271247461898</v>
      </c>
      <c r="AP76" s="251">
        <f t="shared" si="12"/>
        <v>28.284271247461902</v>
      </c>
      <c r="AQ76" s="260">
        <f>AQ75+15</f>
        <v>33</v>
      </c>
      <c r="AR76" s="197">
        <f t="shared" si="14"/>
        <v>15.435674919526974</v>
      </c>
      <c r="AS76" s="197">
        <f t="shared" si="15"/>
        <v>20.836396364225763</v>
      </c>
      <c r="AT76" s="197">
        <f t="shared" si="16"/>
        <v>8.4061346064940565</v>
      </c>
      <c r="AU76" s="197">
        <f t="shared" si="17"/>
        <v>20.467993767039093</v>
      </c>
      <c r="AW76" s="107" t="s">
        <v>33</v>
      </c>
      <c r="AX76" s="108"/>
      <c r="AY76" s="108">
        <f>K47</f>
        <v>280</v>
      </c>
      <c r="AZ76" s="109" t="s">
        <v>29</v>
      </c>
      <c r="BA76" s="110">
        <f>AY78*COS(RADIANS(AY76))</f>
        <v>7.5247543655669649</v>
      </c>
      <c r="BB76" s="111">
        <f>AY78*SIN(RADIANS(AY76))+IF($G$47=0,10000,0)</f>
        <v>-42.675002630529015</v>
      </c>
    </row>
    <row r="77" spans="1:54" s="25" customFormat="1" ht="15" customHeight="1" x14ac:dyDescent="0.2">
      <c r="A77" s="35"/>
      <c r="B77" s="34"/>
      <c r="C77" s="230" t="s">
        <v>124</v>
      </c>
      <c r="D77" s="231"/>
      <c r="E77" s="231"/>
      <c r="F77" s="231"/>
      <c r="G77" s="232"/>
      <c r="H77" s="233">
        <f>VLOOKUP(K77,Q66:V466,6)</f>
        <v>3.360794605850758E-2</v>
      </c>
      <c r="I77" s="233" t="s">
        <v>59</v>
      </c>
      <c r="J77" s="243">
        <f>H77*$G$13</f>
        <v>16.80397302925379</v>
      </c>
      <c r="K77" s="234">
        <f>K70-K71</f>
        <v>65.93881416587304</v>
      </c>
      <c r="L77" s="235">
        <f t="shared" si="19"/>
        <v>1.098980236097884</v>
      </c>
      <c r="O77" s="36"/>
      <c r="Q77" s="25">
        <v>11</v>
      </c>
      <c r="R77" s="62">
        <v>2.4245530490271747</v>
      </c>
      <c r="S77" s="62">
        <v>2.1302117387200381</v>
      </c>
      <c r="T77" s="62">
        <v>219.98777770996094</v>
      </c>
      <c r="U77" s="62">
        <v>3.2274230493270664</v>
      </c>
      <c r="V77" s="277">
        <v>6.4548460986541328E-3</v>
      </c>
      <c r="W77" s="62">
        <v>8.0019775277590299E-2</v>
      </c>
      <c r="X77" s="62">
        <v>0.44407250347073512</v>
      </c>
      <c r="Y77" s="277">
        <v>8.881450069414702E-4</v>
      </c>
      <c r="Z77" s="62"/>
      <c r="AA77" s="277"/>
      <c r="AB77" s="62"/>
      <c r="AC77" s="201">
        <f t="shared" si="1"/>
        <v>27.780023449021634</v>
      </c>
      <c r="AD77" s="201">
        <f t="shared" si="2"/>
        <v>20.765297267641021</v>
      </c>
      <c r="AE77" s="24"/>
      <c r="AF77" s="105">
        <f t="shared" si="13"/>
        <v>150</v>
      </c>
      <c r="AG77" s="257">
        <f t="shared" si="3"/>
        <v>-21.650635094610969</v>
      </c>
      <c r="AH77" s="106">
        <f t="shared" si="4"/>
        <v>12.499999999999998</v>
      </c>
      <c r="AI77" s="106">
        <f t="shared" si="5"/>
        <v>-10.825317547305485</v>
      </c>
      <c r="AJ77" s="251">
        <f t="shared" si="6"/>
        <v>6.2499999999999991</v>
      </c>
      <c r="AK77" s="257">
        <f t="shared" si="7"/>
        <v>0</v>
      </c>
      <c r="AL77" s="106">
        <f t="shared" si="8"/>
        <v>0</v>
      </c>
      <c r="AM77" s="106">
        <f t="shared" si="9"/>
        <v>0</v>
      </c>
      <c r="AN77" s="251">
        <f t="shared" si="10"/>
        <v>0</v>
      </c>
      <c r="AO77" s="257">
        <f t="shared" si="11"/>
        <v>-34.641016151377549</v>
      </c>
      <c r="AP77" s="251">
        <f t="shared" si="12"/>
        <v>19.999999999999996</v>
      </c>
      <c r="AQ77" s="260">
        <f t="shared" ref="AQ77:AQ78" si="20">AQ76+15</f>
        <v>48</v>
      </c>
      <c r="AR77" s="197">
        <f t="shared" si="14"/>
        <v>8.6540764560643382</v>
      </c>
      <c r="AS77" s="197">
        <f t="shared" si="15"/>
        <v>28.776627982720449</v>
      </c>
      <c r="AT77" s="197">
        <f t="shared" si="16"/>
        <v>1.6245361430314205</v>
      </c>
      <c r="AU77" s="197">
        <f t="shared" si="17"/>
        <v>28.408225385533779</v>
      </c>
      <c r="AW77" s="112"/>
      <c r="AX77" s="113" t="s">
        <v>37</v>
      </c>
      <c r="AY77" s="113">
        <f>AY79+(14/150)*($J$69+10)</f>
        <v>24.666666666666668</v>
      </c>
      <c r="AZ77" s="114"/>
      <c r="BA77" s="115">
        <f>AY79*COS(RADIANS(AY76))</f>
        <v>3.4729635533385994</v>
      </c>
      <c r="BB77" s="116">
        <f>AY79*SIN(RADIANS(AY76))+IF($G$47=0,10000,0)</f>
        <v>-19.696155060244163</v>
      </c>
    </row>
    <row r="78" spans="1:54" s="25" customFormat="1" ht="15" customHeight="1" x14ac:dyDescent="0.2">
      <c r="A78" s="35"/>
      <c r="B78" s="34"/>
      <c r="C78" s="230" t="s">
        <v>128</v>
      </c>
      <c r="D78" s="231"/>
      <c r="E78" s="231"/>
      <c r="F78" s="231"/>
      <c r="G78" s="232"/>
      <c r="H78" s="233">
        <f>VLOOKUP(K78,Q66:V466,6)</f>
        <v>8.3279957834203368E-3</v>
      </c>
      <c r="I78" s="233" t="s">
        <v>59</v>
      </c>
      <c r="J78" s="243">
        <f>H78*$G$13</f>
        <v>4.1639978917101681</v>
      </c>
      <c r="K78" s="234">
        <f>MAX(K77-K72,0)</f>
        <v>20.93881416587304</v>
      </c>
      <c r="L78" s="235">
        <f t="shared" si="19"/>
        <v>0.34898023609788403</v>
      </c>
      <c r="O78" s="36"/>
      <c r="Q78" s="25">
        <v>12</v>
      </c>
      <c r="R78" s="62">
        <v>2.5043638158066401</v>
      </c>
      <c r="S78" s="62">
        <v>2.1549407298032479</v>
      </c>
      <c r="T78" s="62">
        <v>219.98577880859375</v>
      </c>
      <c r="U78" s="62">
        <v>3.3038776719010876</v>
      </c>
      <c r="V78" s="277">
        <v>6.607755343802175E-3</v>
      </c>
      <c r="W78" s="62">
        <v>8.7082990074516115E-2</v>
      </c>
      <c r="X78" s="62">
        <v>0.52762627725218303</v>
      </c>
      <c r="Y78" s="277">
        <v>1.055252554504366E-3</v>
      </c>
      <c r="Z78" s="62"/>
      <c r="AA78" s="277"/>
      <c r="AB78" s="62"/>
      <c r="AC78" s="201">
        <f t="shared" si="1"/>
        <v>27.862290113831826</v>
      </c>
      <c r="AD78" s="201">
        <f t="shared" si="2"/>
        <v>20.847896577798352</v>
      </c>
      <c r="AE78" s="24"/>
      <c r="AF78" s="105">
        <f t="shared" si="13"/>
        <v>165</v>
      </c>
      <c r="AG78" s="257">
        <f t="shared" si="3"/>
        <v>-24.148145657226706</v>
      </c>
      <c r="AH78" s="106">
        <f t="shared" si="4"/>
        <v>6.4704761275630256</v>
      </c>
      <c r="AI78" s="106">
        <f t="shared" si="5"/>
        <v>-12.074072828613353</v>
      </c>
      <c r="AJ78" s="251">
        <f t="shared" si="6"/>
        <v>3.2352380637815128</v>
      </c>
      <c r="AK78" s="257">
        <f t="shared" si="7"/>
        <v>0</v>
      </c>
      <c r="AL78" s="106">
        <f t="shared" si="8"/>
        <v>0</v>
      </c>
      <c r="AM78" s="106">
        <f t="shared" si="9"/>
        <v>0</v>
      </c>
      <c r="AN78" s="251">
        <f t="shared" si="10"/>
        <v>0</v>
      </c>
      <c r="AO78" s="257">
        <f t="shared" si="11"/>
        <v>-38.637033051562724</v>
      </c>
      <c r="AP78" s="251">
        <f t="shared" si="12"/>
        <v>10.35276180410084</v>
      </c>
      <c r="AQ78" s="245">
        <f t="shared" si="20"/>
        <v>63</v>
      </c>
      <c r="AR78" s="198">
        <f t="shared" si="14"/>
        <v>4.8472191291882183E-2</v>
      </c>
      <c r="AS78" s="198">
        <f t="shared" si="15"/>
        <v>34.691095931159396</v>
      </c>
      <c r="AT78" s="198">
        <f t="shared" si="16"/>
        <v>-6.9810681217410355</v>
      </c>
      <c r="AU78" s="198">
        <f t="shared" si="17"/>
        <v>34.322693333972722</v>
      </c>
      <c r="AW78" s="112"/>
      <c r="AX78" s="113" t="s">
        <v>38</v>
      </c>
      <c r="AY78" s="117">
        <f>($J$69+10)*(100/150)+10</f>
        <v>43.333333333333329</v>
      </c>
      <c r="AZ78" s="114"/>
      <c r="BA78" s="115">
        <f>AY77*COS(RADIANS(AY76+AY80))</f>
        <v>4.7066218859547799</v>
      </c>
      <c r="BB78" s="116">
        <f>AY77*SIN(RADIANS(AY76+AY80))+IF($G$47=0, 10000,0)</f>
        <v>-24.213470525042375</v>
      </c>
    </row>
    <row r="79" spans="1:54" s="25" customFormat="1" ht="15" customHeight="1" thickBot="1" x14ac:dyDescent="0.25">
      <c r="A79" s="35"/>
      <c r="B79" s="39"/>
      <c r="C79" s="236"/>
      <c r="D79" s="40"/>
      <c r="E79" s="40"/>
      <c r="F79" s="40"/>
      <c r="G79" s="40"/>
      <c r="H79" s="40"/>
      <c r="I79" s="40"/>
      <c r="J79" s="40"/>
      <c r="K79" s="40"/>
      <c r="L79" s="40"/>
      <c r="M79" s="40"/>
      <c r="N79" s="40"/>
      <c r="O79" s="41"/>
      <c r="Q79" s="25">
        <v>13</v>
      </c>
      <c r="R79" s="62">
        <v>2.5908869017849576</v>
      </c>
      <c r="S79" s="62">
        <v>2.1818134238657598</v>
      </c>
      <c r="T79" s="62">
        <v>219.98368835449219</v>
      </c>
      <c r="U79" s="62">
        <v>3.3871824211875103</v>
      </c>
      <c r="V79" s="277">
        <v>6.774364842375021E-3</v>
      </c>
      <c r="W79" s="62">
        <v>9.4111967063121291E-2</v>
      </c>
      <c r="X79" s="62">
        <v>0.61822605234559358</v>
      </c>
      <c r="Y79" s="277">
        <v>1.2364521046911872E-3</v>
      </c>
      <c r="Z79" s="62"/>
      <c r="AA79" s="277"/>
      <c r="AB79" s="62"/>
      <c r="AC79" s="201">
        <f t="shared" si="1"/>
        <v>27.951492276669466</v>
      </c>
      <c r="AD79" s="201">
        <f t="shared" si="2"/>
        <v>20.937460849912078</v>
      </c>
      <c r="AE79" s="24"/>
      <c r="AF79" s="105">
        <f t="shared" si="13"/>
        <v>180</v>
      </c>
      <c r="AG79" s="257">
        <f t="shared" si="3"/>
        <v>-25</v>
      </c>
      <c r="AH79" s="106">
        <f t="shared" si="4"/>
        <v>3.06287113727155E-15</v>
      </c>
      <c r="AI79" s="106">
        <f t="shared" si="5"/>
        <v>-12.5</v>
      </c>
      <c r="AJ79" s="251">
        <f t="shared" si="6"/>
        <v>1.531435568635775E-15</v>
      </c>
      <c r="AK79" s="257">
        <f t="shared" si="7"/>
        <v>0</v>
      </c>
      <c r="AL79" s="106">
        <f t="shared" si="8"/>
        <v>0</v>
      </c>
      <c r="AM79" s="106">
        <f t="shared" si="9"/>
        <v>0</v>
      </c>
      <c r="AN79" s="251">
        <f t="shared" si="10"/>
        <v>0</v>
      </c>
      <c r="AO79" s="257">
        <f t="shared" si="11"/>
        <v>-40</v>
      </c>
      <c r="AP79" s="251">
        <f t="shared" si="12"/>
        <v>4.90059381963448E-15</v>
      </c>
      <c r="AQ79" s="196"/>
      <c r="AR79" s="196"/>
      <c r="AS79" s="196"/>
      <c r="AT79" s="196"/>
      <c r="AU79" s="196"/>
      <c r="AW79" s="112"/>
      <c r="AX79" s="113" t="s">
        <v>39</v>
      </c>
      <c r="AY79" s="117">
        <f>($J$69+10)*(60/150)</f>
        <v>20</v>
      </c>
      <c r="AZ79" s="114"/>
      <c r="BA79" s="115">
        <f>AY77*COS(RADIANS(AY76-AY80))</f>
        <v>3.8587168043256903</v>
      </c>
      <c r="BB79" s="116">
        <f>AY77*SIN(RADIANS(AY76-AY80))+IF($G$47=0,10000,0)</f>
        <v>-24.362979068013399</v>
      </c>
    </row>
    <row r="80" spans="1:54" s="25" customFormat="1" ht="15" customHeight="1" x14ac:dyDescent="0.2">
      <c r="A80" s="35"/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Q80" s="25">
        <v>14</v>
      </c>
      <c r="R80" s="62">
        <v>2.6840869464065431</v>
      </c>
      <c r="S80" s="62">
        <v>2.2108284221252106</v>
      </c>
      <c r="T80" s="62">
        <v>219.98152160644531</v>
      </c>
      <c r="U80" s="62">
        <v>3.4773675457084847</v>
      </c>
      <c r="V80" s="277">
        <v>6.9547350914169696E-3</v>
      </c>
      <c r="W80" s="62">
        <v>0.10110689363674233</v>
      </c>
      <c r="X80" s="62">
        <v>0.71583767281391009</v>
      </c>
      <c r="Y80" s="277">
        <v>1.4316753456278201E-3</v>
      </c>
      <c r="Z80" s="62"/>
      <c r="AA80" s="277"/>
      <c r="AB80" s="62"/>
      <c r="AC80" s="201">
        <f t="shared" si="1"/>
        <v>28.047596790795325</v>
      </c>
      <c r="AD80" s="201">
        <f t="shared" si="2"/>
        <v>21.033956992083066</v>
      </c>
      <c r="AE80" s="24"/>
      <c r="AF80" s="105">
        <f t="shared" si="13"/>
        <v>195</v>
      </c>
      <c r="AG80" s="257">
        <f t="shared" si="3"/>
        <v>-24.148145657226706</v>
      </c>
      <c r="AH80" s="106">
        <f t="shared" si="4"/>
        <v>-6.4704761275630203</v>
      </c>
      <c r="AI80" s="106">
        <f t="shared" si="5"/>
        <v>-12.074072828613353</v>
      </c>
      <c r="AJ80" s="251">
        <f t="shared" si="6"/>
        <v>-3.2352380637815101</v>
      </c>
      <c r="AK80" s="257">
        <f t="shared" si="7"/>
        <v>0</v>
      </c>
      <c r="AL80" s="106">
        <f t="shared" si="8"/>
        <v>0</v>
      </c>
      <c r="AM80" s="106">
        <f t="shared" si="9"/>
        <v>0</v>
      </c>
      <c r="AN80" s="251">
        <f t="shared" si="10"/>
        <v>0</v>
      </c>
      <c r="AO80" s="257">
        <f t="shared" si="11"/>
        <v>-38.637033051562732</v>
      </c>
      <c r="AP80" s="251">
        <f t="shared" si="12"/>
        <v>-10.352761804100831</v>
      </c>
      <c r="AQ80" s="271" t="s">
        <v>181</v>
      </c>
      <c r="AR80" s="271"/>
      <c r="AS80" s="271"/>
      <c r="AT80" s="196"/>
      <c r="AU80" s="196"/>
      <c r="AW80" s="118"/>
      <c r="AX80" s="119" t="s">
        <v>40</v>
      </c>
      <c r="AY80" s="120">
        <f>($J$69+10)*(3/150)</f>
        <v>1</v>
      </c>
      <c r="AZ80" s="121"/>
      <c r="BA80" s="122">
        <f>BA77</f>
        <v>3.4729635533385994</v>
      </c>
      <c r="BB80" s="123">
        <f>BB77</f>
        <v>-19.696155060244163</v>
      </c>
    </row>
    <row r="81" spans="1:54" s="25" customFormat="1" ht="15" customHeight="1" x14ac:dyDescent="0.2">
      <c r="A81" s="35"/>
      <c r="B81" s="35"/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24"/>
      <c r="Q81" s="25">
        <v>15</v>
      </c>
      <c r="R81" s="62">
        <v>2.7839287983771572</v>
      </c>
      <c r="S81" s="62">
        <v>2.2419842363471916</v>
      </c>
      <c r="T81" s="62">
        <v>219.97927856445312</v>
      </c>
      <c r="U81" s="62">
        <v>3.5744584023965058</v>
      </c>
      <c r="V81" s="277">
        <v>7.1489168047930117E-3</v>
      </c>
      <c r="W81" s="62">
        <v>0.10806794660839573</v>
      </c>
      <c r="X81" s="62">
        <v>0.82042716408319094</v>
      </c>
      <c r="Y81" s="277">
        <v>1.6408543281663818E-3</v>
      </c>
      <c r="Z81" s="62"/>
      <c r="AA81" s="277"/>
      <c r="AB81" s="62"/>
      <c r="AC81" s="201">
        <f t="shared" si="1"/>
        <v>28.150570847996686</v>
      </c>
      <c r="AD81" s="201">
        <f t="shared" si="2"/>
        <v>21.137352238664725</v>
      </c>
      <c r="AE81" s="24"/>
      <c r="AF81" s="105">
        <f t="shared" si="13"/>
        <v>210</v>
      </c>
      <c r="AG81" s="257">
        <f t="shared" si="3"/>
        <v>-21.650635094610966</v>
      </c>
      <c r="AH81" s="106">
        <f t="shared" si="4"/>
        <v>-12.500000000000004</v>
      </c>
      <c r="AI81" s="106">
        <f t="shared" si="5"/>
        <v>-10.825317547305483</v>
      </c>
      <c r="AJ81" s="251">
        <f t="shared" si="6"/>
        <v>-6.2500000000000018</v>
      </c>
      <c r="AK81" s="257">
        <f t="shared" si="7"/>
        <v>0</v>
      </c>
      <c r="AL81" s="106">
        <f t="shared" si="8"/>
        <v>0</v>
      </c>
      <c r="AM81" s="106">
        <f t="shared" si="9"/>
        <v>0</v>
      </c>
      <c r="AN81" s="251">
        <f t="shared" si="10"/>
        <v>0</v>
      </c>
      <c r="AO81" s="257">
        <f t="shared" si="11"/>
        <v>-34.641016151377542</v>
      </c>
      <c r="AP81" s="251">
        <f t="shared" si="12"/>
        <v>-20.000000000000004</v>
      </c>
      <c r="AQ81" s="196"/>
      <c r="AR81" s="196"/>
      <c r="AS81" s="196"/>
      <c r="AT81" s="196"/>
      <c r="AU81" s="196"/>
      <c r="AW81" s="107" t="s">
        <v>24</v>
      </c>
      <c r="AX81" s="108"/>
      <c r="AY81" s="108">
        <f>K46</f>
        <v>200</v>
      </c>
      <c r="AZ81" s="109" t="s">
        <v>29</v>
      </c>
      <c r="BA81" s="110">
        <f>AY83*COS(RADIANS(AY81))</f>
        <v>-40.720013567389358</v>
      </c>
      <c r="BB81" s="111">
        <f>AY83*SIN(RADIANS(AY81))+IF($G$46=0,10000,0)</f>
        <v>-14.820872877445641</v>
      </c>
    </row>
    <row r="82" spans="1:54" s="25" customFormat="1" ht="15" customHeight="1" x14ac:dyDescent="0.2">
      <c r="A82" s="35"/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24"/>
      <c r="Q82" s="25">
        <v>16</v>
      </c>
      <c r="R82" s="62">
        <v>2.8903775061895671</v>
      </c>
      <c r="S82" s="62">
        <v>2.2752792849723686</v>
      </c>
      <c r="T82" s="62">
        <v>219.97698974609375</v>
      </c>
      <c r="U82" s="62">
        <v>3.6784749493385154</v>
      </c>
      <c r="V82" s="277">
        <v>7.356949898677031E-3</v>
      </c>
      <c r="W82" s="62">
        <v>0.11499529237296793</v>
      </c>
      <c r="X82" s="62">
        <v>0.93196072248955386</v>
      </c>
      <c r="Y82" s="277">
        <v>1.8639214449791078E-3</v>
      </c>
      <c r="Z82" s="62"/>
      <c r="AA82" s="277"/>
      <c r="AB82" s="62"/>
      <c r="AC82" s="201">
        <f t="shared" si="1"/>
        <v>28.260381961914668</v>
      </c>
      <c r="AD82" s="201">
        <f t="shared" si="2"/>
        <v>21.24761413185411</v>
      </c>
      <c r="AE82" s="24"/>
      <c r="AF82" s="105">
        <f t="shared" si="13"/>
        <v>225</v>
      </c>
      <c r="AG82" s="257">
        <f t="shared" si="3"/>
        <v>-17.677669529663692</v>
      </c>
      <c r="AH82" s="106">
        <f t="shared" si="4"/>
        <v>-17.677669529663685</v>
      </c>
      <c r="AI82" s="106">
        <f t="shared" si="5"/>
        <v>-8.8388347648318462</v>
      </c>
      <c r="AJ82" s="251">
        <f t="shared" si="6"/>
        <v>-8.8388347648318426</v>
      </c>
      <c r="AK82" s="257">
        <f t="shared" si="7"/>
        <v>0</v>
      </c>
      <c r="AL82" s="106">
        <f t="shared" si="8"/>
        <v>0</v>
      </c>
      <c r="AM82" s="106">
        <f t="shared" si="9"/>
        <v>0</v>
      </c>
      <c r="AN82" s="251">
        <f t="shared" si="10"/>
        <v>0</v>
      </c>
      <c r="AO82" s="257">
        <f t="shared" si="11"/>
        <v>-28.284271247461909</v>
      </c>
      <c r="AP82" s="251">
        <f t="shared" si="12"/>
        <v>-28.284271247461898</v>
      </c>
      <c r="AQ82" s="196"/>
      <c r="AT82" s="196"/>
      <c r="AU82" s="196"/>
      <c r="AW82" s="112"/>
      <c r="AX82" s="113" t="s">
        <v>37</v>
      </c>
      <c r="AY82" s="113">
        <f>AY84+(14/150)*($J$69+10)</f>
        <v>24.666666666666668</v>
      </c>
      <c r="AZ82" s="114"/>
      <c r="BA82" s="115">
        <f>AY84*COS(RADIANS(AY81))</f>
        <v>-18.79385241571817</v>
      </c>
      <c r="BB82" s="116">
        <f>AY84*SIN(RADIANS(AY81))+IF($G$46=0,10000,0)</f>
        <v>-6.8404028665133731</v>
      </c>
    </row>
    <row r="83" spans="1:54" s="25" customFormat="1" ht="15" customHeight="1" x14ac:dyDescent="0.2">
      <c r="A83" s="35"/>
      <c r="B83" s="35"/>
      <c r="C83" s="35"/>
      <c r="D83" s="35"/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24"/>
      <c r="Q83" s="25">
        <v>17</v>
      </c>
      <c r="R83" s="62">
        <v>3.0033983087980856</v>
      </c>
      <c r="S83" s="62">
        <v>2.3107118893098479</v>
      </c>
      <c r="T83" s="62">
        <v>219.97463989257812</v>
      </c>
      <c r="U83" s="62">
        <v>3.789431466155456</v>
      </c>
      <c r="V83" s="277">
        <v>7.5788629323109121E-3</v>
      </c>
      <c r="W83" s="62">
        <v>0.12188908706456444</v>
      </c>
      <c r="X83" s="62">
        <v>1.0504047049862988</v>
      </c>
      <c r="Y83" s="277">
        <v>2.1008094099725975E-3</v>
      </c>
      <c r="Z83" s="62"/>
      <c r="AA83" s="277"/>
      <c r="AB83" s="62"/>
      <c r="AC83" s="201">
        <f t="shared" si="1"/>
        <v>28.37699795114575</v>
      </c>
      <c r="AD83" s="201">
        <f t="shared" si="2"/>
        <v>21.364710503045973</v>
      </c>
      <c r="AE83" s="24"/>
      <c r="AF83" s="105">
        <f t="shared" si="13"/>
        <v>240</v>
      </c>
      <c r="AG83" s="257">
        <f t="shared" si="3"/>
        <v>-12.500000000000011</v>
      </c>
      <c r="AH83" s="106">
        <f t="shared" si="4"/>
        <v>-21.650635094610958</v>
      </c>
      <c r="AI83" s="106">
        <f t="shared" si="5"/>
        <v>-6.2500000000000053</v>
      </c>
      <c r="AJ83" s="251">
        <f t="shared" si="6"/>
        <v>-10.825317547305479</v>
      </c>
      <c r="AK83" s="257">
        <f t="shared" si="7"/>
        <v>0</v>
      </c>
      <c r="AL83" s="106">
        <f t="shared" si="8"/>
        <v>0</v>
      </c>
      <c r="AM83" s="106">
        <f t="shared" si="9"/>
        <v>0</v>
      </c>
      <c r="AN83" s="251">
        <f t="shared" si="10"/>
        <v>0</v>
      </c>
      <c r="AO83" s="257">
        <f t="shared" si="11"/>
        <v>-20.000000000000018</v>
      </c>
      <c r="AP83" s="251">
        <f t="shared" si="12"/>
        <v>-34.641016151377535</v>
      </c>
      <c r="AQ83" s="196"/>
      <c r="AT83" s="196"/>
      <c r="AU83" s="196"/>
      <c r="AW83" s="112"/>
      <c r="AX83" s="113" t="s">
        <v>38</v>
      </c>
      <c r="AY83" s="117">
        <f>($J$69+10)*(100/150)+10</f>
        <v>43.333333333333329</v>
      </c>
      <c r="AZ83" s="114"/>
      <c r="BA83" s="115">
        <f>AY82*COS(RADIANS(AY81+AY85))</f>
        <v>-23.028317186930977</v>
      </c>
      <c r="BB83" s="116">
        <f>AY82*SIN(RADIANS(AY81+AY85))+IF($G$46=0,10000,0)</f>
        <v>-8.8397427554507448</v>
      </c>
    </row>
    <row r="84" spans="1:54" s="25" customFormat="1" ht="15" customHeight="1" x14ac:dyDescent="0.2">
      <c r="A84" s="35"/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24"/>
      <c r="Q84" s="25">
        <v>18</v>
      </c>
      <c r="R84" s="62">
        <v>3.1229566264381323</v>
      </c>
      <c r="S84" s="62">
        <v>2.3482802697926437</v>
      </c>
      <c r="T84" s="62">
        <v>219.97227478027344</v>
      </c>
      <c r="U84" s="62">
        <v>3.9073364733679199</v>
      </c>
      <c r="V84" s="277">
        <v>7.814672946735839E-3</v>
      </c>
      <c r="W84" s="62">
        <v>0.12874947670930761</v>
      </c>
      <c r="X84" s="62">
        <v>1.1757256190064704</v>
      </c>
      <c r="Y84" s="277">
        <v>2.351451238012941E-3</v>
      </c>
      <c r="Z84" s="62"/>
      <c r="AA84" s="277"/>
      <c r="AB84" s="62"/>
      <c r="AC84" s="201">
        <f t="shared" si="1"/>
        <v>28.500386922161198</v>
      </c>
      <c r="AD84" s="201">
        <f t="shared" si="2"/>
        <v>21.488609454020693</v>
      </c>
      <c r="AE84" s="24"/>
      <c r="AF84" s="105">
        <f t="shared" si="13"/>
        <v>255</v>
      </c>
      <c r="AG84" s="257">
        <f t="shared" si="3"/>
        <v>-6.4704761275630158</v>
      </c>
      <c r="AH84" s="106">
        <f t="shared" si="4"/>
        <v>-24.148145657226706</v>
      </c>
      <c r="AI84" s="106">
        <f t="shared" si="5"/>
        <v>-3.2352380637815079</v>
      </c>
      <c r="AJ84" s="251">
        <f t="shared" si="6"/>
        <v>-12.074072828613353</v>
      </c>
      <c r="AK84" s="257">
        <f t="shared" si="7"/>
        <v>0</v>
      </c>
      <c r="AL84" s="106">
        <f t="shared" si="8"/>
        <v>0</v>
      </c>
      <c r="AM84" s="106">
        <f t="shared" si="9"/>
        <v>0</v>
      </c>
      <c r="AN84" s="251">
        <f t="shared" si="10"/>
        <v>0</v>
      </c>
      <c r="AO84" s="257">
        <f t="shared" si="11"/>
        <v>-10.352761804100826</v>
      </c>
      <c r="AP84" s="251">
        <f t="shared" si="12"/>
        <v>-38.637033051562732</v>
      </c>
      <c r="AQ84" s="196"/>
      <c r="AT84" s="196"/>
      <c r="AU84" s="196"/>
      <c r="AW84" s="112"/>
      <c r="AX84" s="113" t="s">
        <v>39</v>
      </c>
      <c r="AY84" s="117">
        <f>($J$69+10)*(60/150)</f>
        <v>20</v>
      </c>
      <c r="AZ84" s="114"/>
      <c r="BA84" s="115">
        <f>AY82*COS(RADIANS(AY81-AY85))</f>
        <v>-23.322791531449813</v>
      </c>
      <c r="BB84" s="116">
        <f>AY82*SIN(RADIANS(AY81-AY85))+IF($G$46=0,10000,0)</f>
        <v>-8.0306811432765333</v>
      </c>
    </row>
    <row r="85" spans="1:54" s="25" customFormat="1" ht="15" customHeight="1" x14ac:dyDescent="0.2">
      <c r="A85" s="35"/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24"/>
      <c r="Q85" s="25">
        <v>19</v>
      </c>
      <c r="R85" s="62">
        <v>3.2490180515871727</v>
      </c>
      <c r="S85" s="62">
        <v>2.3879825422913927</v>
      </c>
      <c r="T85" s="62">
        <v>219.96987915039063</v>
      </c>
      <c r="U85" s="62">
        <v>4.0321928180368269</v>
      </c>
      <c r="V85" s="277">
        <v>8.0643856360736541E-3</v>
      </c>
      <c r="W85" s="62">
        <v>0.13557659737386632</v>
      </c>
      <c r="X85" s="62">
        <v>1.3078901124763922</v>
      </c>
      <c r="Y85" s="277">
        <v>2.6157802249527845E-3</v>
      </c>
      <c r="Z85" s="62"/>
      <c r="AA85" s="277"/>
      <c r="AB85" s="62"/>
      <c r="AC85" s="201">
        <f t="shared" si="1"/>
        <v>28.630517252088577</v>
      </c>
      <c r="AD85" s="201">
        <f t="shared" si="2"/>
        <v>21.61927933803668</v>
      </c>
      <c r="AE85" s="24"/>
      <c r="AF85" s="105">
        <f t="shared" si="13"/>
        <v>270</v>
      </c>
      <c r="AG85" s="257">
        <f t="shared" si="3"/>
        <v>-4.594306705907325E-15</v>
      </c>
      <c r="AH85" s="106">
        <f t="shared" si="4"/>
        <v>-25</v>
      </c>
      <c r="AI85" s="106">
        <f t="shared" si="5"/>
        <v>-2.2971533529536625E-15</v>
      </c>
      <c r="AJ85" s="251">
        <f t="shared" si="6"/>
        <v>-12.5</v>
      </c>
      <c r="AK85" s="257">
        <f t="shared" si="7"/>
        <v>0</v>
      </c>
      <c r="AL85" s="106">
        <f t="shared" si="8"/>
        <v>0</v>
      </c>
      <c r="AM85" s="106">
        <f t="shared" si="9"/>
        <v>0</v>
      </c>
      <c r="AN85" s="251">
        <f t="shared" si="10"/>
        <v>0</v>
      </c>
      <c r="AO85" s="257">
        <f t="shared" si="11"/>
        <v>-7.3508907294517201E-15</v>
      </c>
      <c r="AP85" s="251">
        <f t="shared" si="12"/>
        <v>-40</v>
      </c>
      <c r="AQ85" s="196"/>
      <c r="AT85" s="196"/>
      <c r="AU85" s="196"/>
      <c r="AW85" s="118"/>
      <c r="AX85" s="119" t="s">
        <v>40</v>
      </c>
      <c r="AY85" s="120">
        <f>($J$69+10)*(3/150)</f>
        <v>1</v>
      </c>
      <c r="AZ85" s="121"/>
      <c r="BA85" s="122">
        <f>BA82</f>
        <v>-18.79385241571817</v>
      </c>
      <c r="BB85" s="123">
        <f>BB82</f>
        <v>-6.8404028665133731</v>
      </c>
    </row>
    <row r="86" spans="1:54" s="25" customFormat="1" ht="15" customHeight="1" x14ac:dyDescent="0.2">
      <c r="A86" s="35"/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24"/>
      <c r="Q86" s="25">
        <v>20</v>
      </c>
      <c r="R86" s="62">
        <v>3.3815483400635999</v>
      </c>
      <c r="S86" s="62">
        <v>2.4298167144827691</v>
      </c>
      <c r="T86" s="62">
        <v>219.96748352050781</v>
      </c>
      <c r="U86" s="62">
        <v>4.1639978917101681</v>
      </c>
      <c r="V86" s="277">
        <v>8.3279957834203368E-3</v>
      </c>
      <c r="W86" s="62">
        <v>0.142370575309994</v>
      </c>
      <c r="X86" s="62">
        <v>1.4468649639759927</v>
      </c>
      <c r="Y86" s="277">
        <v>2.8937299279519855E-3</v>
      </c>
      <c r="Z86" s="62"/>
      <c r="AA86" s="277"/>
      <c r="AB86" s="62"/>
      <c r="AC86" s="201">
        <f t="shared" si="1"/>
        <v>28.767357571399778</v>
      </c>
      <c r="AD86" s="201">
        <f t="shared" si="2"/>
        <v>21.756688740896013</v>
      </c>
      <c r="AE86" s="24"/>
      <c r="AF86" s="105">
        <f t="shared" si="13"/>
        <v>285</v>
      </c>
      <c r="AG86" s="257">
        <f t="shared" si="3"/>
        <v>6.4704761275630069</v>
      </c>
      <c r="AH86" s="106">
        <f t="shared" si="4"/>
        <v>-24.14814565722671</v>
      </c>
      <c r="AI86" s="106">
        <f t="shared" si="5"/>
        <v>3.2352380637815035</v>
      </c>
      <c r="AJ86" s="251">
        <f t="shared" si="6"/>
        <v>-12.074072828613355</v>
      </c>
      <c r="AK86" s="257">
        <f t="shared" si="7"/>
        <v>0</v>
      </c>
      <c r="AL86" s="106">
        <f t="shared" si="8"/>
        <v>0</v>
      </c>
      <c r="AM86" s="106">
        <f t="shared" si="9"/>
        <v>0</v>
      </c>
      <c r="AN86" s="251">
        <f t="shared" si="10"/>
        <v>0</v>
      </c>
      <c r="AO86" s="257">
        <f t="shared" si="11"/>
        <v>10.352761804100812</v>
      </c>
      <c r="AP86" s="251">
        <f t="shared" si="12"/>
        <v>-38.637033051562739</v>
      </c>
      <c r="AQ86" s="196"/>
      <c r="AT86" s="196"/>
      <c r="AU86" s="196"/>
      <c r="AW86" s="107" t="s">
        <v>191</v>
      </c>
      <c r="AX86" s="108"/>
      <c r="AY86" s="108">
        <f>K50</f>
        <v>210</v>
      </c>
      <c r="AZ86" s="109" t="s">
        <v>29</v>
      </c>
      <c r="BA86" s="110">
        <f>AY88*COS(RADIANS(AY86))</f>
        <v>-28.867513459481284</v>
      </c>
      <c r="BB86" s="111">
        <f>AY88*SIN(RADIANS(AY86))+IF($G$50=0,10000,0)</f>
        <v>-16.666666666666668</v>
      </c>
    </row>
    <row r="87" spans="1:54" s="25" customFormat="1" ht="15" customHeight="1" x14ac:dyDescent="0.2">
      <c r="A87" s="35"/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24"/>
      <c r="Q87" s="25">
        <v>21</v>
      </c>
      <c r="R87" s="62">
        <v>3.5205134022603466</v>
      </c>
      <c r="S87" s="62">
        <v>2.4737806822693398</v>
      </c>
      <c r="T87" s="62">
        <v>219.965087890625</v>
      </c>
      <c r="U87" s="62">
        <v>4.3027439476993843</v>
      </c>
      <c r="V87" s="277">
        <v>8.6054878953987692E-3</v>
      </c>
      <c r="W87" s="62">
        <v>0.14913152709534644</v>
      </c>
      <c r="X87" s="62">
        <v>1.5926170730420215</v>
      </c>
      <c r="Y87" s="277">
        <v>3.1852341460840432E-3</v>
      </c>
      <c r="Z87" s="62"/>
      <c r="AA87" s="277"/>
      <c r="AB87" s="62"/>
      <c r="AC87" s="201">
        <f t="shared" si="1"/>
        <v>28.910876746549629</v>
      </c>
      <c r="AD87" s="201">
        <f t="shared" si="2"/>
        <v>21.900806462050266</v>
      </c>
      <c r="AE87" s="24"/>
      <c r="AF87" s="105">
        <f t="shared" si="13"/>
        <v>300</v>
      </c>
      <c r="AG87" s="257">
        <f t="shared" si="3"/>
        <v>12.500000000000004</v>
      </c>
      <c r="AH87" s="106">
        <f t="shared" si="4"/>
        <v>-21.650635094610966</v>
      </c>
      <c r="AI87" s="106">
        <f t="shared" si="5"/>
        <v>6.2500000000000018</v>
      </c>
      <c r="AJ87" s="251">
        <f t="shared" si="6"/>
        <v>-10.825317547305483</v>
      </c>
      <c r="AK87" s="257">
        <f t="shared" si="7"/>
        <v>0</v>
      </c>
      <c r="AL87" s="106">
        <f t="shared" si="8"/>
        <v>0</v>
      </c>
      <c r="AM87" s="106">
        <f t="shared" si="9"/>
        <v>0</v>
      </c>
      <c r="AN87" s="251">
        <f t="shared" si="10"/>
        <v>0</v>
      </c>
      <c r="AO87" s="257">
        <f t="shared" si="11"/>
        <v>20.000000000000004</v>
      </c>
      <c r="AP87" s="251">
        <f t="shared" si="12"/>
        <v>-34.641016151377542</v>
      </c>
      <c r="AQ87" s="196"/>
      <c r="AT87" s="196"/>
      <c r="AU87" s="196"/>
      <c r="AW87" s="112"/>
      <c r="AX87" s="113" t="s">
        <v>37</v>
      </c>
      <c r="AY87" s="113">
        <f>AY89+(14/150)*($J$69+10)</f>
        <v>24.666666666666668</v>
      </c>
      <c r="AZ87" s="114"/>
      <c r="BA87" s="115">
        <f>AY89*COS(RADIANS(AY86))</f>
        <v>-17.320508075688771</v>
      </c>
      <c r="BB87" s="116">
        <f>AY89*SIN(RADIANS(AY86))+IF($G$50=0,10000,0)</f>
        <v>-10.000000000000002</v>
      </c>
    </row>
    <row r="88" spans="1:54" s="25" customFormat="1" ht="15" customHeight="1" x14ac:dyDescent="0.2">
      <c r="A88" s="35"/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24"/>
      <c r="Q88" s="25">
        <v>22</v>
      </c>
      <c r="R88" s="62">
        <v>3.6658792945102103</v>
      </c>
      <c r="S88" s="62">
        <v>2.5198722262478674</v>
      </c>
      <c r="T88" s="62">
        <v>219.96270751953125</v>
      </c>
      <c r="U88" s="62">
        <v>4.448418487342896</v>
      </c>
      <c r="V88" s="277">
        <v>8.8968369746857921E-3</v>
      </c>
      <c r="W88" s="62">
        <v>0.15585955977084492</v>
      </c>
      <c r="X88" s="62">
        <v>1.7451134506105184</v>
      </c>
      <c r="Y88" s="277">
        <v>3.490226901221037E-3</v>
      </c>
      <c r="Z88" s="62"/>
      <c r="AA88" s="277"/>
      <c r="AB88" s="62"/>
      <c r="AC88" s="201">
        <f t="shared" si="1"/>
        <v>29.061043862608663</v>
      </c>
      <c r="AD88" s="201">
        <f t="shared" si="2"/>
        <v>22.051601495810282</v>
      </c>
      <c r="AE88" s="24"/>
      <c r="AF88" s="105">
        <f t="shared" si="13"/>
        <v>315</v>
      </c>
      <c r="AG88" s="257">
        <f t="shared" si="3"/>
        <v>17.677669529663685</v>
      </c>
      <c r="AH88" s="106">
        <f t="shared" si="4"/>
        <v>-17.677669529663692</v>
      </c>
      <c r="AI88" s="106">
        <f t="shared" si="5"/>
        <v>8.8388347648318426</v>
      </c>
      <c r="AJ88" s="251">
        <f t="shared" si="6"/>
        <v>-8.8388347648318462</v>
      </c>
      <c r="AK88" s="257">
        <f t="shared" si="7"/>
        <v>0</v>
      </c>
      <c r="AL88" s="106">
        <f t="shared" si="8"/>
        <v>0</v>
      </c>
      <c r="AM88" s="106">
        <f t="shared" si="9"/>
        <v>0</v>
      </c>
      <c r="AN88" s="251">
        <f t="shared" si="10"/>
        <v>0</v>
      </c>
      <c r="AO88" s="257">
        <f t="shared" si="11"/>
        <v>28.284271247461895</v>
      </c>
      <c r="AP88" s="251">
        <f t="shared" si="12"/>
        <v>-28.284271247461909</v>
      </c>
      <c r="AQ88" s="196"/>
      <c r="AT88" s="196"/>
      <c r="AU88" s="196"/>
      <c r="AW88" s="112"/>
      <c r="AX88" s="113" t="s">
        <v>38</v>
      </c>
      <c r="AY88" s="117">
        <f>($J$69+10)*(100/150)</f>
        <v>33.333333333333329</v>
      </c>
      <c r="AZ88" s="114"/>
      <c r="BA88" s="115">
        <f>AY87*COS(RADIANS(AY86+AY90))</f>
        <v>-21.143460083985438</v>
      </c>
      <c r="BB88" s="116">
        <f>AY87*SIN(RADIANS(AY86+AY90))+IF($G$50=0,10000,0)</f>
        <v>-12.704272514448004</v>
      </c>
    </row>
    <row r="89" spans="1:54" s="25" customFormat="1" ht="15" customHeight="1" x14ac:dyDescent="0.2">
      <c r="A89" s="35"/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24"/>
      <c r="Q89" s="25">
        <v>23</v>
      </c>
      <c r="R89" s="62">
        <v>3.8176122105800889</v>
      </c>
      <c r="S89" s="62">
        <v>2.5680890082233607</v>
      </c>
      <c r="T89" s="62">
        <v>219.96035766601562</v>
      </c>
      <c r="U89" s="62">
        <v>4.6010046886009404</v>
      </c>
      <c r="V89" s="277">
        <v>9.2020093772018814E-3</v>
      </c>
      <c r="W89" s="62">
        <v>0.16255477097484489</v>
      </c>
      <c r="X89" s="62">
        <v>1.9043212095951774</v>
      </c>
      <c r="Y89" s="277">
        <v>3.8086424191903548E-3</v>
      </c>
      <c r="Z89" s="62"/>
      <c r="AA89" s="277"/>
      <c r="AB89" s="62"/>
      <c r="AC89" s="201">
        <f t="shared" si="1"/>
        <v>29.217828205932381</v>
      </c>
      <c r="AD89" s="201">
        <f t="shared" si="2"/>
        <v>22.209043012720414</v>
      </c>
      <c r="AE89" s="24"/>
      <c r="AF89" s="105">
        <f>AF88+15</f>
        <v>330</v>
      </c>
      <c r="AG89" s="257">
        <f t="shared" si="3"/>
        <v>21.650635094610958</v>
      </c>
      <c r="AH89" s="106">
        <f t="shared" si="4"/>
        <v>-12.500000000000011</v>
      </c>
      <c r="AI89" s="106">
        <f t="shared" si="5"/>
        <v>10.825317547305479</v>
      </c>
      <c r="AJ89" s="251">
        <f t="shared" si="6"/>
        <v>-6.2500000000000053</v>
      </c>
      <c r="AK89" s="257">
        <f t="shared" si="7"/>
        <v>0</v>
      </c>
      <c r="AL89" s="106">
        <f t="shared" si="8"/>
        <v>0</v>
      </c>
      <c r="AM89" s="106">
        <f t="shared" si="9"/>
        <v>0</v>
      </c>
      <c r="AN89" s="251">
        <f t="shared" si="10"/>
        <v>0</v>
      </c>
      <c r="AO89" s="257">
        <f t="shared" si="11"/>
        <v>34.641016151377535</v>
      </c>
      <c r="AP89" s="251">
        <f t="shared" si="12"/>
        <v>-20.000000000000018</v>
      </c>
      <c r="AQ89" s="196"/>
      <c r="AT89" s="196"/>
      <c r="AU89" s="196"/>
      <c r="AW89" s="112"/>
      <c r="AX89" s="113" t="s">
        <v>39</v>
      </c>
      <c r="AY89" s="117">
        <f>($J$69+10)*(60/150)</f>
        <v>20</v>
      </c>
      <c r="AZ89" s="114"/>
      <c r="BA89" s="115">
        <f>AY87*COS(RADIANS(AY86-AY90))</f>
        <v>-21.573952776105099</v>
      </c>
      <c r="BB89" s="116">
        <f>AY87*SIN(RADIANS(AY86-AY90))+IF($G$50=0,10000,0)</f>
        <v>-11.958637299409645</v>
      </c>
    </row>
    <row r="90" spans="1:54" s="25" customFormat="1" ht="15" customHeight="1" x14ac:dyDescent="0.2">
      <c r="A90" s="35"/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24"/>
      <c r="Q90" s="25">
        <v>24</v>
      </c>
      <c r="R90" s="62">
        <v>3.9756784732915023</v>
      </c>
      <c r="S90" s="62">
        <v>2.6184285677664008</v>
      </c>
      <c r="T90" s="62">
        <v>219.95802307128906</v>
      </c>
      <c r="U90" s="62">
        <v>4.7604818545488286</v>
      </c>
      <c r="V90" s="277">
        <v>9.5209637090976577E-3</v>
      </c>
      <c r="W90" s="62">
        <v>0.16921724907436561</v>
      </c>
      <c r="X90" s="62">
        <v>2.0702075555984822</v>
      </c>
      <c r="Y90" s="277">
        <v>4.1404151111969646E-3</v>
      </c>
      <c r="Z90" s="62"/>
      <c r="AA90" s="277"/>
      <c r="AB90" s="62"/>
      <c r="AC90" s="201">
        <f t="shared" si="1"/>
        <v>29.381199246908256</v>
      </c>
      <c r="AD90" s="201">
        <f t="shared" si="2"/>
        <v>22.37310034115378</v>
      </c>
      <c r="AE90" s="24"/>
      <c r="AF90" s="105">
        <f>AF89+15</f>
        <v>345</v>
      </c>
      <c r="AG90" s="257">
        <f t="shared" si="3"/>
        <v>24.148145657226706</v>
      </c>
      <c r="AH90" s="106">
        <f t="shared" si="4"/>
        <v>-6.4704761275630167</v>
      </c>
      <c r="AI90" s="106">
        <f t="shared" si="5"/>
        <v>12.074072828613353</v>
      </c>
      <c r="AJ90" s="251">
        <f t="shared" si="6"/>
        <v>-3.2352380637815084</v>
      </c>
      <c r="AK90" s="257">
        <f t="shared" si="7"/>
        <v>0</v>
      </c>
      <c r="AL90" s="106">
        <f t="shared" si="8"/>
        <v>0</v>
      </c>
      <c r="AM90" s="106">
        <f t="shared" si="9"/>
        <v>0</v>
      </c>
      <c r="AN90" s="251">
        <f t="shared" si="10"/>
        <v>0</v>
      </c>
      <c r="AO90" s="257">
        <f t="shared" si="11"/>
        <v>38.637033051562732</v>
      </c>
      <c r="AP90" s="251">
        <f t="shared" si="12"/>
        <v>-10.352761804100828</v>
      </c>
      <c r="AQ90" s="196"/>
      <c r="AT90" s="196"/>
      <c r="AU90" s="196"/>
      <c r="AW90" s="118"/>
      <c r="AX90" s="119" t="s">
        <v>40</v>
      </c>
      <c r="AY90" s="120">
        <f>($J$69+10)*(3/150)</f>
        <v>1</v>
      </c>
      <c r="AZ90" s="121"/>
      <c r="BA90" s="122">
        <f>BA87</f>
        <v>-17.320508075688771</v>
      </c>
      <c r="BB90" s="123">
        <f>BB87</f>
        <v>-10.000000000000002</v>
      </c>
    </row>
    <row r="91" spans="1:54" s="25" customFormat="1" ht="15" customHeight="1" x14ac:dyDescent="0.2">
      <c r="A91" s="35"/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24"/>
      <c r="Q91" s="25">
        <v>25</v>
      </c>
      <c r="R91" s="62">
        <v>4.1400445262649939</v>
      </c>
      <c r="S91" s="62">
        <v>2.6708883188115631</v>
      </c>
      <c r="T91" s="62">
        <v>219.95574951171875</v>
      </c>
      <c r="U91" s="62">
        <v>4.9268258636794533</v>
      </c>
      <c r="V91" s="277">
        <v>9.8536517273589072E-3</v>
      </c>
      <c r="W91" s="62">
        <v>0.17584707329363158</v>
      </c>
      <c r="X91" s="62">
        <v>2.2427397777527753</v>
      </c>
      <c r="Y91" s="277">
        <v>4.485479555505551E-3</v>
      </c>
      <c r="Z91" s="62"/>
      <c r="AA91" s="277"/>
      <c r="AB91" s="62"/>
      <c r="AC91" s="201">
        <f t="shared" si="1"/>
        <v>29.551126622819805</v>
      </c>
      <c r="AD91" s="201">
        <f t="shared" si="2"/>
        <v>22.5437429491807</v>
      </c>
      <c r="AE91" s="24"/>
      <c r="AF91" s="124">
        <v>360</v>
      </c>
      <c r="AG91" s="258">
        <f t="shared" si="3"/>
        <v>25</v>
      </c>
      <c r="AH91" s="125">
        <f t="shared" si="4"/>
        <v>-6.1257422745431001E-15</v>
      </c>
      <c r="AI91" s="125">
        <f t="shared" si="5"/>
        <v>12.5</v>
      </c>
      <c r="AJ91" s="252">
        <f t="shared" si="6"/>
        <v>-3.06287113727155E-15</v>
      </c>
      <c r="AK91" s="258">
        <f t="shared" si="7"/>
        <v>0</v>
      </c>
      <c r="AL91" s="125">
        <f t="shared" si="8"/>
        <v>0</v>
      </c>
      <c r="AM91" s="125">
        <f t="shared" si="9"/>
        <v>0</v>
      </c>
      <c r="AN91" s="252">
        <f t="shared" si="10"/>
        <v>0</v>
      </c>
      <c r="AO91" s="328">
        <f t="shared" si="11"/>
        <v>40</v>
      </c>
      <c r="AP91" s="251">
        <f t="shared" si="12"/>
        <v>-9.8011876392689601E-15</v>
      </c>
      <c r="AQ91" s="196"/>
      <c r="AT91" s="196"/>
      <c r="AU91" s="196"/>
      <c r="AW91" s="107" t="s">
        <v>192</v>
      </c>
      <c r="AX91" s="108"/>
      <c r="AY91" s="108">
        <f>K53</f>
        <v>230</v>
      </c>
      <c r="AZ91" s="109" t="s">
        <v>29</v>
      </c>
      <c r="BA91" s="110">
        <f>AY93*COS(RADIANS(AY91))</f>
        <v>-21.42625365621798</v>
      </c>
      <c r="BB91" s="111">
        <f>AY93*SIN(RADIANS(AY91))+IF($G$53=0,10000,0)</f>
        <v>-25.534814770632593</v>
      </c>
    </row>
    <row r="92" spans="1:54" s="25" customFormat="1" ht="15" customHeight="1" x14ac:dyDescent="0.2">
      <c r="A92" s="35"/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24"/>
      <c r="Q92" s="25">
        <v>26</v>
      </c>
      <c r="R92" s="62">
        <v>4.3106769257861757</v>
      </c>
      <c r="S92" s="62">
        <v>2.7254655462949553</v>
      </c>
      <c r="T92" s="62">
        <v>219.95353698730469</v>
      </c>
      <c r="U92" s="62">
        <v>5.1000096080837158</v>
      </c>
      <c r="V92" s="277">
        <v>1.0200019216167432E-2</v>
      </c>
      <c r="W92" s="62">
        <v>0.18244431384017179</v>
      </c>
      <c r="X92" s="62">
        <v>2.4218852396886374</v>
      </c>
      <c r="Y92" s="277">
        <v>4.8437704793772747E-3</v>
      </c>
      <c r="Z92" s="62"/>
      <c r="AA92" s="277"/>
      <c r="AB92" s="62"/>
      <c r="AC92" s="201">
        <f t="shared" si="1"/>
        <v>29.727580120865465</v>
      </c>
      <c r="AD92" s="201">
        <f t="shared" si="2"/>
        <v>22.720940426758066</v>
      </c>
      <c r="AE92" s="24"/>
      <c r="AK92" s="62"/>
      <c r="AP92" s="69"/>
      <c r="AQ92" s="196"/>
      <c r="AT92" s="196"/>
      <c r="AU92" s="196"/>
      <c r="AW92" s="112"/>
      <c r="AX92" s="113" t="s">
        <v>37</v>
      </c>
      <c r="AY92" s="113">
        <f>AY94+(14/150)*($J$69+10)</f>
        <v>24.666666666666668</v>
      </c>
      <c r="AZ92" s="114"/>
      <c r="BA92" s="115">
        <f>AY94*COS(RADIANS(AY91))</f>
        <v>-12.85575219373079</v>
      </c>
      <c r="BB92" s="116">
        <f>AY94*SIN(RADIANS(AY91))+IF($G$53=0,10000,0)</f>
        <v>-15.320888862379558</v>
      </c>
    </row>
    <row r="93" spans="1:54" s="25" customFormat="1" ht="15" customHeight="1" x14ac:dyDescent="0.2">
      <c r="A93" s="35"/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24"/>
      <c r="Q93" s="25">
        <v>27</v>
      </c>
      <c r="R93" s="62">
        <v>4.487542332791385</v>
      </c>
      <c r="S93" s="62">
        <v>2.7821574028291849</v>
      </c>
      <c r="T93" s="62">
        <v>219.95138549804687</v>
      </c>
      <c r="U93" s="62">
        <v>5.2800034093466248</v>
      </c>
      <c r="V93" s="277">
        <v>1.0560006818693249E-2</v>
      </c>
      <c r="W93" s="62">
        <v>0.18900903202871802</v>
      </c>
      <c r="X93" s="62">
        <v>2.6076113706282422</v>
      </c>
      <c r="Y93" s="277">
        <v>5.2152227412564844E-3</v>
      </c>
      <c r="Z93" s="62"/>
      <c r="AA93" s="277"/>
      <c r="AB93" s="62"/>
      <c r="AC93" s="201">
        <f t="shared" si="1"/>
        <v>29.910529661367647</v>
      </c>
      <c r="AD93" s="201">
        <f t="shared" si="2"/>
        <v>22.904662468282432</v>
      </c>
      <c r="AE93" s="24"/>
      <c r="AF93" s="126" t="s">
        <v>74</v>
      </c>
      <c r="AG93" s="127"/>
      <c r="AH93" s="128"/>
      <c r="AJ93" s="93" t="s">
        <v>70</v>
      </c>
      <c r="AK93" s="70"/>
      <c r="AW93" s="112"/>
      <c r="AX93" s="113" t="s">
        <v>38</v>
      </c>
      <c r="AY93" s="117">
        <f>($J$69+10)*(100/150)</f>
        <v>33.333333333333329</v>
      </c>
      <c r="AZ93" s="114"/>
      <c r="BA93" s="115">
        <f>AY92*COS(RADIANS(AY91+AY95))</f>
        <v>-15.523236312562668</v>
      </c>
      <c r="BB93" s="116">
        <f>AY92*SIN(RADIANS(AY91+AY95))+IF($G$53=0,10000,0)</f>
        <v>-19.169600382605275</v>
      </c>
    </row>
    <row r="94" spans="1:54" s="25" customFormat="1" ht="15" customHeight="1" x14ac:dyDescent="0.2">
      <c r="A94" s="35"/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24"/>
      <c r="Q94" s="25">
        <v>28</v>
      </c>
      <c r="R94" s="62">
        <v>4.670607504971076</v>
      </c>
      <c r="S94" s="62">
        <v>2.8409609054142466</v>
      </c>
      <c r="T94" s="62">
        <v>219.94931030273437</v>
      </c>
      <c r="U94" s="62">
        <v>5.4667754052626192</v>
      </c>
      <c r="V94" s="277">
        <v>1.0933550810525239E-2</v>
      </c>
      <c r="W94" s="62">
        <v>0.19554128040314098</v>
      </c>
      <c r="X94" s="62">
        <v>2.7998856566015307</v>
      </c>
      <c r="Y94" s="277">
        <v>5.5997713132030615E-3</v>
      </c>
      <c r="Z94" s="62"/>
      <c r="AA94" s="277"/>
      <c r="AB94" s="62"/>
      <c r="AC94" s="201">
        <f t="shared" si="1"/>
        <v>30.099945281205226</v>
      </c>
      <c r="AD94" s="201">
        <f t="shared" si="2"/>
        <v>23.094878855544795</v>
      </c>
      <c r="AE94" s="24"/>
      <c r="AF94" s="126" t="s">
        <v>75</v>
      </c>
      <c r="AG94" s="129">
        <f>J69/$G$13</f>
        <v>0.08</v>
      </c>
      <c r="AH94" s="128">
        <v>0</v>
      </c>
      <c r="AJ94" s="94">
        <v>0</v>
      </c>
      <c r="AK94" s="204">
        <f>MAX(J69,J75)*1.5</f>
        <v>60</v>
      </c>
      <c r="AW94" s="112"/>
      <c r="AX94" s="113" t="s">
        <v>39</v>
      </c>
      <c r="AY94" s="117">
        <f>($J$69+10)*(60/150)</f>
        <v>20</v>
      </c>
      <c r="AZ94" s="114"/>
      <c r="BA94" s="115">
        <f>AY92*COS(RADIANS(AY91-AY95))</f>
        <v>-16.182789381765847</v>
      </c>
      <c r="BB94" s="116">
        <f>AY92*SIN(RADIANS(AY91-AY95))+IF($G$53=0,10000,0)</f>
        <v>-18.616169645495045</v>
      </c>
    </row>
    <row r="95" spans="1:54" s="25" customFormat="1" ht="15" customHeight="1" x14ac:dyDescent="0.2">
      <c r="A95" s="35"/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24"/>
      <c r="Q95" s="25">
        <v>29</v>
      </c>
      <c r="R95" s="62">
        <v>4.8598392889892956</v>
      </c>
      <c r="S95" s="62">
        <v>2.9018729321830876</v>
      </c>
      <c r="T95" s="62">
        <v>219.94731140136719</v>
      </c>
      <c r="U95" s="62">
        <v>5.6602919031919949</v>
      </c>
      <c r="V95" s="277">
        <v>1.1320583806383989E-2</v>
      </c>
      <c r="W95" s="62">
        <v>0.20204110285665583</v>
      </c>
      <c r="X95" s="62">
        <v>2.9986756317833576</v>
      </c>
      <c r="Y95" s="277">
        <v>5.9973512635667151E-3</v>
      </c>
      <c r="Z95" s="62"/>
      <c r="AA95" s="277"/>
      <c r="AB95" s="62"/>
      <c r="AC95" s="201">
        <f t="shared" si="1"/>
        <v>30.295797117500282</v>
      </c>
      <c r="AD95" s="201">
        <f t="shared" si="2"/>
        <v>23.291559441120086</v>
      </c>
      <c r="AE95" s="24"/>
      <c r="AF95" s="130"/>
      <c r="AG95" s="131">
        <f>AG94</f>
        <v>0.08</v>
      </c>
      <c r="AH95" s="132">
        <f>K70</f>
        <v>108.93881416587304</v>
      </c>
      <c r="AJ95" s="95">
        <v>0</v>
      </c>
      <c r="AK95" s="97">
        <f>-AK94</f>
        <v>-60</v>
      </c>
      <c r="AW95" s="118"/>
      <c r="AX95" s="119" t="s">
        <v>40</v>
      </c>
      <c r="AY95" s="120">
        <f>($J$69+10)*(3/150)</f>
        <v>1</v>
      </c>
      <c r="AZ95" s="121"/>
      <c r="BA95" s="122">
        <f>BA92</f>
        <v>-12.85575219373079</v>
      </c>
      <c r="BB95" s="123">
        <f>BB92</f>
        <v>-15.320888862379558</v>
      </c>
    </row>
    <row r="96" spans="1:54" s="25" customFormat="1" ht="15" customHeight="1" x14ac:dyDescent="0.2">
      <c r="A96" s="35"/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24"/>
      <c r="Q96" s="25">
        <v>30</v>
      </c>
      <c r="R96" s="62">
        <v>5.0552046128508925</v>
      </c>
      <c r="S96" s="62">
        <v>2.9648902192063464</v>
      </c>
      <c r="T96" s="62">
        <v>219.9454345703125</v>
      </c>
      <c r="U96" s="62">
        <v>5.8605176980992386</v>
      </c>
      <c r="V96" s="277">
        <v>1.1721035396198478E-2</v>
      </c>
      <c r="W96" s="62">
        <v>0.20850853498642757</v>
      </c>
      <c r="X96" s="62">
        <v>3.203948869989258</v>
      </c>
      <c r="Y96" s="277">
        <v>6.407897739978516E-3</v>
      </c>
      <c r="Z96" s="62"/>
      <c r="AA96" s="277"/>
      <c r="AB96" s="62"/>
      <c r="AC96" s="201">
        <f t="shared" si="1"/>
        <v>30.498055391623733</v>
      </c>
      <c r="AD96" s="201">
        <f t="shared" si="2"/>
        <v>23.494674132256431</v>
      </c>
      <c r="AE96" s="24"/>
      <c r="AF96" s="126"/>
      <c r="AG96" s="129">
        <f>AG95</f>
        <v>0.08</v>
      </c>
      <c r="AH96" s="128">
        <f>AH95</f>
        <v>108.93881416587304</v>
      </c>
      <c r="AK96" s="62"/>
      <c r="AO96" s="92"/>
      <c r="AS96" s="92"/>
      <c r="AW96" s="107" t="s">
        <v>193</v>
      </c>
      <c r="AX96" s="108"/>
      <c r="AY96" s="108">
        <f>K56</f>
        <v>120</v>
      </c>
      <c r="AZ96" s="109" t="s">
        <v>29</v>
      </c>
      <c r="BA96" s="110">
        <f>AY98*COS(RADIANS(AY96))</f>
        <v>-16.666666666666657</v>
      </c>
      <c r="BB96" s="111">
        <f>AY98*SIN(RADIANS(AY96))+IF($G$56=0,10000,0)</f>
        <v>10028.867513459481</v>
      </c>
    </row>
    <row r="97" spans="1:54" s="25" customFormat="1" ht="15" customHeight="1" x14ac:dyDescent="0.2">
      <c r="A97" s="35"/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24"/>
      <c r="Q97" s="25">
        <v>31</v>
      </c>
      <c r="R97" s="62">
        <v>5.2566704805972124</v>
      </c>
      <c r="S97" s="62">
        <v>3.0300093590353163</v>
      </c>
      <c r="T97" s="62">
        <v>219.94364929199219</v>
      </c>
      <c r="U97" s="62">
        <v>6.0674163576784261</v>
      </c>
      <c r="V97" s="277">
        <v>1.2134832715356852E-2</v>
      </c>
      <c r="W97" s="62">
        <v>0.21494361114315405</v>
      </c>
      <c r="X97" s="62">
        <v>3.41567297891552</v>
      </c>
      <c r="Y97" s="277">
        <v>6.8313459578310401E-3</v>
      </c>
      <c r="Z97" s="62"/>
      <c r="AA97" s="277"/>
      <c r="AB97" s="62"/>
      <c r="AC97" s="201">
        <f t="shared" si="1"/>
        <v>30.706690395943706</v>
      </c>
      <c r="AD97" s="201">
        <f t="shared" si="2"/>
        <v>23.704192877720736</v>
      </c>
      <c r="AE97" s="24"/>
      <c r="AF97" s="130"/>
      <c r="AG97" s="131">
        <v>0</v>
      </c>
      <c r="AH97" s="132">
        <f>AH96</f>
        <v>108.93881416587304</v>
      </c>
      <c r="AK97" s="62"/>
      <c r="AO97" s="92"/>
      <c r="AS97" s="92"/>
      <c r="AW97" s="112"/>
      <c r="AX97" s="113" t="s">
        <v>37</v>
      </c>
      <c r="AY97" s="113">
        <f>AY99+(14/150)*($J$69+10)</f>
        <v>24.666666666666668</v>
      </c>
      <c r="AZ97" s="114"/>
      <c r="BA97" s="115">
        <f>AY99*COS(RADIANS(AY96))</f>
        <v>-9.9999999999999964</v>
      </c>
      <c r="BB97" s="116">
        <f>AY99*SIN(RADIANS(AY96))+IF($G$56=0,10000,0)</f>
        <v>10017.320508075689</v>
      </c>
    </row>
    <row r="98" spans="1:54" s="25" customFormat="1" ht="15" customHeight="1" x14ac:dyDescent="0.2">
      <c r="A98" s="35"/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24"/>
      <c r="Q98" s="25">
        <v>32</v>
      </c>
      <c r="R98" s="62">
        <v>5.4642039767263269</v>
      </c>
      <c r="S98" s="62">
        <v>3.0972268066725608</v>
      </c>
      <c r="T98" s="62">
        <v>219.94198608398437</v>
      </c>
      <c r="U98" s="62">
        <v>6.2809504846991837</v>
      </c>
      <c r="V98" s="277">
        <v>1.2561900969398368E-2</v>
      </c>
      <c r="W98" s="62">
        <v>0.22134637727838483</v>
      </c>
      <c r="X98" s="62">
        <v>3.6338156058951809</v>
      </c>
      <c r="Y98" s="277">
        <v>7.2676312117903622E-3</v>
      </c>
      <c r="Z98" s="62"/>
      <c r="AA98" s="277"/>
      <c r="AB98" s="62"/>
      <c r="AC98" s="201">
        <f t="shared" si="1"/>
        <v>30.921672491485072</v>
      </c>
      <c r="AD98" s="201">
        <f t="shared" si="2"/>
        <v>23.920085665884425</v>
      </c>
      <c r="AE98" s="24"/>
      <c r="AF98" s="126" t="s">
        <v>118</v>
      </c>
      <c r="AG98" s="129">
        <f>H73</f>
        <v>3.9679177008122492E-2</v>
      </c>
      <c r="AH98" s="199">
        <f>K73</f>
        <v>0</v>
      </c>
      <c r="AK98" s="62"/>
      <c r="AO98" s="92"/>
      <c r="AS98" s="92"/>
      <c r="AW98" s="112"/>
      <c r="AX98" s="113" t="s">
        <v>38</v>
      </c>
      <c r="AY98" s="117">
        <f>($J$69+10)*(100/150)</f>
        <v>33.333333333333329</v>
      </c>
      <c r="AZ98" s="114"/>
      <c r="BA98" s="115">
        <f>AY97*COS(RADIANS(AY96+AY100))</f>
        <v>-12.704272514448006</v>
      </c>
      <c r="BB98" s="116">
        <f>AY97*SIN(RADIANS(AY96+AY100))+IF($G$56=0,10000,0)</f>
        <v>10021.143460083986</v>
      </c>
    </row>
    <row r="99" spans="1:54" s="25" customFormat="1" ht="15" customHeight="1" x14ac:dyDescent="0.2">
      <c r="A99" s="35"/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24"/>
      <c r="Q99" s="25">
        <v>33</v>
      </c>
      <c r="R99" s="62">
        <v>5.6777722769377768</v>
      </c>
      <c r="S99" s="62">
        <v>3.1665388903389005</v>
      </c>
      <c r="T99" s="62">
        <v>219.94046020507812</v>
      </c>
      <c r="U99" s="62">
        <v>6.5010819540128786</v>
      </c>
      <c r="V99" s="277">
        <v>1.3002163908025758E-2</v>
      </c>
      <c r="W99" s="62">
        <v>0.22771689309136703</v>
      </c>
      <c r="X99" s="62">
        <v>3.8583444511454901</v>
      </c>
      <c r="Y99" s="277">
        <v>7.71668890229098E-3</v>
      </c>
      <c r="Z99" s="62"/>
      <c r="AA99" s="277"/>
      <c r="AB99" s="62"/>
      <c r="AC99" s="201">
        <f t="shared" si="1"/>
        <v>31.142972112829622</v>
      </c>
      <c r="AD99" s="201">
        <f t="shared" si="2"/>
        <v>24.142322530318939</v>
      </c>
      <c r="AE99" s="24"/>
      <c r="AF99" s="130" t="s">
        <v>116</v>
      </c>
      <c r="AG99" s="131">
        <f>AG97</f>
        <v>0</v>
      </c>
      <c r="AH99" s="132">
        <f>AH98</f>
        <v>0</v>
      </c>
      <c r="AK99" s="62"/>
      <c r="AO99" s="92"/>
      <c r="AS99" s="92"/>
      <c r="AW99" s="112"/>
      <c r="AX99" s="113" t="s">
        <v>39</v>
      </c>
      <c r="AY99" s="117">
        <f>($J$69+10)*(60/150)</f>
        <v>20</v>
      </c>
      <c r="AZ99" s="114"/>
      <c r="BA99" s="115">
        <f>AY97*COS(RADIANS(AY96-AY100))</f>
        <v>-11.958637299409647</v>
      </c>
      <c r="BB99" s="116">
        <f>AY97*SIN(RADIANS(AY96-AY100))+IF($G$56=0,10000,0)</f>
        <v>10021.573952776105</v>
      </c>
    </row>
    <row r="100" spans="1:54" s="25" customFormat="1" ht="15" customHeight="1" x14ac:dyDescent="0.2">
      <c r="A100" s="35"/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24"/>
      <c r="Q100" s="25">
        <v>34</v>
      </c>
      <c r="R100" s="62">
        <v>5.8973426591490794</v>
      </c>
      <c r="S100" s="62">
        <v>3.2379418223684868</v>
      </c>
      <c r="T100" s="62">
        <v>219.93905639648437</v>
      </c>
      <c r="U100" s="62">
        <v>6.7277721189456541</v>
      </c>
      <c r="V100" s="277">
        <v>1.3455544237891309E-2</v>
      </c>
      <c r="W100" s="62">
        <v>0.2340552316809755</v>
      </c>
      <c r="X100" s="62">
        <v>4.0892272813322847</v>
      </c>
      <c r="Y100" s="277">
        <v>8.1784545626645694E-3</v>
      </c>
      <c r="Z100" s="62"/>
      <c r="AA100" s="277"/>
      <c r="AB100" s="62"/>
      <c r="AC100" s="201">
        <f t="shared" si="1"/>
        <v>31.370559773645066</v>
      </c>
      <c r="AD100" s="201">
        <f t="shared" si="2"/>
        <v>24.370873556183462</v>
      </c>
      <c r="AE100" s="24"/>
      <c r="AF100" s="126"/>
      <c r="AG100" s="129">
        <f>AG98</f>
        <v>3.9679177008122492E-2</v>
      </c>
      <c r="AH100" s="128">
        <f>AH99</f>
        <v>0</v>
      </c>
      <c r="AK100" s="62"/>
      <c r="AO100" s="92"/>
      <c r="AS100" s="92"/>
      <c r="AW100" s="118"/>
      <c r="AX100" s="119" t="s">
        <v>40</v>
      </c>
      <c r="AY100" s="120">
        <f>($J$69+10)*(3/150)</f>
        <v>1</v>
      </c>
      <c r="AZ100" s="121"/>
      <c r="BA100" s="122">
        <f>BA97</f>
        <v>-9.9999999999999964</v>
      </c>
      <c r="BB100" s="123">
        <f>BB97</f>
        <v>10017.320508075689</v>
      </c>
    </row>
    <row r="101" spans="1:54" s="25" customFormat="1" ht="15" customHeight="1" x14ac:dyDescent="0.2">
      <c r="A101" s="35"/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24"/>
      <c r="Q101" s="25">
        <v>35</v>
      </c>
      <c r="R101" s="62">
        <v>6.122882514224699</v>
      </c>
      <c r="S101" s="62">
        <v>3.3114317097981667</v>
      </c>
      <c r="T101" s="62">
        <v>219.93780517578125</v>
      </c>
      <c r="U101" s="62">
        <v>6.9609819890339741</v>
      </c>
      <c r="V101" s="277">
        <v>1.3921963978067949E-2</v>
      </c>
      <c r="W101" s="62">
        <v>0.24036147920494833</v>
      </c>
      <c r="X101" s="62">
        <v>4.326431942786563</v>
      </c>
      <c r="Y101" s="277">
        <v>8.6528638855731255E-3</v>
      </c>
      <c r="Z101" s="62"/>
      <c r="AA101" s="277"/>
      <c r="AB101" s="62"/>
      <c r="AC101" s="201">
        <f t="shared" si="1"/>
        <v>31.604406072246192</v>
      </c>
      <c r="AD101" s="201">
        <f t="shared" si="2"/>
        <v>24.605708886788548</v>
      </c>
      <c r="AE101" s="24"/>
      <c r="AF101" s="130"/>
      <c r="AG101" s="131">
        <f>AG100</f>
        <v>3.9679177008122492E-2</v>
      </c>
      <c r="AH101" s="132">
        <v>0</v>
      </c>
      <c r="AK101" s="62"/>
      <c r="AO101" s="92"/>
      <c r="AS101" s="92"/>
      <c r="AY101" s="61"/>
      <c r="AZ101" s="62"/>
      <c r="BA101" s="64"/>
      <c r="BB101" s="62"/>
    </row>
    <row r="102" spans="1:54" s="25" customFormat="1" ht="15" customHeight="1" x14ac:dyDescent="0.2">
      <c r="A102" s="35"/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24"/>
      <c r="Q102" s="25">
        <v>36</v>
      </c>
      <c r="R102" s="62">
        <v>6.3543593564280512</v>
      </c>
      <c r="S102" s="62">
        <v>3.3870045646565572</v>
      </c>
      <c r="T102" s="62">
        <v>219.93672180175781</v>
      </c>
      <c r="U102" s="62">
        <v>7.2006723819119189</v>
      </c>
      <c r="V102" s="277">
        <v>1.4401344763823837E-2</v>
      </c>
      <c r="W102" s="62">
        <v>0.24663573455008453</v>
      </c>
      <c r="X102" s="62">
        <v>4.5699263743840159</v>
      </c>
      <c r="Y102" s="277">
        <v>9.1398527487680323E-3</v>
      </c>
      <c r="Z102" s="62"/>
      <c r="AA102" s="277"/>
      <c r="AB102" s="62"/>
      <c r="AC102" s="201">
        <f t="shared" si="1"/>
        <v>31.844481697213052</v>
      </c>
      <c r="AD102" s="201">
        <f t="shared" si="2"/>
        <v>24.846798730349001</v>
      </c>
      <c r="AE102" s="24"/>
      <c r="AF102" s="126" t="s">
        <v>118</v>
      </c>
      <c r="AG102" s="129">
        <f>H74</f>
        <v>2.5618217160470899E-2</v>
      </c>
      <c r="AH102" s="199">
        <f>K74</f>
        <v>0</v>
      </c>
      <c r="AK102" s="62"/>
      <c r="AO102" s="92"/>
      <c r="AS102" s="92"/>
      <c r="AY102" s="61"/>
      <c r="AZ102" s="62"/>
      <c r="BA102" s="64"/>
      <c r="BB102" s="62"/>
    </row>
    <row r="103" spans="1:54" s="25" customFormat="1" ht="15" customHeight="1" x14ac:dyDescent="0.2">
      <c r="A103" s="35"/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24"/>
      <c r="Q103" s="25">
        <v>37</v>
      </c>
      <c r="R103" s="62">
        <v>6.5917408336073944</v>
      </c>
      <c r="S103" s="62">
        <v>3.4646563139586251</v>
      </c>
      <c r="T103" s="62">
        <v>219.935791015625</v>
      </c>
      <c r="U103" s="62">
        <v>7.4468040521622747</v>
      </c>
      <c r="V103" s="277">
        <v>1.489360810432455E-2</v>
      </c>
      <c r="W103" s="62">
        <v>0.25287810901336399</v>
      </c>
      <c r="X103" s="62">
        <v>4.8196786200986885</v>
      </c>
      <c r="Y103" s="277">
        <v>9.6393572401973771E-3</v>
      </c>
      <c r="Z103" s="62"/>
      <c r="AA103" s="277"/>
      <c r="AB103" s="62"/>
      <c r="AC103" s="201">
        <f t="shared" si="1"/>
        <v>32.090757433087965</v>
      </c>
      <c r="AD103" s="201">
        <f t="shared" si="2"/>
        <v>25.094113366935066</v>
      </c>
      <c r="AE103" s="24"/>
      <c r="AF103" s="130" t="s">
        <v>117</v>
      </c>
      <c r="AG103" s="131">
        <v>0</v>
      </c>
      <c r="AH103" s="132">
        <f>AH102</f>
        <v>0</v>
      </c>
      <c r="AK103" s="62"/>
      <c r="AO103" s="92"/>
      <c r="AS103" s="92"/>
      <c r="AY103" s="61"/>
      <c r="AZ103" s="62"/>
      <c r="BA103" s="64"/>
      <c r="BB103" s="62"/>
    </row>
    <row r="104" spans="1:54" s="25" customFormat="1" ht="15" customHeight="1" x14ac:dyDescent="0.2">
      <c r="A104" s="35"/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24"/>
      <c r="Q104" s="25">
        <v>38</v>
      </c>
      <c r="R104" s="62">
        <v>6.8349947371263404</v>
      </c>
      <c r="S104" s="62">
        <v>3.5443828094116268</v>
      </c>
      <c r="T104" s="62">
        <v>219.93504333496094</v>
      </c>
      <c r="U104" s="62">
        <v>7.6993377998498955</v>
      </c>
      <c r="V104" s="277">
        <v>1.539867559969979E-2</v>
      </c>
      <c r="W104" s="62">
        <v>0.25908872599393706</v>
      </c>
      <c r="X104" s="62">
        <v>5.0756568412418854</v>
      </c>
      <c r="Y104" s="277">
        <v>1.0151313682483771E-2</v>
      </c>
      <c r="Z104" s="62"/>
      <c r="AA104" s="277"/>
      <c r="AB104" s="62"/>
      <c r="AC104" s="201">
        <f t="shared" si="1"/>
        <v>32.343204166169791</v>
      </c>
      <c r="AD104" s="201">
        <f t="shared" si="2"/>
        <v>25.347623155627126</v>
      </c>
      <c r="AE104" s="24"/>
      <c r="AF104" s="126"/>
      <c r="AG104" s="129">
        <f>AG102</f>
        <v>2.5618217160470899E-2</v>
      </c>
      <c r="AH104" s="128">
        <f>AH103</f>
        <v>0</v>
      </c>
      <c r="AI104" s="91"/>
      <c r="AK104" s="62"/>
      <c r="AO104" s="92"/>
      <c r="AS104" s="92"/>
      <c r="AV104" s="24"/>
      <c r="AW104" s="24"/>
      <c r="AX104" s="24"/>
      <c r="AY104" s="61"/>
      <c r="AZ104" s="62"/>
      <c r="BA104" s="64"/>
      <c r="BB104" s="62"/>
    </row>
    <row r="105" spans="1:54" s="25" customFormat="1" ht="15" customHeight="1" x14ac:dyDescent="0.2">
      <c r="A105" s="35"/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24"/>
      <c r="Q105" s="25">
        <v>39</v>
      </c>
      <c r="R105" s="62">
        <v>7.0840890115495956</v>
      </c>
      <c r="S105" s="62">
        <v>3.6261798368383031</v>
      </c>
      <c r="T105" s="62">
        <v>219.93447875976562</v>
      </c>
      <c r="U105" s="62">
        <v>7.9582345612987799</v>
      </c>
      <c r="V105" s="277">
        <v>1.591646912259756E-2</v>
      </c>
      <c r="W105" s="62">
        <v>0.26526772069591759</v>
      </c>
      <c r="X105" s="62">
        <v>5.3378293283973397</v>
      </c>
      <c r="Y105" s="277">
        <v>1.0675658656794679E-2</v>
      </c>
      <c r="Z105" s="62"/>
      <c r="AA105" s="277"/>
      <c r="AB105" s="62"/>
      <c r="AC105" s="201">
        <f t="shared" si="1"/>
        <v>32.60179289042086</v>
      </c>
      <c r="AD105" s="201">
        <f t="shared" si="2"/>
        <v>25.607298541875473</v>
      </c>
      <c r="AE105" s="24"/>
      <c r="AF105" s="130"/>
      <c r="AG105" s="131">
        <f>AG104</f>
        <v>2.5618217160470899E-2</v>
      </c>
      <c r="AH105" s="132">
        <v>0</v>
      </c>
      <c r="AI105" s="142"/>
      <c r="AJ105" s="58"/>
      <c r="AK105" s="143"/>
      <c r="AL105" s="58"/>
      <c r="AO105" s="92"/>
      <c r="AS105" s="144"/>
      <c r="AT105" s="58"/>
      <c r="AU105" s="24"/>
      <c r="AV105" s="24"/>
      <c r="AW105" s="24"/>
      <c r="AX105" s="24"/>
      <c r="AY105" s="61"/>
      <c r="AZ105" s="62"/>
      <c r="BA105" s="64"/>
      <c r="BB105" s="62"/>
    </row>
    <row r="106" spans="1:54" s="25" customFormat="1" ht="15" customHeight="1" x14ac:dyDescent="0.2">
      <c r="A106" s="35"/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24"/>
      <c r="Q106" s="25">
        <v>40</v>
      </c>
      <c r="R106" s="62">
        <v>7.3389917640944136</v>
      </c>
      <c r="S106" s="62">
        <v>3.7100431253232555</v>
      </c>
      <c r="T106" s="62">
        <v>219.93411254882812</v>
      </c>
      <c r="U106" s="62">
        <v>8.2234554844787713</v>
      </c>
      <c r="V106" s="277">
        <v>1.6446910968957541E-2</v>
      </c>
      <c r="W106" s="62">
        <v>0.27141523984189969</v>
      </c>
      <c r="X106" s="62">
        <v>5.6061645130635709</v>
      </c>
      <c r="Y106" s="277">
        <v>1.1212329026127142E-2</v>
      </c>
      <c r="Z106" s="62"/>
      <c r="AA106" s="277"/>
      <c r="AB106" s="62"/>
      <c r="AC106" s="201">
        <f t="shared" si="1"/>
        <v>32.866494713498852</v>
      </c>
      <c r="AD106" s="201">
        <f t="shared" si="2"/>
        <v>25.873110065063347</v>
      </c>
      <c r="AE106" s="24"/>
      <c r="AF106" s="126" t="s">
        <v>121</v>
      </c>
      <c r="AG106" s="129">
        <f>J75/$G$13</f>
        <v>0.05</v>
      </c>
      <c r="AH106" s="199">
        <f>K75</f>
        <v>82.742750089568759</v>
      </c>
      <c r="AI106" s="55"/>
      <c r="AJ106" s="55"/>
      <c r="AK106" s="145"/>
      <c r="AL106" s="55"/>
      <c r="AO106" s="92"/>
      <c r="AR106" s="58"/>
      <c r="AS106" s="146"/>
      <c r="AT106" s="35"/>
      <c r="AU106" s="24"/>
      <c r="AV106" s="24"/>
      <c r="AW106" s="24"/>
      <c r="AX106" s="24"/>
      <c r="AY106" s="61"/>
      <c r="AZ106" s="62"/>
      <c r="BA106" s="64"/>
      <c r="BB106" s="62"/>
    </row>
    <row r="107" spans="1:54" s="25" customFormat="1" ht="15" customHeight="1" x14ac:dyDescent="0.2">
      <c r="A107" s="35"/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24"/>
      <c r="Q107" s="25">
        <v>41</v>
      </c>
      <c r="R107" s="62">
        <v>7.5996712738580952</v>
      </c>
      <c r="S107" s="62">
        <v>3.7959683560884705</v>
      </c>
      <c r="T107" s="62">
        <v>219.93392944335938</v>
      </c>
      <c r="U107" s="62">
        <v>8.4949619911526941</v>
      </c>
      <c r="V107" s="277">
        <v>1.6989923982305387E-2</v>
      </c>
      <c r="W107" s="62">
        <v>0.27753144139710939</v>
      </c>
      <c r="X107" s="62">
        <v>5.8806309790142981</v>
      </c>
      <c r="Y107" s="277">
        <v>1.1761261958028596E-2</v>
      </c>
      <c r="Z107" s="62"/>
      <c r="AA107" s="277"/>
      <c r="AB107" s="62"/>
      <c r="AC107" s="201">
        <f t="shared" si="1"/>
        <v>33.137280862923255</v>
      </c>
      <c r="AD107" s="201">
        <f t="shared" si="2"/>
        <v>26.145028366268964</v>
      </c>
      <c r="AE107" s="24"/>
      <c r="AF107" s="130" t="s">
        <v>178</v>
      </c>
      <c r="AG107" s="131">
        <v>0</v>
      </c>
      <c r="AH107" s="132">
        <f>AH106</f>
        <v>82.742750089568759</v>
      </c>
      <c r="AI107" s="147"/>
      <c r="AJ107" s="377"/>
      <c r="AK107" s="377"/>
      <c r="AL107" s="55"/>
      <c r="AO107" s="92"/>
      <c r="AR107" s="35"/>
      <c r="AS107" s="55"/>
      <c r="AT107" s="147"/>
      <c r="AU107" s="24"/>
      <c r="AV107" s="24"/>
      <c r="AX107" s="24"/>
      <c r="AY107" s="61"/>
      <c r="AZ107" s="62"/>
      <c r="BA107" s="64"/>
      <c r="BB107" s="62"/>
    </row>
    <row r="108" spans="1:54" s="25" customFormat="1" ht="15" customHeight="1" x14ac:dyDescent="0.2">
      <c r="A108" s="35"/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24"/>
      <c r="Q108" s="25">
        <v>42</v>
      </c>
      <c r="R108" s="62">
        <v>7.8660960008317176</v>
      </c>
      <c r="S108" s="62">
        <v>3.883951171103964</v>
      </c>
      <c r="T108" s="62">
        <v>219.9339599609375</v>
      </c>
      <c r="U108" s="62">
        <v>8.7727158277138209</v>
      </c>
      <c r="V108" s="277">
        <v>1.7545431655427643E-2</v>
      </c>
      <c r="W108" s="62">
        <v>0.28361649430408914</v>
      </c>
      <c r="X108" s="62">
        <v>6.1611974733876096</v>
      </c>
      <c r="Y108" s="277">
        <v>1.2322394946775219E-2</v>
      </c>
      <c r="Z108" s="62"/>
      <c r="AA108" s="277"/>
      <c r="AB108" s="62"/>
      <c r="AC108" s="201">
        <f t="shared" si="1"/>
        <v>33.414122692383778</v>
      </c>
      <c r="AD108" s="201">
        <f t="shared" si="2"/>
        <v>26.423024196219593</v>
      </c>
      <c r="AE108" s="24"/>
      <c r="AF108" s="126"/>
      <c r="AG108" s="129">
        <f>AG106</f>
        <v>0.05</v>
      </c>
      <c r="AH108" s="128">
        <f>AH107</f>
        <v>82.742750089568759</v>
      </c>
      <c r="AI108" s="28"/>
      <c r="AJ108" s="28"/>
      <c r="AK108" s="148"/>
      <c r="AL108" s="28"/>
      <c r="AO108" s="92"/>
      <c r="AR108" s="147"/>
      <c r="AS108" s="149"/>
      <c r="AT108" s="28"/>
      <c r="AV108" s="61"/>
      <c r="AW108" s="61"/>
      <c r="AX108" s="61"/>
      <c r="AY108" s="61"/>
      <c r="AZ108" s="62"/>
      <c r="BA108" s="64"/>
      <c r="BB108" s="62"/>
    </row>
    <row r="109" spans="1:54" s="25" customFormat="1" ht="15" customHeight="1" x14ac:dyDescent="0.2">
      <c r="A109" s="35"/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24"/>
      <c r="Q109" s="25">
        <v>43</v>
      </c>
      <c r="R109" s="62">
        <v>8.1382345947101271</v>
      </c>
      <c r="S109" s="62">
        <v>3.9739871814395178</v>
      </c>
      <c r="T109" s="62">
        <v>219.93421936035156</v>
      </c>
      <c r="U109" s="62">
        <v>9.0566791064265004</v>
      </c>
      <c r="V109" s="277">
        <v>1.8113358212853002E-2</v>
      </c>
      <c r="W109" s="62">
        <v>0.28967057822781239</v>
      </c>
      <c r="X109" s="62">
        <v>6.4478329175145142</v>
      </c>
      <c r="Y109" s="277">
        <v>1.2895665835029029E-2</v>
      </c>
      <c r="Z109" s="62"/>
      <c r="AA109" s="277"/>
      <c r="AB109" s="62"/>
      <c r="AC109" s="201">
        <f t="shared" si="1"/>
        <v>33.696991688195055</v>
      </c>
      <c r="AD109" s="201">
        <f t="shared" si="2"/>
        <v>26.707068423429028</v>
      </c>
      <c r="AE109" s="24"/>
      <c r="AF109" s="130"/>
      <c r="AG109" s="131">
        <f>AG108</f>
        <v>0.05</v>
      </c>
      <c r="AH109" s="132">
        <v>0</v>
      </c>
      <c r="AI109" s="150"/>
      <c r="AJ109" s="150"/>
      <c r="AK109" s="150"/>
      <c r="AL109" s="150"/>
      <c r="AM109" s="58"/>
      <c r="AN109" s="58"/>
      <c r="AO109" s="144"/>
      <c r="AP109" s="58"/>
      <c r="AR109" s="28"/>
      <c r="AS109" s="150"/>
      <c r="AT109" s="150"/>
      <c r="AU109" s="61"/>
      <c r="AV109" s="61"/>
      <c r="AW109" s="61"/>
      <c r="AX109" s="61"/>
      <c r="AY109" s="61"/>
      <c r="AZ109" s="62"/>
      <c r="BA109" s="64"/>
      <c r="BB109" s="62"/>
    </row>
    <row r="110" spans="1:54" s="25" customFormat="1" ht="15" customHeight="1" x14ac:dyDescent="0.2">
      <c r="A110" s="35"/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24"/>
      <c r="Q110" s="25">
        <v>44</v>
      </c>
      <c r="R110" s="62">
        <v>8.4160559035080986</v>
      </c>
      <c r="S110" s="62">
        <v>4.0660719753634735</v>
      </c>
      <c r="T110" s="62">
        <v>219.9346923828125</v>
      </c>
      <c r="U110" s="62">
        <v>9.3468143385759905</v>
      </c>
      <c r="V110" s="277">
        <v>1.8693628677151981E-2</v>
      </c>
      <c r="W110" s="62">
        <v>0.29569388331116958</v>
      </c>
      <c r="X110" s="62">
        <v>6.7405064174973859</v>
      </c>
      <c r="Y110" s="277">
        <v>1.3481012834994772E-2</v>
      </c>
      <c r="Z110" s="62"/>
      <c r="AA110" s="277"/>
      <c r="AB110" s="62"/>
      <c r="AC110" s="201">
        <f t="shared" si="1"/>
        <v>33.985859475900973</v>
      </c>
      <c r="AD110" s="201">
        <f t="shared" si="2"/>
        <v>26.997132042507868</v>
      </c>
      <c r="AE110" s="24"/>
      <c r="AF110" s="126" t="s">
        <v>120</v>
      </c>
      <c r="AG110" s="129">
        <f>J76/$G$13</f>
        <v>2.5000000000000001E-2</v>
      </c>
      <c r="AH110" s="199">
        <f>K76</f>
        <v>53.77221451703214</v>
      </c>
      <c r="AI110" s="65"/>
      <c r="AJ110" s="65"/>
      <c r="AK110" s="65"/>
      <c r="AL110" s="65"/>
      <c r="AM110" s="55"/>
      <c r="AN110" s="35"/>
      <c r="AO110" s="146"/>
      <c r="AP110" s="35"/>
      <c r="AQ110" s="24"/>
      <c r="AR110" s="150"/>
      <c r="AS110" s="65"/>
      <c r="AT110" s="65"/>
      <c r="AU110" s="61"/>
      <c r="AV110" s="61"/>
      <c r="AW110" s="61"/>
      <c r="AX110" s="61"/>
      <c r="AY110" s="61"/>
      <c r="AZ110" s="62"/>
      <c r="BA110" s="64"/>
      <c r="BB110" s="62"/>
    </row>
    <row r="111" spans="1:54" s="25" customFormat="1" ht="15" customHeight="1" x14ac:dyDescent="0.2">
      <c r="A111" s="35"/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24"/>
      <c r="Q111" s="25">
        <v>45</v>
      </c>
      <c r="R111" s="62">
        <v>8.6995289819924455</v>
      </c>
      <c r="S111" s="62">
        <v>4.1602011261945204</v>
      </c>
      <c r="T111" s="62">
        <v>219.93539428710937</v>
      </c>
      <c r="U111" s="62">
        <v>9.6430844608411821</v>
      </c>
      <c r="V111" s="277">
        <v>1.9286168921682365E-2</v>
      </c>
      <c r="W111" s="62">
        <v>0.30168660994071694</v>
      </c>
      <c r="X111" s="62">
        <v>7.0391872745487323</v>
      </c>
      <c r="Y111" s="277">
        <v>1.4078374549097465E-2</v>
      </c>
      <c r="Z111" s="62"/>
      <c r="AA111" s="277"/>
      <c r="AB111" s="62"/>
      <c r="AC111" s="201">
        <f t="shared" si="1"/>
        <v>34.280697827029094</v>
      </c>
      <c r="AD111" s="201">
        <f t="shared" si="2"/>
        <v>27.293186182635207</v>
      </c>
      <c r="AE111" s="24"/>
      <c r="AF111" s="130" t="s">
        <v>178</v>
      </c>
      <c r="AG111" s="131">
        <v>0</v>
      </c>
      <c r="AH111" s="132">
        <f>AH110</f>
        <v>53.77221451703214</v>
      </c>
      <c r="AI111" s="65"/>
      <c r="AJ111" s="65"/>
      <c r="AK111" s="65"/>
      <c r="AL111" s="65"/>
      <c r="AM111" s="55"/>
      <c r="AN111" s="195"/>
      <c r="AO111" s="55"/>
      <c r="AP111" s="195"/>
      <c r="AQ111" s="24"/>
      <c r="AR111" s="65"/>
      <c r="AS111" s="65"/>
      <c r="AT111" s="65"/>
      <c r="AU111" s="61"/>
      <c r="AV111" s="61"/>
      <c r="AW111" s="61"/>
      <c r="AX111" s="61"/>
      <c r="AY111" s="61"/>
      <c r="AZ111" s="62"/>
      <c r="BA111" s="64"/>
      <c r="BB111" s="62"/>
    </row>
    <row r="112" spans="1:54" s="25" customFormat="1" ht="15" customHeight="1" x14ac:dyDescent="0.2">
      <c r="A112" s="35"/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24"/>
      <c r="Q112" s="25">
        <v>46</v>
      </c>
      <c r="R112" s="62">
        <v>8.9886230999397192</v>
      </c>
      <c r="S112" s="62">
        <v>4.2563701999123902</v>
      </c>
      <c r="T112" s="62">
        <v>219.93634033203125</v>
      </c>
      <c r="U112" s="62">
        <v>9.945452856027833</v>
      </c>
      <c r="V112" s="277">
        <v>1.9890905712055665E-2</v>
      </c>
      <c r="W112" s="62">
        <v>0.30764896852248924</v>
      </c>
      <c r="X112" s="62">
        <v>7.3438449951005724</v>
      </c>
      <c r="Y112" s="277">
        <v>1.4687689990201145E-2</v>
      </c>
      <c r="Z112" s="62"/>
      <c r="AA112" s="277"/>
      <c r="AB112" s="62"/>
      <c r="AC112" s="201">
        <f t="shared" si="1"/>
        <v>34.581478665994808</v>
      </c>
      <c r="AD112" s="201">
        <f t="shared" si="2"/>
        <v>27.595202116179017</v>
      </c>
      <c r="AE112" s="24"/>
      <c r="AF112" s="126"/>
      <c r="AG112" s="129">
        <f>AG110</f>
        <v>2.5000000000000001E-2</v>
      </c>
      <c r="AH112" s="128">
        <f>AH111</f>
        <v>53.77221451703214</v>
      </c>
      <c r="AI112" s="65"/>
      <c r="AJ112" s="65"/>
      <c r="AK112" s="65"/>
      <c r="AL112" s="65"/>
      <c r="AM112" s="28"/>
      <c r="AN112" s="28"/>
      <c r="AO112" s="149"/>
      <c r="AP112" s="28"/>
      <c r="AQ112" s="24"/>
      <c r="AR112" s="65"/>
      <c r="AS112" s="65"/>
      <c r="AT112" s="65"/>
      <c r="AU112" s="61"/>
      <c r="AV112" s="61"/>
      <c r="AW112" s="61"/>
      <c r="AX112" s="61"/>
      <c r="AY112" s="61"/>
      <c r="AZ112" s="62"/>
      <c r="BA112" s="64"/>
      <c r="BB112" s="62"/>
    </row>
    <row r="113" spans="1:54" s="25" customFormat="1" ht="15" customHeight="1" x14ac:dyDescent="0.2">
      <c r="A113" s="35"/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24"/>
      <c r="Q113" s="25">
        <v>47</v>
      </c>
      <c r="R113" s="62">
        <v>9.2833077502287846</v>
      </c>
      <c r="S113" s="62">
        <v>4.3545747625334235</v>
      </c>
      <c r="T113" s="62">
        <v>219.93753051757812</v>
      </c>
      <c r="U113" s="62">
        <v>10.253883369141217</v>
      </c>
      <c r="V113" s="277">
        <v>2.0507766738282435E-2</v>
      </c>
      <c r="W113" s="62">
        <v>0.31358117926772011</v>
      </c>
      <c r="X113" s="62">
        <v>7.6544493006944663</v>
      </c>
      <c r="Y113" s="277">
        <v>1.5308898601388933E-2</v>
      </c>
      <c r="Z113" s="62"/>
      <c r="AA113" s="277"/>
      <c r="AB113" s="62"/>
      <c r="AC113" s="201">
        <f t="shared" si="1"/>
        <v>34.888174077152726</v>
      </c>
      <c r="AD113" s="201">
        <f t="shared" si="2"/>
        <v>27.90315126745185</v>
      </c>
      <c r="AE113" s="24"/>
      <c r="AF113" s="130"/>
      <c r="AG113" s="131">
        <f>AG112</f>
        <v>2.5000000000000001E-2</v>
      </c>
      <c r="AH113" s="132">
        <v>0</v>
      </c>
      <c r="AI113" s="65"/>
      <c r="AJ113" s="65"/>
      <c r="AK113" s="65"/>
      <c r="AL113" s="65"/>
      <c r="AM113" s="150"/>
      <c r="AN113" s="150"/>
      <c r="AO113" s="150"/>
      <c r="AP113" s="150"/>
      <c r="AR113" s="65"/>
      <c r="AS113" s="65"/>
      <c r="AT113" s="65"/>
      <c r="AU113" s="61"/>
      <c r="AV113" s="61"/>
      <c r="AW113" s="61"/>
      <c r="AX113" s="61"/>
      <c r="AY113" s="61"/>
      <c r="AZ113" s="62"/>
      <c r="BA113" s="64"/>
      <c r="BB113" s="62"/>
    </row>
    <row r="114" spans="1:54" s="25" customFormat="1" ht="15" customHeight="1" x14ac:dyDescent="0.2">
      <c r="A114" s="35"/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24"/>
      <c r="Q114" s="25">
        <v>48</v>
      </c>
      <c r="R114" s="62">
        <v>9.5835526567775222</v>
      </c>
      <c r="S114" s="62">
        <v>4.4548103872568685</v>
      </c>
      <c r="T114" s="62">
        <v>219.93896484375</v>
      </c>
      <c r="U114" s="62">
        <v>10.568340319635775</v>
      </c>
      <c r="V114" s="277">
        <v>2.113668063927155E-2</v>
      </c>
      <c r="W114" s="62">
        <v>0.31948347198832033</v>
      </c>
      <c r="X114" s="62">
        <v>7.9709701376621425</v>
      </c>
      <c r="Y114" s="277">
        <v>1.5941940275324286E-2</v>
      </c>
      <c r="Z114" s="62"/>
      <c r="AA114" s="277"/>
      <c r="AB114" s="62"/>
      <c r="AC114" s="201">
        <f t="shared" si="1"/>
        <v>35.200756311991945</v>
      </c>
      <c r="AD114" s="201">
        <f t="shared" si="2"/>
        <v>28.217005221588227</v>
      </c>
      <c r="AE114" s="24"/>
      <c r="AF114" s="126" t="s">
        <v>116</v>
      </c>
      <c r="AG114" s="129">
        <f>J77/$G$13</f>
        <v>3.360794605850758E-2</v>
      </c>
      <c r="AH114" s="199">
        <f>K77</f>
        <v>65.93881416587304</v>
      </c>
      <c r="AI114" s="65"/>
      <c r="AJ114" s="65"/>
      <c r="AK114" s="65"/>
      <c r="AL114" s="65"/>
      <c r="AM114" s="65"/>
      <c r="AN114" s="65"/>
      <c r="AO114" s="65"/>
      <c r="AP114" s="65"/>
      <c r="AQ114" s="61"/>
      <c r="AR114" s="65"/>
      <c r="AS114" s="65"/>
      <c r="AT114" s="65"/>
      <c r="AU114" s="61"/>
      <c r="AV114" s="61"/>
      <c r="AW114" s="61"/>
      <c r="AX114" s="61"/>
      <c r="AY114" s="61"/>
      <c r="AZ114" s="62"/>
      <c r="BA114" s="64"/>
      <c r="BB114" s="62"/>
    </row>
    <row r="115" spans="1:54" s="25" customFormat="1" ht="15" customHeight="1" x14ac:dyDescent="0.2">
      <c r="A115" s="35"/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24"/>
      <c r="Q115" s="25">
        <v>49</v>
      </c>
      <c r="R115" s="62">
        <v>9.8893277823325754</v>
      </c>
      <c r="S115" s="62">
        <v>4.5570726613878607</v>
      </c>
      <c r="T115" s="62">
        <v>219.94065856933594</v>
      </c>
      <c r="U115" s="62">
        <v>10.888788510554495</v>
      </c>
      <c r="V115" s="277">
        <v>2.1777577021108989E-2</v>
      </c>
      <c r="W115" s="62">
        <v>0.32535608590195975</v>
      </c>
      <c r="X115" s="62">
        <v>8.2933776866064548</v>
      </c>
      <c r="Y115" s="277">
        <v>1.658675537321291E-2</v>
      </c>
      <c r="Z115" s="62"/>
      <c r="AA115" s="277"/>
      <c r="AB115" s="62"/>
      <c r="AC115" s="201">
        <f t="shared" si="1"/>
        <v>35.519197796470635</v>
      </c>
      <c r="AD115" s="201">
        <f t="shared" si="2"/>
        <v>28.536735733529667</v>
      </c>
      <c r="AE115" s="24"/>
      <c r="AF115" s="130" t="s">
        <v>75</v>
      </c>
      <c r="AG115" s="131">
        <v>0</v>
      </c>
      <c r="AH115" s="132">
        <f>AH114</f>
        <v>65.93881416587304</v>
      </c>
      <c r="AI115" s="65"/>
      <c r="AJ115" s="65"/>
      <c r="AK115" s="65"/>
      <c r="AL115" s="65"/>
      <c r="AM115" s="65"/>
      <c r="AN115" s="65"/>
      <c r="AO115" s="65"/>
      <c r="AP115" s="65"/>
      <c r="AQ115" s="61"/>
      <c r="AR115" s="65"/>
      <c r="AS115" s="65"/>
      <c r="AT115" s="65"/>
      <c r="AU115" s="61"/>
      <c r="AV115" s="61"/>
      <c r="AW115" s="61"/>
      <c r="AX115" s="61"/>
      <c r="AY115" s="61"/>
      <c r="AZ115" s="62"/>
      <c r="BA115" s="64"/>
      <c r="BB115" s="62"/>
    </row>
    <row r="116" spans="1:54" s="25" customFormat="1" ht="15" customHeight="1" x14ac:dyDescent="0.2">
      <c r="A116" s="35"/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24"/>
      <c r="Q116" s="25">
        <v>50</v>
      </c>
      <c r="R116" s="62">
        <v>10.200603336120984</v>
      </c>
      <c r="S116" s="62">
        <v>4.6613571930428703</v>
      </c>
      <c r="T116" s="62">
        <v>219.94261169433594</v>
      </c>
      <c r="U116" s="62">
        <v>11.215193235161625</v>
      </c>
      <c r="V116" s="277">
        <v>2.2430386470323249E-2</v>
      </c>
      <c r="W116" s="62">
        <v>0.33119926944659356</v>
      </c>
      <c r="X116" s="62">
        <v>8.6216423716922783</v>
      </c>
      <c r="Y116" s="277">
        <v>1.7243284743384556E-2</v>
      </c>
      <c r="Z116" s="62"/>
      <c r="AA116" s="277"/>
      <c r="AB116" s="62"/>
      <c r="AC116" s="201">
        <f t="shared" si="1"/>
        <v>35.843471138484382</v>
      </c>
      <c r="AD116" s="201">
        <f t="shared" si="2"/>
        <v>28.862314737103414</v>
      </c>
      <c r="AE116" s="24"/>
      <c r="AF116" s="126"/>
      <c r="AG116" s="129">
        <f>AG114</f>
        <v>3.360794605850758E-2</v>
      </c>
      <c r="AH116" s="128">
        <f>AH115</f>
        <v>65.93881416587304</v>
      </c>
      <c r="AI116" s="65"/>
      <c r="AJ116" s="65"/>
      <c r="AK116" s="65"/>
      <c r="AL116" s="65"/>
      <c r="AM116" s="65"/>
      <c r="AN116" s="65"/>
      <c r="AO116" s="65"/>
      <c r="AP116" s="65"/>
      <c r="AQ116" s="61"/>
      <c r="AR116" s="65"/>
      <c r="AS116" s="65"/>
      <c r="AT116" s="65"/>
      <c r="AU116" s="61"/>
      <c r="AV116" s="61"/>
      <c r="AW116" s="61"/>
      <c r="AX116" s="61"/>
      <c r="AY116" s="62"/>
      <c r="AZ116" s="62"/>
      <c r="BA116" s="64"/>
    </row>
    <row r="117" spans="1:54" s="25" customFormat="1" ht="15" customHeight="1" x14ac:dyDescent="0.2">
      <c r="A117" s="35"/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24"/>
      <c r="Q117" s="25">
        <v>51</v>
      </c>
      <c r="R117" s="62">
        <v>10.517349781372328</v>
      </c>
      <c r="S117" s="62">
        <v>4.7676596176434662</v>
      </c>
      <c r="T117" s="62">
        <v>219.94483947753906</v>
      </c>
      <c r="U117" s="62">
        <v>11.547520281577373</v>
      </c>
      <c r="V117" s="277">
        <v>2.3095040563154746E-2</v>
      </c>
      <c r="W117" s="62">
        <v>0.33701328010427106</v>
      </c>
      <c r="X117" s="62">
        <v>8.9557348697567871</v>
      </c>
      <c r="Y117" s="277">
        <v>1.7911469739513575E-2</v>
      </c>
      <c r="Z117" s="62"/>
      <c r="AA117" s="277"/>
      <c r="AB117" s="62"/>
      <c r="AC117" s="201">
        <f t="shared" si="1"/>
        <v>36.17354913546226</v>
      </c>
      <c r="AD117" s="201">
        <f t="shared" si="2"/>
        <v>29.19371435418125</v>
      </c>
      <c r="AE117" s="24"/>
      <c r="AF117" s="130"/>
      <c r="AG117" s="131">
        <f>AG116</f>
        <v>3.360794605850758E-2</v>
      </c>
      <c r="AH117" s="132">
        <v>0</v>
      </c>
      <c r="AI117" s="65"/>
      <c r="AJ117" s="65"/>
      <c r="AK117" s="65"/>
      <c r="AL117" s="65"/>
      <c r="AM117" s="65"/>
      <c r="AN117" s="65"/>
      <c r="AO117" s="65"/>
      <c r="AP117" s="65"/>
      <c r="AQ117" s="61"/>
      <c r="AR117" s="65"/>
      <c r="AS117" s="65"/>
      <c r="AT117" s="65"/>
      <c r="AU117" s="61"/>
      <c r="AV117" s="61"/>
      <c r="AW117" s="61"/>
      <c r="AX117" s="61"/>
      <c r="AY117" s="62"/>
      <c r="AZ117" s="62"/>
      <c r="BA117" s="64"/>
    </row>
    <row r="118" spans="1:54" s="25" customFormat="1" ht="15" customHeight="1" x14ac:dyDescent="0.2">
      <c r="A118" s="35"/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24"/>
      <c r="Q118" s="25">
        <v>52</v>
      </c>
      <c r="R118" s="62">
        <v>10.839537842719738</v>
      </c>
      <c r="S118" s="62">
        <v>4.8759756042041751</v>
      </c>
      <c r="T118" s="62">
        <v>219.94734191894531</v>
      </c>
      <c r="U118" s="62">
        <v>11.885735935841227</v>
      </c>
      <c r="V118" s="277">
        <v>2.3771471871682454E-2</v>
      </c>
      <c r="W118" s="62">
        <v>0.34279838423406067</v>
      </c>
      <c r="X118" s="62">
        <v>9.295626119248336</v>
      </c>
      <c r="Y118" s="277">
        <v>1.8591252238496673E-2</v>
      </c>
      <c r="Z118" s="62"/>
      <c r="AA118" s="277"/>
      <c r="AB118" s="62"/>
      <c r="AC118" s="201">
        <f t="shared" si="1"/>
        <v>36.509404782083791</v>
      </c>
      <c r="AD118" s="201">
        <f t="shared" si="2"/>
        <v>29.530906903904892</v>
      </c>
      <c r="AE118" s="24"/>
      <c r="AF118" s="126" t="s">
        <v>117</v>
      </c>
      <c r="AG118" s="129">
        <f>J78/$G$13</f>
        <v>8.3279957834203368E-3</v>
      </c>
      <c r="AH118" s="199">
        <f>K78</f>
        <v>20.93881416587304</v>
      </c>
      <c r="AI118" s="65"/>
      <c r="AJ118" s="65"/>
      <c r="AK118" s="65"/>
      <c r="AL118" s="65"/>
      <c r="AM118" s="65"/>
      <c r="AN118" s="65"/>
      <c r="AO118" s="65"/>
      <c r="AP118" s="65"/>
      <c r="AQ118" s="61"/>
      <c r="AR118" s="65"/>
      <c r="AS118" s="65"/>
      <c r="AT118" s="65"/>
      <c r="AU118" s="61"/>
      <c r="AV118" s="61"/>
      <c r="AW118" s="61"/>
      <c r="AX118" s="61"/>
      <c r="AY118" s="62"/>
      <c r="AZ118" s="62"/>
      <c r="BA118" s="64"/>
    </row>
    <row r="119" spans="1:54" s="25" customFormat="1" ht="15" customHeight="1" x14ac:dyDescent="0.2">
      <c r="A119" s="35"/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24"/>
      <c r="Q119" s="25">
        <v>53</v>
      </c>
      <c r="R119" s="62">
        <v>11.167138513488077</v>
      </c>
      <c r="S119" s="62">
        <v>4.98630086142016</v>
      </c>
      <c r="T119" s="62">
        <v>219.95010375976562</v>
      </c>
      <c r="U119" s="62">
        <v>12.229806983760133</v>
      </c>
      <c r="V119" s="277">
        <v>2.4459613967520267E-2</v>
      </c>
      <c r="W119" s="62">
        <v>0.34855485691392563</v>
      </c>
      <c r="X119" s="62">
        <v>9.6412873290030703</v>
      </c>
      <c r="Y119" s="277">
        <v>1.9282574658006139E-2</v>
      </c>
      <c r="Z119" s="62"/>
      <c r="AA119" s="277"/>
      <c r="AB119" s="62"/>
      <c r="AC119" s="201">
        <f t="shared" si="1"/>
        <v>36.851011278109617</v>
      </c>
      <c r="AD119" s="201">
        <f t="shared" si="2"/>
        <v>29.873864911965175</v>
      </c>
      <c r="AE119" s="24"/>
      <c r="AF119" s="130" t="s">
        <v>75</v>
      </c>
      <c r="AG119" s="131">
        <v>0</v>
      </c>
      <c r="AH119" s="132">
        <f>AH118</f>
        <v>20.93881416587304</v>
      </c>
      <c r="AI119" s="65"/>
      <c r="AJ119" s="65"/>
      <c r="AK119" s="65"/>
      <c r="AL119" s="65"/>
      <c r="AM119" s="65"/>
      <c r="AN119" s="65"/>
      <c r="AO119" s="65"/>
      <c r="AP119" s="65"/>
      <c r="AQ119" s="61"/>
      <c r="AR119" s="65"/>
      <c r="AS119" s="65"/>
      <c r="AT119" s="65"/>
      <c r="AU119" s="61"/>
      <c r="AV119" s="61"/>
      <c r="AW119" s="61"/>
      <c r="AX119" s="61"/>
      <c r="AY119" s="62"/>
      <c r="AZ119" s="62"/>
      <c r="BA119" s="64"/>
    </row>
    <row r="120" spans="1:54" s="25" customFormat="1" ht="15" customHeight="1" x14ac:dyDescent="0.2">
      <c r="A120" s="35"/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24"/>
      <c r="Q120" s="25">
        <v>54</v>
      </c>
      <c r="R120" s="62">
        <v>11.500123062877265</v>
      </c>
      <c r="S120" s="62">
        <v>5.0986311435604197</v>
      </c>
      <c r="T120" s="62">
        <v>219.95315551757812</v>
      </c>
      <c r="U120" s="62">
        <v>12.579700711837535</v>
      </c>
      <c r="V120" s="277">
        <v>2.5159401423675072E-2</v>
      </c>
      <c r="W120" s="62">
        <v>0.35428298179137807</v>
      </c>
      <c r="X120" s="62">
        <v>9.992689986868152</v>
      </c>
      <c r="Y120" s="277">
        <v>1.9985379973736304E-2</v>
      </c>
      <c r="Z120" s="62"/>
      <c r="AA120" s="277"/>
      <c r="AB120" s="62"/>
      <c r="AC120" s="201">
        <f t="shared" si="1"/>
        <v>37.198342036318493</v>
      </c>
      <c r="AD120" s="201">
        <f t="shared" si="2"/>
        <v>30.22256111992262</v>
      </c>
      <c r="AE120" s="24"/>
      <c r="AF120" s="126"/>
      <c r="AG120" s="129">
        <f>AG118</f>
        <v>8.3279957834203368E-3</v>
      </c>
      <c r="AH120" s="128">
        <f>AH119</f>
        <v>20.93881416587304</v>
      </c>
      <c r="AI120" s="65"/>
      <c r="AJ120" s="65"/>
      <c r="AK120" s="65"/>
      <c r="AL120" s="65"/>
      <c r="AM120" s="65"/>
      <c r="AN120" s="65"/>
      <c r="AO120" s="65"/>
      <c r="AP120" s="65"/>
      <c r="AQ120" s="61"/>
      <c r="AR120" s="65"/>
      <c r="AS120" s="65"/>
      <c r="AT120" s="65"/>
      <c r="AU120" s="61"/>
      <c r="AV120" s="61"/>
      <c r="AW120" s="61"/>
      <c r="AX120" s="61"/>
      <c r="AY120" s="62"/>
      <c r="AZ120" s="62"/>
      <c r="BA120" s="64"/>
    </row>
    <row r="121" spans="1:54" s="25" customFormat="1" ht="15" customHeight="1" x14ac:dyDescent="0.2">
      <c r="A121" s="35"/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24"/>
      <c r="Q121" s="25">
        <v>55</v>
      </c>
      <c r="R121" s="62">
        <v>11.838463043048666</v>
      </c>
      <c r="S121" s="62">
        <v>5.2129622561721689</v>
      </c>
      <c r="T121" s="62">
        <v>219.95649719238281</v>
      </c>
      <c r="U121" s="62">
        <v>12.935384907528059</v>
      </c>
      <c r="V121" s="277">
        <v>2.5870769815056118E-2</v>
      </c>
      <c r="W121" s="62">
        <v>0.35998305094274413</v>
      </c>
      <c r="X121" s="62">
        <v>10.349805868180397</v>
      </c>
      <c r="Y121" s="277">
        <v>2.0699611736360795E-2</v>
      </c>
      <c r="Z121" s="62"/>
      <c r="AA121" s="277"/>
      <c r="AB121" s="62"/>
      <c r="AC121" s="201">
        <f t="shared" si="1"/>
        <v>37.551370690543003</v>
      </c>
      <c r="AD121" s="201">
        <f t="shared" si="2"/>
        <v>30.576968494557939</v>
      </c>
      <c r="AE121" s="24"/>
      <c r="AF121" s="130"/>
      <c r="AG121" s="131">
        <f>AG120</f>
        <v>8.3279957834203368E-3</v>
      </c>
      <c r="AH121" s="132">
        <v>0</v>
      </c>
      <c r="AI121" s="65"/>
      <c r="AJ121" s="65"/>
      <c r="AK121" s="65"/>
      <c r="AL121" s="65"/>
      <c r="AM121" s="65"/>
      <c r="AN121" s="65"/>
      <c r="AO121" s="65"/>
      <c r="AP121" s="65"/>
      <c r="AQ121" s="61"/>
      <c r="AR121" s="65"/>
      <c r="AS121" s="65"/>
      <c r="AT121" s="65"/>
      <c r="AU121" s="61"/>
      <c r="AV121" s="61"/>
      <c r="AW121" s="61"/>
      <c r="AX121" s="61"/>
      <c r="AY121" s="62"/>
      <c r="AZ121" s="62"/>
      <c r="BA121" s="64"/>
    </row>
    <row r="122" spans="1:54" s="25" customFormat="1" ht="15" customHeight="1" x14ac:dyDescent="0.2">
      <c r="A122" s="35"/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24"/>
      <c r="Q122" s="25">
        <v>56</v>
      </c>
      <c r="R122" s="62">
        <v>12.182130296122118</v>
      </c>
      <c r="S122" s="62">
        <v>5.3292900616019949</v>
      </c>
      <c r="T122" s="62">
        <v>219.96011352539062</v>
      </c>
      <c r="U122" s="62">
        <v>13.296827859019089</v>
      </c>
      <c r="V122" s="277">
        <v>2.6593655718038178E-2</v>
      </c>
      <c r="W122" s="62">
        <v>0.36565536474086774</v>
      </c>
      <c r="X122" s="62">
        <v>10.712607044108811</v>
      </c>
      <c r="Y122" s="277">
        <v>2.1425214088217622E-2</v>
      </c>
      <c r="Z122" s="62"/>
      <c r="AA122" s="277"/>
      <c r="AB122" s="62"/>
      <c r="AC122" s="201">
        <f t="shared" si="1"/>
        <v>37.910071103796128</v>
      </c>
      <c r="AD122" s="201">
        <f t="shared" si="2"/>
        <v>30.937060237241447</v>
      </c>
      <c r="AE122" s="24"/>
      <c r="AF122" s="134"/>
      <c r="AG122" s="65"/>
      <c r="AH122" s="65"/>
      <c r="AI122" s="65"/>
      <c r="AJ122" s="65"/>
      <c r="AK122" s="65"/>
      <c r="AL122" s="65"/>
      <c r="AM122" s="65"/>
      <c r="AN122" s="65"/>
      <c r="AO122" s="65"/>
      <c r="AP122" s="65"/>
      <c r="AQ122" s="61"/>
      <c r="AR122" s="65"/>
      <c r="AS122" s="65"/>
      <c r="AT122" s="65"/>
      <c r="AU122" s="61"/>
      <c r="AV122" s="61"/>
      <c r="AW122" s="61"/>
      <c r="AX122" s="61"/>
      <c r="AY122" s="62"/>
      <c r="AZ122" s="62"/>
      <c r="BA122" s="64"/>
    </row>
    <row r="123" spans="1:54" s="25" customFormat="1" ht="15" customHeight="1" x14ac:dyDescent="0.2">
      <c r="A123" s="35"/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24"/>
      <c r="Q123" s="25">
        <v>57</v>
      </c>
      <c r="R123" s="62">
        <v>12.531096961091128</v>
      </c>
      <c r="S123" s="62">
        <v>5.4476104843393713</v>
      </c>
      <c r="T123" s="62">
        <v>219.96403503417969</v>
      </c>
      <c r="U123" s="62">
        <v>13.663998354703924</v>
      </c>
      <c r="V123" s="277">
        <v>2.7327996709407849E-2</v>
      </c>
      <c r="W123" s="62">
        <v>0.37130023173108256</v>
      </c>
      <c r="X123" s="62">
        <v>11.08106588986951</v>
      </c>
      <c r="Y123" s="277">
        <v>2.2162131779739021E-2</v>
      </c>
      <c r="Z123" s="62"/>
      <c r="AA123" s="277"/>
      <c r="AB123" s="62"/>
      <c r="AC123" s="201">
        <f t="shared" si="1"/>
        <v>38.274417376481232</v>
      </c>
      <c r="AD123" s="201">
        <f t="shared" si="2"/>
        <v>31.30280979331144</v>
      </c>
      <c r="AE123" s="24"/>
      <c r="AF123" s="134"/>
      <c r="AG123" s="65"/>
      <c r="AH123" s="65"/>
      <c r="AI123" s="65"/>
      <c r="AJ123" s="65"/>
      <c r="AK123" s="65"/>
      <c r="AL123" s="65"/>
      <c r="AM123" s="65"/>
      <c r="AN123" s="65"/>
      <c r="AO123" s="65"/>
      <c r="AP123" s="65"/>
      <c r="AQ123" s="61"/>
      <c r="AR123" s="65"/>
      <c r="AS123" s="65"/>
      <c r="AT123" s="65"/>
      <c r="AU123" s="61"/>
      <c r="AV123" s="61"/>
      <c r="AW123" s="61"/>
      <c r="AX123" s="61"/>
      <c r="AY123" s="62"/>
      <c r="AZ123" s="62"/>
      <c r="BA123" s="64"/>
    </row>
    <row r="124" spans="1:54" s="25" customFormat="1" ht="15" customHeight="1" x14ac:dyDescent="0.2">
      <c r="A124" s="35"/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24"/>
      <c r="Q124" s="25">
        <v>58</v>
      </c>
      <c r="R124" s="62">
        <v>12.885335480663496</v>
      </c>
      <c r="S124" s="62">
        <v>5.5679195161880424</v>
      </c>
      <c r="T124" s="62">
        <v>219.96823120117187</v>
      </c>
      <c r="U124" s="62">
        <v>14.036865682480304</v>
      </c>
      <c r="V124" s="277">
        <v>2.8073731364960608E-2</v>
      </c>
      <c r="W124" s="62">
        <v>0.37691796851528142</v>
      </c>
      <c r="X124" s="62">
        <v>11.455155092821185</v>
      </c>
      <c r="Y124" s="277">
        <v>2.2910310185642369E-2</v>
      </c>
      <c r="Z124" s="62"/>
      <c r="AA124" s="277"/>
      <c r="AB124" s="62"/>
      <c r="AC124" s="201">
        <f t="shared" si="1"/>
        <v>38.644383854677763</v>
      </c>
      <c r="AD124" s="201">
        <f t="shared" si="2"/>
        <v>31.674190861452217</v>
      </c>
      <c r="AE124" s="24"/>
      <c r="AF124" s="134"/>
      <c r="AG124" s="65"/>
      <c r="AH124" s="65"/>
      <c r="AI124" s="65"/>
      <c r="AJ124" s="65"/>
      <c r="AK124" s="65"/>
      <c r="AL124" s="65"/>
      <c r="AM124" s="65"/>
      <c r="AN124" s="65"/>
      <c r="AO124" s="65"/>
      <c r="AP124" s="65"/>
      <c r="AQ124" s="61"/>
      <c r="AR124" s="65"/>
      <c r="AS124" s="65"/>
      <c r="AT124" s="65"/>
      <c r="AU124" s="61"/>
      <c r="AV124" s="61"/>
      <c r="AW124" s="61"/>
      <c r="AX124" s="61"/>
      <c r="AY124" s="61"/>
      <c r="AZ124" s="62"/>
      <c r="BA124" s="64"/>
      <c r="BB124" s="62"/>
    </row>
    <row r="125" spans="1:54" s="25" customFormat="1" ht="15" customHeight="1" x14ac:dyDescent="0.2">
      <c r="A125" s="58"/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24"/>
      <c r="Q125" s="25">
        <v>59</v>
      </c>
      <c r="R125" s="62">
        <v>13.244818608034462</v>
      </c>
      <c r="S125" s="62">
        <v>5.6902132212707635</v>
      </c>
      <c r="T125" s="62">
        <v>219.97273254394531</v>
      </c>
      <c r="U125" s="62">
        <v>14.415399628982215</v>
      </c>
      <c r="V125" s="277">
        <v>2.8830799257964428E-2</v>
      </c>
      <c r="W125" s="62">
        <v>0.38250889964391394</v>
      </c>
      <c r="X125" s="62">
        <v>11.83484766044919</v>
      </c>
      <c r="Y125" s="277">
        <v>2.3669695320898382E-2</v>
      </c>
      <c r="Z125" s="62"/>
      <c r="AA125" s="277"/>
      <c r="AB125" s="62"/>
      <c r="AC125" s="201">
        <f t="shared" si="1"/>
        <v>39.019945138495395</v>
      </c>
      <c r="AD125" s="201">
        <f t="shared" si="2"/>
        <v>32.051177403063548</v>
      </c>
      <c r="AE125" s="24"/>
      <c r="AF125" s="134"/>
      <c r="AG125" s="65"/>
      <c r="AH125" s="65"/>
      <c r="AI125" s="65"/>
      <c r="AJ125" s="65"/>
      <c r="AK125" s="65"/>
      <c r="AL125" s="65"/>
      <c r="AM125" s="65"/>
      <c r="AN125" s="65"/>
      <c r="AO125" s="65"/>
      <c r="AP125" s="65"/>
      <c r="AQ125" s="61"/>
      <c r="AR125" s="65"/>
      <c r="AS125" s="65"/>
      <c r="AT125" s="65"/>
      <c r="AU125" s="61"/>
      <c r="AV125" s="61"/>
      <c r="AW125" s="61"/>
      <c r="AX125" s="61"/>
      <c r="AY125" s="61"/>
      <c r="AZ125" s="62"/>
      <c r="BA125" s="64"/>
      <c r="BB125" s="62"/>
    </row>
    <row r="126" spans="1:54" s="25" customFormat="1" ht="15" customHeight="1" x14ac:dyDescent="0.2">
      <c r="A126" s="58"/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24"/>
      <c r="Q126" s="25">
        <v>60</v>
      </c>
      <c r="R126" s="62">
        <v>13.609519413599289</v>
      </c>
      <c r="S126" s="62">
        <v>5.8144877408728197</v>
      </c>
      <c r="T126" s="62">
        <v>219.97752380371094</v>
      </c>
      <c r="U126" s="62">
        <v>14.799570478831344</v>
      </c>
      <c r="V126" s="277">
        <v>2.9599140957662688E-2</v>
      </c>
      <c r="W126" s="62">
        <v>0.3880733575157439</v>
      </c>
      <c r="X126" s="62">
        <v>12.220116928246137</v>
      </c>
      <c r="Y126" s="277">
        <v>2.4440233856492275E-2</v>
      </c>
      <c r="Z126" s="62"/>
      <c r="AA126" s="277"/>
      <c r="AB126" s="62"/>
      <c r="AC126" s="201">
        <f t="shared" si="1"/>
        <v>39.401076090489475</v>
      </c>
      <c r="AD126" s="201">
        <f t="shared" si="2"/>
        <v>32.433743651613881</v>
      </c>
      <c r="AE126" s="24"/>
      <c r="AF126" s="134"/>
      <c r="AG126" s="65"/>
      <c r="AH126" s="65"/>
      <c r="AI126" s="65"/>
      <c r="AJ126" s="65"/>
      <c r="AK126" s="65"/>
      <c r="AL126" s="65"/>
      <c r="AM126" s="65"/>
      <c r="AN126" s="65"/>
      <c r="AO126" s="65"/>
      <c r="AP126" s="65"/>
      <c r="AQ126" s="61"/>
      <c r="AR126" s="65"/>
      <c r="AS126" s="65"/>
      <c r="AT126" s="65"/>
      <c r="AU126" s="61"/>
      <c r="AV126" s="61"/>
      <c r="AW126" s="61"/>
      <c r="AX126" s="61"/>
      <c r="AY126" s="61"/>
      <c r="AZ126" s="62"/>
      <c r="BA126" s="64"/>
      <c r="BB126" s="62"/>
    </row>
    <row r="127" spans="1:54" s="25" customFormat="1" ht="15" customHeight="1" x14ac:dyDescent="0.2">
      <c r="A127" s="58"/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24"/>
      <c r="Q127" s="25">
        <v>61</v>
      </c>
      <c r="R127" s="62">
        <v>13.979411291612019</v>
      </c>
      <c r="S127" s="62">
        <v>5.9407392981297358</v>
      </c>
      <c r="T127" s="62">
        <v>219.98262023925781</v>
      </c>
      <c r="U127" s="62">
        <v>15.189349013976623</v>
      </c>
      <c r="V127" s="277">
        <v>3.0378698027953246E-2</v>
      </c>
      <c r="W127" s="62">
        <v>0.39361168228519994</v>
      </c>
      <c r="X127" s="62">
        <v>12.610936567496704</v>
      </c>
      <c r="Y127" s="277">
        <v>2.5221873134993408E-2</v>
      </c>
      <c r="Z127" s="62"/>
      <c r="AA127" s="277"/>
      <c r="AB127" s="62"/>
      <c r="AC127" s="201">
        <f t="shared" si="1"/>
        <v>39.787751844131051</v>
      </c>
      <c r="AD127" s="201">
        <f t="shared" si="2"/>
        <v>32.821864121970954</v>
      </c>
      <c r="AE127" s="24"/>
      <c r="AF127" s="134"/>
      <c r="AG127" s="65"/>
      <c r="AH127" s="65"/>
      <c r="AI127" s="65"/>
      <c r="AJ127" s="65"/>
      <c r="AK127" s="65"/>
      <c r="AL127" s="65"/>
      <c r="AM127" s="65"/>
      <c r="AN127" s="65"/>
      <c r="AO127" s="65"/>
      <c r="AP127" s="65"/>
      <c r="AQ127" s="61"/>
      <c r="AR127" s="65"/>
      <c r="AS127" s="65"/>
      <c r="AT127" s="65"/>
      <c r="AU127" s="61"/>
      <c r="AV127" s="61"/>
      <c r="AW127" s="61"/>
      <c r="AX127" s="61"/>
      <c r="AY127" s="61"/>
      <c r="AZ127" s="62"/>
      <c r="BA127" s="64"/>
      <c r="BB127" s="62"/>
    </row>
    <row r="128" spans="1:54" s="25" customFormat="1" ht="15" customHeight="1" x14ac:dyDescent="0.2">
      <c r="A128" s="58"/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24"/>
      <c r="Q128" s="25">
        <v>62</v>
      </c>
      <c r="R128" s="62">
        <v>14.354467966796939</v>
      </c>
      <c r="S128" s="62">
        <v>6.0689642025645067</v>
      </c>
      <c r="T128" s="62">
        <v>219.98800659179687</v>
      </c>
      <c r="U128" s="62">
        <v>15.584706513175309</v>
      </c>
      <c r="V128" s="277">
        <v>3.116941302635062E-2</v>
      </c>
      <c r="W128" s="62">
        <v>0.39912422177715512</v>
      </c>
      <c r="X128" s="62">
        <v>13.007280592974194</v>
      </c>
      <c r="Y128" s="277">
        <v>2.6014561185948387E-2</v>
      </c>
      <c r="Z128" s="62"/>
      <c r="AA128" s="277"/>
      <c r="AB128" s="62"/>
      <c r="AC128" s="201">
        <f t="shared" si="1"/>
        <v>40.179947812324961</v>
      </c>
      <c r="AD128" s="201">
        <f t="shared" si="2"/>
        <v>33.215513619703721</v>
      </c>
      <c r="AE128" s="24"/>
      <c r="AF128" s="134"/>
      <c r="AG128" s="65"/>
      <c r="AH128" s="65"/>
      <c r="AI128" s="65"/>
      <c r="AJ128" s="65"/>
      <c r="AK128" s="65"/>
      <c r="AL128" s="65"/>
      <c r="AM128" s="65"/>
      <c r="AN128" s="65"/>
      <c r="AO128" s="65"/>
      <c r="AP128" s="65"/>
      <c r="AQ128" s="61"/>
      <c r="AR128" s="65"/>
      <c r="AS128" s="65"/>
      <c r="AT128" s="65"/>
      <c r="AU128" s="61"/>
      <c r="AV128" s="61"/>
      <c r="AW128" s="61"/>
      <c r="AX128" s="61"/>
      <c r="AY128" s="61"/>
      <c r="AZ128" s="62"/>
      <c r="BA128" s="64"/>
      <c r="BB128" s="62"/>
    </row>
    <row r="129" spans="1:56" s="25" customFormat="1" ht="15" customHeight="1" x14ac:dyDescent="0.2">
      <c r="A129" s="35"/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24"/>
      <c r="Q129" s="25">
        <v>63</v>
      </c>
      <c r="R129" s="62">
        <v>14.734663500919138</v>
      </c>
      <c r="S129" s="62">
        <v>6.1991588544796858</v>
      </c>
      <c r="T129" s="62">
        <v>219.99368286132812</v>
      </c>
      <c r="U129" s="62">
        <v>15.985614751656959</v>
      </c>
      <c r="V129" s="277">
        <v>3.1971229503313915E-2</v>
      </c>
      <c r="W129" s="62">
        <v>0.4046113314089721</v>
      </c>
      <c r="X129" s="62">
        <v>13.409123370556228</v>
      </c>
      <c r="Y129" s="277">
        <v>2.6818246741112457E-2</v>
      </c>
      <c r="Z129" s="62"/>
      <c r="AA129" s="277"/>
      <c r="AB129" s="62"/>
      <c r="AC129" s="201">
        <f t="shared" si="1"/>
        <v>40.577639695970021</v>
      </c>
      <c r="AD129" s="201">
        <f t="shared" si="2"/>
        <v>33.61466725035104</v>
      </c>
      <c r="AE129" s="24"/>
      <c r="AF129" s="134"/>
      <c r="AG129" s="65"/>
      <c r="AH129" s="65"/>
      <c r="AI129" s="65"/>
      <c r="AJ129" s="65"/>
      <c r="AK129" s="65"/>
      <c r="AL129" s="65"/>
      <c r="AM129" s="65"/>
      <c r="AN129" s="65"/>
      <c r="AO129" s="65"/>
      <c r="AP129" s="65"/>
      <c r="AQ129" s="61"/>
      <c r="AR129" s="65"/>
      <c r="AS129" s="65"/>
      <c r="AT129" s="65"/>
      <c r="AU129" s="61"/>
      <c r="AV129" s="61"/>
      <c r="AW129" s="61"/>
      <c r="AX129" s="61"/>
      <c r="AY129" s="61"/>
      <c r="AZ129" s="62"/>
      <c r="BA129" s="64"/>
      <c r="BB129" s="62"/>
    </row>
    <row r="130" spans="1:56" s="25" customFormat="1" ht="15" customHeight="1" x14ac:dyDescent="0.2">
      <c r="A130" s="35"/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24"/>
      <c r="Q130" s="25">
        <v>64</v>
      </c>
      <c r="R130" s="62">
        <v>15.119972299320358</v>
      </c>
      <c r="S130" s="62">
        <v>6.3313197492095847</v>
      </c>
      <c r="T130" s="62">
        <v>219.99966430664062</v>
      </c>
      <c r="U130" s="62">
        <v>16.392046001001408</v>
      </c>
      <c r="V130" s="277">
        <v>3.2784092002002815E-2</v>
      </c>
      <c r="W130" s="62">
        <v>0.41007337411965628</v>
      </c>
      <c r="X130" s="62">
        <v>13.816439624766812</v>
      </c>
      <c r="Y130" s="277">
        <v>2.7632879249533622E-2</v>
      </c>
      <c r="Z130" s="62"/>
      <c r="AA130" s="277"/>
      <c r="AB130" s="62"/>
      <c r="AC130" s="201">
        <f t="shared" ref="AC130:AC193" si="21">IF(Q130="","",SQRT(($R130-$AT$68)^2+($S130-$AU$68)^2))</f>
        <v>40.980803492555637</v>
      </c>
      <c r="AD130" s="201">
        <f t="shared" ref="AD130:AD193" si="22">IF(Q130="","",SQRT(($R130-$AR$68)^2+($S130-$AS$68)^2))</f>
        <v>34.019300428652791</v>
      </c>
      <c r="AE130" s="24"/>
      <c r="AF130" s="134"/>
      <c r="AG130" s="65"/>
      <c r="AH130" s="65"/>
      <c r="AI130" s="65"/>
      <c r="AJ130" s="65"/>
      <c r="AK130" s="65"/>
      <c r="AL130" s="65"/>
      <c r="AM130" s="65"/>
      <c r="AN130" s="65"/>
      <c r="AO130" s="65"/>
      <c r="AP130" s="65"/>
      <c r="AQ130" s="61"/>
      <c r="AR130" s="65"/>
      <c r="AS130" s="65"/>
      <c r="AT130" s="65"/>
      <c r="AU130" s="61"/>
      <c r="AV130" s="61"/>
      <c r="AW130" s="61"/>
      <c r="AX130" s="61"/>
      <c r="AY130" s="61"/>
      <c r="AZ130" s="62"/>
      <c r="BA130" s="64"/>
      <c r="BB130" s="62"/>
    </row>
    <row r="131" spans="1:56" s="25" customFormat="1" ht="15" customHeight="1" x14ac:dyDescent="0.2">
      <c r="A131" s="35"/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24"/>
      <c r="Q131" s="25">
        <v>65</v>
      </c>
      <c r="R131" s="62">
        <v>15.510369117426183</v>
      </c>
      <c r="S131" s="62">
        <v>6.4654434812378447</v>
      </c>
      <c r="T131" s="62">
        <v>220.00593566894531</v>
      </c>
      <c r="U131" s="62">
        <v>16.80397302925379</v>
      </c>
      <c r="V131" s="277">
        <v>3.360794605850758E-2</v>
      </c>
      <c r="W131" s="62">
        <v>0.41551072030596048</v>
      </c>
      <c r="X131" s="62">
        <v>14.229204446251824</v>
      </c>
      <c r="Y131" s="277">
        <v>2.8458408892503648E-2</v>
      </c>
      <c r="Z131" s="62"/>
      <c r="AA131" s="277"/>
      <c r="AB131" s="62"/>
      <c r="AC131" s="201">
        <f t="shared" si="21"/>
        <v>41.389415504789767</v>
      </c>
      <c r="AD131" s="201">
        <f t="shared" si="22"/>
        <v>34.429388887740231</v>
      </c>
      <c r="AE131" s="24"/>
      <c r="AF131" s="134"/>
      <c r="AG131" s="65"/>
      <c r="AH131" s="65"/>
      <c r="AI131" s="65"/>
      <c r="AJ131" s="65"/>
      <c r="AK131" s="65"/>
      <c r="AL131" s="65"/>
      <c r="AM131" s="65"/>
      <c r="AN131" s="65"/>
      <c r="AO131" s="65"/>
      <c r="AP131" s="65"/>
      <c r="AQ131" s="61"/>
      <c r="AR131" s="65"/>
      <c r="AS131" s="65"/>
      <c r="AT131" s="65"/>
      <c r="AU131" s="61"/>
      <c r="AV131" s="61"/>
      <c r="AW131" s="61"/>
      <c r="AX131" s="61"/>
      <c r="AY131" s="61"/>
      <c r="AZ131" s="62"/>
      <c r="BA131" s="64"/>
      <c r="BB131" s="62"/>
    </row>
    <row r="132" spans="1:56" ht="15" customHeight="1" x14ac:dyDescent="0.2">
      <c r="A132" s="35"/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Q132" s="25">
        <v>66</v>
      </c>
      <c r="R132" s="62">
        <v>15.905829067230387</v>
      </c>
      <c r="S132" s="62">
        <v>6.6015267481856021</v>
      </c>
      <c r="T132" s="62">
        <v>220.01249694824219</v>
      </c>
      <c r="U132" s="62">
        <v>17.221369101292762</v>
      </c>
      <c r="V132" s="277">
        <v>3.4442738202585525E-2</v>
      </c>
      <c r="W132" s="62">
        <v>0.42092374776532093</v>
      </c>
      <c r="X132" s="62">
        <v>14.647393299194814</v>
      </c>
      <c r="Y132" s="277">
        <v>2.9294786598389629E-2</v>
      </c>
      <c r="Z132" s="62"/>
      <c r="AA132" s="277"/>
      <c r="AB132" s="62"/>
      <c r="AC132" s="201">
        <f t="shared" si="21"/>
        <v>41.803452349253369</v>
      </c>
      <c r="AD132" s="201">
        <f t="shared" si="22"/>
        <v>34.844908688283056</v>
      </c>
      <c r="AF132" s="134"/>
      <c r="AG132" s="65"/>
      <c r="AH132" s="65"/>
      <c r="AI132" s="65"/>
      <c r="AJ132" s="65"/>
      <c r="AK132" s="65"/>
      <c r="AL132" s="65"/>
      <c r="AM132" s="65"/>
      <c r="AN132" s="65"/>
      <c r="AO132" s="65"/>
      <c r="AP132" s="65"/>
      <c r="AQ132" s="61"/>
      <c r="AR132" s="65"/>
      <c r="AS132" s="65"/>
      <c r="AT132" s="65"/>
      <c r="AU132" s="61"/>
      <c r="AV132" s="61"/>
      <c r="AW132" s="61"/>
      <c r="AX132" s="61"/>
      <c r="AY132" s="61"/>
      <c r="AZ132" s="61"/>
      <c r="BB132" s="61"/>
      <c r="BC132" s="24"/>
      <c r="BD132" s="24"/>
    </row>
    <row r="133" spans="1:56" ht="15" customHeight="1" x14ac:dyDescent="0.2">
      <c r="A133" s="35"/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Q133" s="25">
        <v>67</v>
      </c>
      <c r="R133" s="62">
        <v>16.306327623762201</v>
      </c>
      <c r="S133" s="62">
        <v>6.7395663546755165</v>
      </c>
      <c r="T133" s="62">
        <v>220.01936340332031</v>
      </c>
      <c r="U133" s="62">
        <v>17.644207979462962</v>
      </c>
      <c r="V133" s="277">
        <v>3.5288415958925921E-2</v>
      </c>
      <c r="W133" s="62">
        <v>0.42631284164547162</v>
      </c>
      <c r="X133" s="62">
        <v>15.070982028679936</v>
      </c>
      <c r="Y133" s="277">
        <v>3.0141964057359871E-2</v>
      </c>
      <c r="Z133" s="62"/>
      <c r="AA133" s="277"/>
      <c r="AB133" s="62"/>
      <c r="AC133" s="201">
        <f t="shared" si="21"/>
        <v>42.222890965077283</v>
      </c>
      <c r="AD133" s="201">
        <f t="shared" si="22"/>
        <v>35.265836227591386</v>
      </c>
      <c r="AF133" s="134"/>
      <c r="AG133" s="65"/>
      <c r="AH133" s="65"/>
      <c r="AI133" s="65"/>
      <c r="AJ133" s="65"/>
      <c r="AK133" s="65"/>
      <c r="AL133" s="65"/>
      <c r="AM133" s="65"/>
      <c r="AN133" s="65"/>
      <c r="AO133" s="65"/>
      <c r="AP133" s="65"/>
      <c r="AQ133" s="61"/>
      <c r="AR133" s="65"/>
      <c r="AS133" s="65"/>
      <c r="AT133" s="65"/>
      <c r="AU133" s="61"/>
      <c r="AV133" s="61"/>
      <c r="AW133" s="61"/>
      <c r="AX133" s="61"/>
      <c r="AY133" s="61"/>
      <c r="AZ133" s="61"/>
      <c r="BB133" s="61"/>
      <c r="BC133" s="24"/>
      <c r="BD133" s="24"/>
    </row>
    <row r="134" spans="1:56" ht="15" customHeight="1" x14ac:dyDescent="0.2">
      <c r="A134" s="35"/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Q134" s="25">
        <v>68</v>
      </c>
      <c r="R134" s="62">
        <v>16.711840631542039</v>
      </c>
      <c r="S134" s="62">
        <v>6.8795592160768075</v>
      </c>
      <c r="T134" s="62">
        <v>220.02650451660156</v>
      </c>
      <c r="U134" s="62">
        <v>18.072463924478221</v>
      </c>
      <c r="V134" s="277">
        <v>3.614492784895644E-2</v>
      </c>
      <c r="W134" s="62">
        <v>0.43167839440052946</v>
      </c>
      <c r="X134" s="62">
        <v>15.499946868008657</v>
      </c>
      <c r="Y134" s="277">
        <v>3.0999893736017314E-2</v>
      </c>
      <c r="Z134" s="62"/>
      <c r="AA134" s="277"/>
      <c r="AB134" s="62"/>
      <c r="AC134" s="201">
        <f t="shared" si="21"/>
        <v>42.647708622637701</v>
      </c>
      <c r="AD134" s="201">
        <f t="shared" si="22"/>
        <v>35.69214824867155</v>
      </c>
      <c r="AF134" s="134"/>
      <c r="AG134" s="65"/>
      <c r="AH134" s="65"/>
      <c r="AI134" s="65"/>
      <c r="AJ134" s="65"/>
      <c r="AK134" s="65"/>
      <c r="AL134" s="65"/>
      <c r="AM134" s="65"/>
      <c r="AN134" s="65"/>
      <c r="AO134" s="65"/>
      <c r="AP134" s="65"/>
      <c r="AQ134" s="61"/>
      <c r="AR134" s="65"/>
      <c r="AS134" s="65"/>
      <c r="AT134" s="65"/>
      <c r="AU134" s="61"/>
      <c r="AV134" s="61"/>
      <c r="AW134" s="61"/>
      <c r="AX134" s="61"/>
      <c r="AY134" s="61"/>
      <c r="AZ134" s="61"/>
      <c r="BB134" s="61"/>
      <c r="BC134" s="24"/>
      <c r="BD134" s="24"/>
    </row>
    <row r="135" spans="1:56" ht="15" customHeight="1" x14ac:dyDescent="0.2">
      <c r="A135" s="35"/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Q135" s="25">
        <v>69</v>
      </c>
      <c r="R135" s="62">
        <v>17.122344311030982</v>
      </c>
      <c r="S135" s="62">
        <v>7.0215023621363724</v>
      </c>
      <c r="T135" s="62">
        <v>220.033935546875</v>
      </c>
      <c r="U135" s="62">
        <v>18.506111696598552</v>
      </c>
      <c r="V135" s="277">
        <v>3.7012223393197104E-2</v>
      </c>
      <c r="W135" s="62">
        <v>0.43702080575343533</v>
      </c>
      <c r="X135" s="62">
        <v>15.934264445976547</v>
      </c>
      <c r="Y135" s="277">
        <v>3.1868528891953095E-2</v>
      </c>
      <c r="Z135" s="62"/>
      <c r="AA135" s="277"/>
      <c r="AB135" s="62"/>
      <c r="AC135" s="201">
        <f t="shared" si="21"/>
        <v>43.07788293226691</v>
      </c>
      <c r="AD135" s="201">
        <f t="shared" si="22"/>
        <v>36.123821849235178</v>
      </c>
      <c r="AF135" s="134"/>
      <c r="AG135" s="65"/>
      <c r="AH135" s="65"/>
      <c r="AI135" s="65"/>
      <c r="AJ135" s="65"/>
      <c r="AK135" s="65"/>
      <c r="AL135" s="65"/>
      <c r="AM135" s="65"/>
      <c r="AN135" s="65"/>
      <c r="AO135" s="65"/>
      <c r="AP135" s="65"/>
      <c r="AQ135" s="61"/>
      <c r="AR135" s="65"/>
      <c r="AS135" s="65"/>
      <c r="AT135" s="65"/>
      <c r="AU135" s="61"/>
      <c r="AV135" s="61"/>
      <c r="AW135" s="61"/>
      <c r="AX135" s="61"/>
      <c r="AY135" s="61"/>
      <c r="AZ135" s="61"/>
      <c r="BB135" s="61"/>
      <c r="BC135" s="24"/>
      <c r="BD135" s="24"/>
    </row>
    <row r="136" spans="1:56" ht="15" customHeight="1" x14ac:dyDescent="0.2">
      <c r="A136" s="35"/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Q136" s="25">
        <v>70</v>
      </c>
      <c r="R136" s="62">
        <v>17.537815265079377</v>
      </c>
      <c r="S136" s="62">
        <v>7.1653929405010901</v>
      </c>
      <c r="T136" s="62">
        <v>220.04164123535156</v>
      </c>
      <c r="U136" s="62">
        <v>18.945126557081483</v>
      </c>
      <c r="V136" s="277">
        <v>3.7890253114162969E-2</v>
      </c>
      <c r="W136" s="62">
        <v>0.44234048266461956</v>
      </c>
      <c r="X136" s="62">
        <v>16.373911794116648</v>
      </c>
      <c r="Y136" s="277">
        <v>3.2747823588233298E-2</v>
      </c>
      <c r="Z136" s="62"/>
      <c r="AA136" s="277"/>
      <c r="AB136" s="62"/>
      <c r="AC136" s="201">
        <f t="shared" si="21"/>
        <v>43.513391852976596</v>
      </c>
      <c r="AD136" s="201">
        <f t="shared" si="22"/>
        <v>36.560834490661755</v>
      </c>
      <c r="AF136" s="134"/>
      <c r="AG136" s="65"/>
      <c r="AH136" s="65"/>
      <c r="AI136" s="65"/>
      <c r="AJ136" s="65"/>
      <c r="AK136" s="65"/>
      <c r="AL136" s="65"/>
      <c r="AM136" s="65"/>
      <c r="AN136" s="65"/>
      <c r="AO136" s="65"/>
      <c r="AP136" s="65"/>
      <c r="AQ136" s="61"/>
      <c r="AR136" s="65"/>
      <c r="AS136" s="65"/>
      <c r="AT136" s="65"/>
      <c r="AU136" s="61"/>
      <c r="AV136" s="61"/>
      <c r="AW136" s="61"/>
      <c r="AX136" s="61"/>
      <c r="AY136" s="61"/>
      <c r="AZ136" s="61"/>
      <c r="BB136" s="61"/>
      <c r="BC136" s="24"/>
      <c r="BD136" s="24"/>
    </row>
    <row r="137" spans="1:56" ht="15" customHeight="1" x14ac:dyDescent="0.2">
      <c r="A137" s="35"/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Q137" s="24">
        <v>71</v>
      </c>
      <c r="R137" s="61">
        <v>17.958230485379485</v>
      </c>
      <c r="S137" s="61">
        <v>7.3112282201363961</v>
      </c>
      <c r="T137" s="61">
        <v>220.04962158203125</v>
      </c>
      <c r="U137" s="61">
        <v>19.389484269905992</v>
      </c>
      <c r="V137" s="276">
        <v>3.8778968539811984E-2</v>
      </c>
      <c r="W137" s="61">
        <v>0.44763783930675738</v>
      </c>
      <c r="X137" s="61">
        <v>16.818866353915425</v>
      </c>
      <c r="Y137" s="276">
        <v>3.3637732707830853E-2</v>
      </c>
      <c r="AA137" s="276"/>
      <c r="AC137" s="201">
        <f t="shared" si="21"/>
        <v>43.954213701191172</v>
      </c>
      <c r="AD137" s="201">
        <f t="shared" si="22"/>
        <v>37.003164006915299</v>
      </c>
      <c r="AF137" s="134"/>
      <c r="AG137" s="65"/>
      <c r="AH137" s="65"/>
      <c r="AI137" s="65"/>
      <c r="AJ137" s="65"/>
      <c r="AK137" s="65"/>
      <c r="AL137" s="65"/>
      <c r="AM137" s="65"/>
      <c r="AN137" s="65"/>
      <c r="AO137" s="65"/>
      <c r="AP137" s="65"/>
      <c r="AQ137" s="61"/>
      <c r="AR137" s="65"/>
      <c r="AS137" s="65"/>
      <c r="AT137" s="65"/>
      <c r="AU137" s="61"/>
      <c r="AV137" s="61"/>
      <c r="AW137" s="61"/>
      <c r="AX137" s="61"/>
      <c r="AY137" s="61"/>
      <c r="AZ137" s="61"/>
      <c r="BB137" s="61"/>
      <c r="BC137" s="24"/>
      <c r="BD137" s="24"/>
    </row>
    <row r="138" spans="1:56" ht="15" customHeight="1" x14ac:dyDescent="0.2">
      <c r="A138" s="35"/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Q138" s="24">
        <v>72</v>
      </c>
      <c r="R138" s="61">
        <v>18.383567358853885</v>
      </c>
      <c r="S138" s="61">
        <v>7.4590055946383247</v>
      </c>
      <c r="T138" s="61">
        <v>220.05789184570312</v>
      </c>
      <c r="U138" s="61">
        <v>19.83916110369498</v>
      </c>
      <c r="V138" s="276">
        <v>3.9678322207389961E-2</v>
      </c>
      <c r="W138" s="61">
        <v>0.45291329667294511</v>
      </c>
      <c r="X138" s="61">
        <v>17.269105983935443</v>
      </c>
      <c r="Y138" s="276">
        <v>3.4538211967870887E-2</v>
      </c>
      <c r="AA138" s="276"/>
      <c r="AC138" s="201">
        <f t="shared" si="21"/>
        <v>44.400327159416037</v>
      </c>
      <c r="AD138" s="201">
        <f t="shared" si="22"/>
        <v>37.450788613343072</v>
      </c>
      <c r="AF138" s="134"/>
      <c r="AG138" s="65"/>
      <c r="AH138" s="65"/>
      <c r="AI138" s="65"/>
      <c r="AJ138" s="65"/>
      <c r="AK138" s="65"/>
      <c r="AL138" s="65"/>
      <c r="AM138" s="65"/>
      <c r="AN138" s="65"/>
      <c r="AO138" s="65"/>
      <c r="AP138" s="65"/>
      <c r="AQ138" s="61"/>
      <c r="AR138" s="65"/>
      <c r="AS138" s="65"/>
      <c r="AT138" s="65"/>
      <c r="AU138" s="61"/>
      <c r="AV138" s="61"/>
      <c r="AW138" s="61"/>
      <c r="AX138" s="61"/>
      <c r="AY138" s="61"/>
      <c r="AZ138" s="61"/>
      <c r="BB138" s="61"/>
      <c r="BC138" s="24"/>
      <c r="BD138" s="24"/>
    </row>
    <row r="139" spans="1:56" ht="15" customHeight="1" x14ac:dyDescent="0.2">
      <c r="A139" s="35"/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Q139" s="24">
        <v>73</v>
      </c>
      <c r="R139" s="61">
        <v>18.813803671267507</v>
      </c>
      <c r="S139" s="61">
        <v>7.6087225851507565</v>
      </c>
      <c r="T139" s="61">
        <v>220.06640625</v>
      </c>
      <c r="U139" s="61">
        <v>20.294133831203094</v>
      </c>
      <c r="V139" s="276">
        <v>4.058826766240619E-2</v>
      </c>
      <c r="W139" s="61">
        <v>0.45816727615192687</v>
      </c>
      <c r="X139" s="61">
        <v>17.724608964180533</v>
      </c>
      <c r="Y139" s="276">
        <v>3.5449217928361067E-2</v>
      </c>
      <c r="AA139" s="276"/>
      <c r="AC139" s="201">
        <f t="shared" si="21"/>
        <v>44.851711282118266</v>
      </c>
      <c r="AD139" s="201">
        <f t="shared" si="22"/>
        <v>37.903686912645398</v>
      </c>
      <c r="AF139" s="134"/>
      <c r="AG139" s="65"/>
      <c r="AH139" s="65"/>
      <c r="AI139" s="65"/>
      <c r="AJ139" s="65"/>
      <c r="AK139" s="65"/>
      <c r="AL139" s="65"/>
      <c r="AM139" s="65"/>
      <c r="AN139" s="65"/>
      <c r="AO139" s="65"/>
      <c r="AP139" s="65"/>
      <c r="AQ139" s="61"/>
      <c r="AR139" s="65"/>
      <c r="AS139" s="65"/>
      <c r="AT139" s="65"/>
      <c r="AU139" s="61"/>
      <c r="AV139" s="61"/>
      <c r="AW139" s="61"/>
      <c r="AX139" s="61"/>
      <c r="AY139" s="61"/>
      <c r="AZ139" s="61"/>
      <c r="BB139" s="61"/>
      <c r="BC139" s="24"/>
      <c r="BD139" s="24"/>
    </row>
    <row r="140" spans="1:56" ht="15" customHeight="1" x14ac:dyDescent="0.2">
      <c r="A140" s="35"/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Q140" s="24">
        <v>74</v>
      </c>
      <c r="R140" s="61">
        <v>19.248917601844859</v>
      </c>
      <c r="S140" s="61">
        <v>7.7603768422131623</v>
      </c>
      <c r="T140" s="61">
        <v>220.0751953125</v>
      </c>
      <c r="U140" s="61">
        <v>20.754379720333038</v>
      </c>
      <c r="V140" s="276">
        <v>4.1508759440666072E-2</v>
      </c>
      <c r="W140" s="61">
        <v>0.46340019105278768</v>
      </c>
      <c r="X140" s="61">
        <v>18.18535399159277</v>
      </c>
      <c r="Y140" s="276">
        <v>3.6370707983185542E-2</v>
      </c>
      <c r="AA140" s="276"/>
      <c r="AC140" s="201">
        <f t="shared" si="21"/>
        <v>45.308345492588373</v>
      </c>
      <c r="AD140" s="201">
        <f t="shared" si="22"/>
        <v>38.361837891806481</v>
      </c>
      <c r="AF140" s="134"/>
      <c r="AG140" s="65"/>
      <c r="AH140" s="65"/>
      <c r="AI140" s="65"/>
      <c r="AJ140" s="65"/>
      <c r="AK140" s="65"/>
      <c r="AL140" s="65"/>
      <c r="AM140" s="65"/>
      <c r="AN140" s="65"/>
      <c r="AO140" s="65"/>
      <c r="AP140" s="65"/>
      <c r="AQ140" s="61"/>
      <c r="AR140" s="65"/>
      <c r="AS140" s="65"/>
      <c r="AT140" s="65"/>
      <c r="AU140" s="61"/>
      <c r="AV140" s="61"/>
      <c r="AW140" s="61"/>
      <c r="AX140" s="61"/>
      <c r="AY140" s="61"/>
      <c r="AZ140" s="61"/>
      <c r="BB140" s="61"/>
      <c r="BC140" s="24"/>
      <c r="BD140" s="24"/>
    </row>
    <row r="141" spans="1:56" ht="15" customHeight="1" x14ac:dyDescent="0.2">
      <c r="A141" s="35"/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Q141" s="24">
        <v>75</v>
      </c>
      <c r="R141" s="61">
        <v>19.688887713513317</v>
      </c>
      <c r="S141" s="61">
        <v>7.9139661470241078</v>
      </c>
      <c r="T141" s="61">
        <v>220.084228515625</v>
      </c>
      <c r="U141" s="61">
        <v>21.219876521119986</v>
      </c>
      <c r="V141" s="276">
        <v>4.2439753042239972E-2</v>
      </c>
      <c r="W141" s="61">
        <v>0.46861244578879474</v>
      </c>
      <c r="X141" s="61">
        <v>18.651320171221915</v>
      </c>
      <c r="Y141" s="276">
        <v>3.7302640342443828E-2</v>
      </c>
      <c r="AA141" s="276"/>
      <c r="AC141" s="201">
        <f t="shared" si="21"/>
        <v>45.770209575408792</v>
      </c>
      <c r="AD141" s="201">
        <f t="shared" si="22"/>
        <v>38.825220914603157</v>
      </c>
      <c r="AF141" s="134"/>
      <c r="AG141" s="65"/>
      <c r="AH141" s="65"/>
      <c r="AI141" s="65"/>
      <c r="AJ141" s="65"/>
      <c r="AK141" s="65"/>
      <c r="AL141" s="65"/>
      <c r="AM141" s="65"/>
      <c r="AN141" s="65"/>
      <c r="AO141" s="65"/>
      <c r="AP141" s="65"/>
      <c r="AQ141" s="61"/>
      <c r="AR141" s="65"/>
      <c r="AS141" s="65"/>
      <c r="AT141" s="65"/>
      <c r="AU141" s="61"/>
      <c r="AV141" s="61"/>
      <c r="AW141" s="61"/>
      <c r="AX141" s="61"/>
      <c r="AY141" s="61"/>
      <c r="AZ141" s="61"/>
      <c r="BB141" s="61"/>
      <c r="BC141" s="24"/>
      <c r="BD141" s="24"/>
    </row>
    <row r="142" spans="1:56" ht="15" customHeight="1" x14ac:dyDescent="0.2">
      <c r="A142" s="35"/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Q142" s="24">
        <v>76</v>
      </c>
      <c r="R142" s="61">
        <v>20.133692943207123</v>
      </c>
      <c r="S142" s="61">
        <v>8.0694884125974777</v>
      </c>
      <c r="T142" s="61">
        <v>220.093505859375</v>
      </c>
      <c r="U142" s="61">
        <v>21.690602452960896</v>
      </c>
      <c r="V142" s="276">
        <v>4.3381204905921789E-2</v>
      </c>
      <c r="W142" s="61">
        <v>0.47380443617452728</v>
      </c>
      <c r="X142" s="61">
        <v>19.122487007425967</v>
      </c>
      <c r="Y142" s="276">
        <v>3.8244974014851933E-2</v>
      </c>
      <c r="AA142" s="276"/>
      <c r="AC142" s="201">
        <f t="shared" si="21"/>
        <v>46.237283668967045</v>
      </c>
      <c r="AD142" s="201">
        <f t="shared" si="22"/>
        <v>39.293815714119013</v>
      </c>
      <c r="AF142" s="134"/>
      <c r="AG142" s="65"/>
      <c r="AH142" s="65"/>
      <c r="AI142" s="65"/>
      <c r="AJ142" s="65"/>
      <c r="AK142" s="65"/>
      <c r="AL142" s="65"/>
      <c r="AM142" s="65"/>
      <c r="AN142" s="65"/>
      <c r="AO142" s="65"/>
      <c r="AP142" s="65"/>
      <c r="AQ142" s="61"/>
      <c r="AR142" s="65"/>
      <c r="AS142" s="65"/>
      <c r="AT142" s="65"/>
      <c r="AU142" s="61"/>
      <c r="AV142" s="61"/>
      <c r="AW142" s="61"/>
      <c r="AX142" s="61"/>
      <c r="AY142" s="61"/>
      <c r="AZ142" s="61"/>
      <c r="BB142" s="61"/>
      <c r="BC142" s="24"/>
      <c r="BD142" s="24"/>
    </row>
    <row r="143" spans="1:56" ht="15" customHeight="1" x14ac:dyDescent="0.2">
      <c r="A143" s="35"/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Q143" s="24">
        <v>77</v>
      </c>
      <c r="R143" s="61">
        <v>20.583312592495357</v>
      </c>
      <c r="S143" s="61">
        <v>8.2269416848445918</v>
      </c>
      <c r="T143" s="61">
        <v>220.10302734375</v>
      </c>
      <c r="U143" s="61">
        <v>22.166536192337574</v>
      </c>
      <c r="V143" s="276">
        <v>4.4333072384675147E-2</v>
      </c>
      <c r="W143" s="61">
        <v>0.47897654971029296</v>
      </c>
      <c r="X143" s="61">
        <v>19.59883439536269</v>
      </c>
      <c r="Y143" s="276">
        <v>3.9197668790725379E-2</v>
      </c>
      <c r="AA143" s="276"/>
      <c r="AC143" s="201">
        <f t="shared" si="21"/>
        <v>46.709548258272882</v>
      </c>
      <c r="AD143" s="201">
        <f t="shared" si="22"/>
        <v>39.767602385525755</v>
      </c>
      <c r="AF143" s="134"/>
      <c r="AG143" s="65"/>
      <c r="AH143" s="65"/>
      <c r="AI143" s="65"/>
      <c r="AJ143" s="65"/>
      <c r="AK143" s="65"/>
      <c r="AL143" s="65"/>
      <c r="AM143" s="65"/>
      <c r="AN143" s="65"/>
      <c r="AO143" s="65"/>
      <c r="AP143" s="65"/>
      <c r="AQ143" s="61"/>
      <c r="AR143" s="65"/>
      <c r="AS143" s="65"/>
      <c r="AT143" s="65"/>
      <c r="AU143" s="61"/>
      <c r="AV143" s="61"/>
      <c r="AW143" s="61"/>
      <c r="AX143" s="61"/>
      <c r="AY143" s="61"/>
      <c r="AZ143" s="61"/>
      <c r="BB143" s="61"/>
      <c r="BC143" s="24"/>
      <c r="BD143" s="24"/>
    </row>
    <row r="144" spans="1:56" ht="15" customHeight="1" x14ac:dyDescent="0.2">
      <c r="A144" s="35"/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Q144" s="24">
        <v>78</v>
      </c>
      <c r="R144" s="61">
        <v>21.037726318520093</v>
      </c>
      <c r="S144" s="61">
        <v>8.386324143585604</v>
      </c>
      <c r="T144" s="61">
        <v>220.11277770996094</v>
      </c>
      <c r="U144" s="61">
        <v>22.647656861014116</v>
      </c>
      <c r="V144" s="276">
        <v>4.5295313722028233E-2</v>
      </c>
      <c r="W144" s="61">
        <v>0.48412916585444871</v>
      </c>
      <c r="X144" s="61">
        <v>20.0803426127598</v>
      </c>
      <c r="Y144" s="276">
        <v>4.0160685225519598E-2</v>
      </c>
      <c r="AA144" s="276"/>
      <c r="AC144" s="201">
        <f t="shared" si="21"/>
        <v>47.186984168061905</v>
      </c>
      <c r="AD144" s="201">
        <f t="shared" si="22"/>
        <v>40.246561379116727</v>
      </c>
      <c r="AF144" s="134"/>
      <c r="AG144" s="65"/>
      <c r="AH144" s="65"/>
      <c r="AI144" s="65"/>
      <c r="AJ144" s="65"/>
      <c r="AK144" s="65"/>
      <c r="AL144" s="65"/>
      <c r="AM144" s="65"/>
      <c r="AN144" s="65"/>
      <c r="AO144" s="65"/>
      <c r="AP144" s="65"/>
      <c r="AQ144" s="61"/>
      <c r="AR144" s="65"/>
      <c r="AS144" s="65"/>
      <c r="AT144" s="65"/>
      <c r="AU144" s="61"/>
      <c r="AV144" s="61"/>
      <c r="AW144" s="61"/>
      <c r="AX144" s="61"/>
      <c r="AY144" s="61"/>
      <c r="AZ144" s="61"/>
      <c r="BB144" s="61"/>
      <c r="BC144" s="24"/>
      <c r="BD144" s="24"/>
    </row>
    <row r="145" spans="1:56" ht="15" customHeight="1" x14ac:dyDescent="0.2">
      <c r="A145" s="35"/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Q145" s="24">
        <v>79</v>
      </c>
      <c r="R145" s="61">
        <v>21.496914125231534</v>
      </c>
      <c r="S145" s="61">
        <v>8.5476341034933263</v>
      </c>
      <c r="T145" s="61">
        <v>220.12274169921875</v>
      </c>
      <c r="U145" s="61">
        <v>23.133944014689348</v>
      </c>
      <c r="V145" s="276">
        <v>4.6267888029378694E-2</v>
      </c>
      <c r="W145" s="61">
        <v>0.48926265628420978</v>
      </c>
      <c r="X145" s="61">
        <v>20.566992311951736</v>
      </c>
      <c r="Y145" s="276">
        <v>4.1133984623903476E-2</v>
      </c>
      <c r="AA145" s="276"/>
      <c r="AC145" s="201">
        <f t="shared" si="21"/>
        <v>47.669572556169072</v>
      </c>
      <c r="AD145" s="201">
        <f t="shared" si="22"/>
        <v>40.730673493578834</v>
      </c>
      <c r="AF145" s="134"/>
      <c r="AG145" s="65"/>
      <c r="AH145" s="65"/>
      <c r="AI145" s="65"/>
      <c r="AJ145" s="65"/>
      <c r="AK145" s="65"/>
      <c r="AL145" s="65"/>
      <c r="AM145" s="65"/>
      <c r="AN145" s="65"/>
      <c r="AO145" s="65"/>
      <c r="AP145" s="65"/>
      <c r="AQ145" s="61"/>
      <c r="AR145" s="65"/>
      <c r="AS145" s="65"/>
      <c r="AT145" s="65"/>
      <c r="AU145" s="61"/>
      <c r="AV145" s="61"/>
      <c r="AW145" s="61"/>
      <c r="AX145" s="61"/>
      <c r="AY145" s="61"/>
      <c r="AZ145" s="61"/>
      <c r="BB145" s="61"/>
      <c r="BC145" s="24"/>
      <c r="BD145" s="24"/>
    </row>
    <row r="146" spans="1:56" ht="15" customHeight="1" x14ac:dyDescent="0.2">
      <c r="A146" s="58"/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Q146" s="24">
        <v>80</v>
      </c>
      <c r="R146" s="61">
        <v>21.960856354907619</v>
      </c>
      <c r="S146" s="61">
        <v>8.7108700149725315</v>
      </c>
      <c r="T146" s="61">
        <v>220.13291931152344</v>
      </c>
      <c r="U146" s="61">
        <v>23.625377632085247</v>
      </c>
      <c r="V146" s="276">
        <v>4.7250755264170496E-2</v>
      </c>
      <c r="W146" s="61">
        <v>0.49437738514549734</v>
      </c>
      <c r="X146" s="61">
        <v>21.058764512171965</v>
      </c>
      <c r="Y146" s="276">
        <v>4.211752902434393E-2</v>
      </c>
      <c r="AA146" s="276"/>
      <c r="AC146" s="201">
        <f t="shared" si="21"/>
        <v>48.157294907156448</v>
      </c>
      <c r="AD146" s="201">
        <f t="shared" si="22"/>
        <v>41.21991986948975</v>
      </c>
      <c r="AF146" s="134"/>
      <c r="AG146" s="65"/>
      <c r="AH146" s="65"/>
      <c r="AI146" s="65"/>
      <c r="AJ146" s="65"/>
      <c r="AK146" s="65"/>
      <c r="AL146" s="65"/>
      <c r="AM146" s="65"/>
      <c r="AN146" s="65"/>
      <c r="AO146" s="65"/>
      <c r="AP146" s="65"/>
      <c r="AQ146" s="61"/>
      <c r="AR146" s="65"/>
      <c r="AS146" s="65"/>
      <c r="AT146" s="65"/>
      <c r="AU146" s="61"/>
      <c r="AV146" s="61"/>
      <c r="AW146" s="61"/>
      <c r="AX146" s="61"/>
      <c r="AY146" s="61"/>
      <c r="AZ146" s="61"/>
      <c r="BB146" s="61"/>
      <c r="BC146" s="24"/>
      <c r="BD146" s="24"/>
    </row>
    <row r="147" spans="1:56" ht="15" customHeight="1" x14ac:dyDescent="0.2">
      <c r="A147" s="58"/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Q147" s="24">
        <v>81</v>
      </c>
      <c r="R147" s="61">
        <v>22.429533679946168</v>
      </c>
      <c r="S147" s="61">
        <v>8.8760304649776618</v>
      </c>
      <c r="T147" s="61">
        <v>220.14329528808594</v>
      </c>
      <c r="U147" s="61">
        <v>24.121938104452784</v>
      </c>
      <c r="V147" s="276">
        <v>4.8243876208905571E-2</v>
      </c>
      <c r="W147" s="61">
        <v>0.49947370929234053</v>
      </c>
      <c r="X147" s="61">
        <v>21.555640592089944</v>
      </c>
      <c r="Y147" s="276">
        <v>4.3111281184179888E-2</v>
      </c>
      <c r="AA147" s="276"/>
      <c r="AC147" s="201">
        <f t="shared" si="21"/>
        <v>48.650133026180747</v>
      </c>
      <c r="AD147" s="201">
        <f t="shared" si="22"/>
        <v>41.714281983028393</v>
      </c>
      <c r="AF147" s="134"/>
      <c r="AG147" s="65"/>
      <c r="AH147" s="65"/>
      <c r="AI147" s="65"/>
      <c r="AJ147" s="65"/>
      <c r="AK147" s="65"/>
      <c r="AL147" s="65"/>
      <c r="AM147" s="65"/>
      <c r="AN147" s="65"/>
      <c r="AO147" s="65"/>
      <c r="AP147" s="65"/>
      <c r="AQ147" s="61"/>
      <c r="AR147" s="65"/>
      <c r="AS147" s="65"/>
      <c r="AT147" s="65"/>
      <c r="AU147" s="61"/>
      <c r="AV147" s="61"/>
      <c r="AW147" s="61"/>
      <c r="AX147" s="61"/>
      <c r="AY147" s="61"/>
      <c r="AZ147" s="61"/>
      <c r="BB147" s="61"/>
      <c r="BC147" s="24"/>
      <c r="BD147" s="24"/>
    </row>
    <row r="148" spans="1:56" ht="15" customHeight="1" x14ac:dyDescent="0.2">
      <c r="A148" s="58"/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Q148" s="24">
        <v>82</v>
      </c>
      <c r="R148" s="61">
        <v>22.902927094918141</v>
      </c>
      <c r="S148" s="61">
        <v>9.043114177771626</v>
      </c>
      <c r="T148" s="61">
        <v>220.15386962890625</v>
      </c>
      <c r="U148" s="61">
        <v>24.623606225477001</v>
      </c>
      <c r="V148" s="276">
        <v>4.9247212450954002E-2</v>
      </c>
      <c r="W148" s="61">
        <v>0.50455197851632416</v>
      </c>
      <c r="X148" s="61">
        <v>22.057602282582543</v>
      </c>
      <c r="Y148" s="276">
        <v>4.4115204565165086E-2</v>
      </c>
      <c r="AA148" s="276"/>
      <c r="AC148" s="201">
        <f t="shared" si="21"/>
        <v>49.148069033086699</v>
      </c>
      <c r="AD148" s="201">
        <f t="shared" si="22"/>
        <v>42.213741639887346</v>
      </c>
      <c r="AF148" s="134"/>
      <c r="AG148" s="65"/>
      <c r="AH148" s="65"/>
      <c r="AI148" s="65"/>
      <c r="AJ148" s="65"/>
      <c r="AK148" s="65"/>
      <c r="AL148" s="65"/>
      <c r="AM148" s="65"/>
      <c r="AN148" s="65"/>
      <c r="AO148" s="65"/>
      <c r="AP148" s="65"/>
      <c r="AQ148" s="61"/>
      <c r="AR148" s="65"/>
      <c r="AS148" s="65"/>
      <c r="AT148" s="65"/>
      <c r="AU148" s="61"/>
      <c r="AV148" s="61"/>
      <c r="AW148" s="61"/>
      <c r="AX148" s="61"/>
      <c r="AY148" s="61"/>
      <c r="AZ148" s="61"/>
      <c r="BB148" s="61"/>
      <c r="BC148" s="24"/>
      <c r="BD148" s="24"/>
    </row>
    <row r="149" spans="1:56" ht="15" customHeight="1" x14ac:dyDescent="0.2">
      <c r="A149" s="58"/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Q149" s="24">
        <v>83</v>
      </c>
      <c r="R149" s="61">
        <v>23.381017908871122</v>
      </c>
      <c r="S149" s="61">
        <v>9.2121200156283933</v>
      </c>
      <c r="T149" s="61">
        <v>220.16461181640625</v>
      </c>
      <c r="U149" s="61">
        <v>25.13036318156372</v>
      </c>
      <c r="V149" s="276">
        <v>5.0260726363127436E-2</v>
      </c>
      <c r="W149" s="61">
        <v>0.50961253576653964</v>
      </c>
      <c r="X149" s="61">
        <v>22.564631659730132</v>
      </c>
      <c r="Y149" s="276">
        <v>4.5129263319460267E-2</v>
      </c>
      <c r="AA149" s="276"/>
      <c r="AC149" s="201">
        <f t="shared" si="21"/>
        <v>49.651085356713466</v>
      </c>
      <c r="AD149" s="201">
        <f t="shared" si="22"/>
        <v>42.718280969376458</v>
      </c>
      <c r="AF149" s="134"/>
      <c r="AG149" s="65"/>
      <c r="AH149" s="65"/>
      <c r="AI149" s="65"/>
      <c r="AJ149" s="65"/>
      <c r="AK149" s="65"/>
      <c r="AL149" s="65"/>
      <c r="AM149" s="65"/>
      <c r="AN149" s="65"/>
      <c r="AO149" s="65"/>
      <c r="AP149" s="65"/>
      <c r="AQ149" s="61"/>
      <c r="AR149" s="65"/>
      <c r="AS149" s="65"/>
      <c r="AT149" s="65"/>
      <c r="AU149" s="61"/>
      <c r="AV149" s="61"/>
      <c r="AW149" s="61"/>
      <c r="AX149" s="61"/>
      <c r="AY149" s="61"/>
      <c r="AZ149" s="61"/>
      <c r="BB149" s="61"/>
      <c r="BC149" s="24"/>
      <c r="BD149" s="24"/>
    </row>
    <row r="150" spans="1:56" ht="15" customHeight="1" x14ac:dyDescent="0.2">
      <c r="A150" s="58"/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Q150" s="24">
        <v>84</v>
      </c>
      <c r="R150" s="61">
        <v>23.863787737872709</v>
      </c>
      <c r="S150" s="61">
        <v>9.3830469794818114</v>
      </c>
      <c r="T150" s="61">
        <v>220.175537109375</v>
      </c>
      <c r="U150" s="61">
        <v>25.642190542490837</v>
      </c>
      <c r="V150" s="276">
        <v>5.1284381084981671E-2</v>
      </c>
      <c r="W150" s="61">
        <v>0.51465571736047588</v>
      </c>
      <c r="X150" s="61">
        <v>23.076711138028067</v>
      </c>
      <c r="Y150" s="276">
        <v>4.6153422276056136E-2</v>
      </c>
      <c r="AA150" s="276"/>
      <c r="AC150" s="201">
        <f t="shared" si="21"/>
        <v>50.159164729401972</v>
      </c>
      <c r="AD150" s="201">
        <f t="shared" si="22"/>
        <v>43.227882418707914</v>
      </c>
      <c r="AF150" s="134"/>
      <c r="AG150" s="65"/>
      <c r="AH150" s="65"/>
      <c r="AI150" s="65"/>
      <c r="AJ150" s="65"/>
      <c r="AK150" s="65"/>
      <c r="AL150" s="65"/>
      <c r="AM150" s="65"/>
      <c r="AN150" s="65"/>
      <c r="AO150" s="65"/>
      <c r="AP150" s="65"/>
      <c r="AQ150" s="61"/>
      <c r="AR150" s="65"/>
      <c r="AS150" s="65"/>
      <c r="AT150" s="65"/>
      <c r="AU150" s="61"/>
      <c r="AV150" s="61"/>
      <c r="AW150" s="61"/>
      <c r="AX150" s="61"/>
      <c r="AY150" s="61"/>
      <c r="AZ150" s="61"/>
      <c r="BB150" s="61"/>
      <c r="BC150" s="24"/>
      <c r="BD150" s="24"/>
    </row>
    <row r="151" spans="1:56" ht="15" customHeight="1" x14ac:dyDescent="0.2">
      <c r="A151" s="58"/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Q151" s="24">
        <v>85</v>
      </c>
      <c r="R151" s="61">
        <v>24.351218497783798</v>
      </c>
      <c r="S151" s="61">
        <v>9.555894209523089</v>
      </c>
      <c r="T151" s="61">
        <v>220.18659973144531</v>
      </c>
      <c r="U151" s="61">
        <v>26.159070252407762</v>
      </c>
      <c r="V151" s="276">
        <v>5.2318140504815522E-2</v>
      </c>
      <c r="W151" s="61">
        <v>0.51968185318625848</v>
      </c>
      <c r="X151" s="61">
        <v>23.593823463804615</v>
      </c>
      <c r="Y151" s="276">
        <v>4.7187646927609232E-2</v>
      </c>
      <c r="AA151" s="276"/>
      <c r="AC151" s="201">
        <f t="shared" si="21"/>
        <v>50.672290181691679</v>
      </c>
      <c r="AD151" s="201">
        <f t="shared" si="22"/>
        <v>43.742528747453306</v>
      </c>
      <c r="AF151" s="134"/>
      <c r="AG151" s="65"/>
      <c r="AH151" s="65"/>
      <c r="AI151" s="65"/>
      <c r="AJ151" s="65"/>
      <c r="AK151" s="65"/>
      <c r="AL151" s="65"/>
      <c r="AM151" s="65"/>
      <c r="AN151" s="65"/>
      <c r="AO151" s="65"/>
      <c r="AP151" s="65"/>
      <c r="AQ151" s="61"/>
      <c r="AR151" s="65"/>
      <c r="AS151" s="65"/>
      <c r="AT151" s="65"/>
      <c r="AU151" s="61"/>
      <c r="AV151" s="61"/>
      <c r="AW151" s="61"/>
      <c r="AX151" s="61"/>
      <c r="AY151" s="61"/>
      <c r="AZ151" s="61"/>
      <c r="BB151" s="61"/>
      <c r="BC151" s="24"/>
      <c r="BD151" s="24"/>
    </row>
    <row r="152" spans="1:56" ht="15" customHeight="1" x14ac:dyDescent="0.2">
      <c r="A152" s="58"/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Q152" s="24">
        <v>86</v>
      </c>
      <c r="R152" s="61">
        <v>24.84329239725237</v>
      </c>
      <c r="S152" s="61">
        <v>9.7306609857491395</v>
      </c>
      <c r="T152" s="61">
        <v>220.19781494140625</v>
      </c>
      <c r="U152" s="61">
        <v>26.680984621167145</v>
      </c>
      <c r="V152" s="276">
        <v>5.3361969242334287E-2</v>
      </c>
      <c r="W152" s="61">
        <v>0.5246912668966246</v>
      </c>
      <c r="X152" s="61">
        <v>24.115951708836867</v>
      </c>
      <c r="Y152" s="276">
        <v>4.8231903417673735E-2</v>
      </c>
      <c r="AA152" s="276"/>
      <c r="AC152" s="201">
        <f t="shared" si="21"/>
        <v>51.190445037196142</v>
      </c>
      <c r="AD152" s="201">
        <f t="shared" si="22"/>
        <v>44.262203022164087</v>
      </c>
      <c r="AF152" s="134"/>
      <c r="AG152" s="65"/>
      <c r="AH152" s="65"/>
      <c r="AI152" s="65"/>
      <c r="AJ152" s="65"/>
      <c r="AK152" s="65"/>
      <c r="AL152" s="65"/>
      <c r="AM152" s="65"/>
      <c r="AN152" s="65"/>
      <c r="AO152" s="65"/>
      <c r="AP152" s="65"/>
      <c r="AQ152" s="61"/>
      <c r="AR152" s="65"/>
      <c r="AS152" s="65"/>
      <c r="AT152" s="65"/>
      <c r="AU152" s="61"/>
      <c r="AV152" s="61"/>
      <c r="AW152" s="61"/>
      <c r="AX152" s="61"/>
      <c r="AY152" s="61"/>
      <c r="AZ152" s="61"/>
      <c r="BB152" s="61"/>
      <c r="BC152" s="24"/>
      <c r="BD152" s="24"/>
    </row>
    <row r="153" spans="1:56" ht="15" customHeight="1" x14ac:dyDescent="0.2">
      <c r="A153" s="58"/>
      <c r="B153" s="35"/>
      <c r="C153" s="58"/>
      <c r="D153" s="58"/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35"/>
      <c r="Q153" s="24">
        <v>87</v>
      </c>
      <c r="R153" s="61">
        <v>25.339991930918664</v>
      </c>
      <c r="S153" s="61">
        <v>9.9073467284640024</v>
      </c>
      <c r="T153" s="61">
        <v>220.20916748046875</v>
      </c>
      <c r="U153" s="61">
        <v>27.207916315973726</v>
      </c>
      <c r="V153" s="276">
        <v>5.441583263194745E-2</v>
      </c>
      <c r="W153" s="61">
        <v>0.52968427609499769</v>
      </c>
      <c r="X153" s="61">
        <v>24.643079264156469</v>
      </c>
      <c r="Y153" s="276">
        <v>4.9286158528312939E-2</v>
      </c>
      <c r="AA153" s="276"/>
      <c r="AC153" s="201">
        <f t="shared" si="21"/>
        <v>51.713612907647288</v>
      </c>
      <c r="AD153" s="201">
        <f t="shared" si="22"/>
        <v>44.786888611147226</v>
      </c>
      <c r="AF153" s="134"/>
      <c r="AG153" s="65"/>
      <c r="AH153" s="65"/>
      <c r="AI153" s="65"/>
      <c r="AJ153" s="65"/>
      <c r="AK153" s="65"/>
      <c r="AL153" s="65"/>
      <c r="AM153" s="65"/>
      <c r="AN153" s="65"/>
      <c r="AO153" s="65"/>
      <c r="AP153" s="65"/>
      <c r="AQ153" s="61"/>
      <c r="AR153" s="65"/>
      <c r="AS153" s="65"/>
      <c r="AT153" s="65"/>
      <c r="AU153" s="61"/>
      <c r="AV153" s="61"/>
      <c r="AW153" s="61"/>
      <c r="AX153" s="61"/>
      <c r="AY153" s="61"/>
      <c r="AZ153" s="61"/>
      <c r="BB153" s="61"/>
      <c r="BC153" s="24"/>
      <c r="BD153" s="24"/>
    </row>
    <row r="154" spans="1:56" ht="15" customHeight="1" x14ac:dyDescent="0.2">
      <c r="A154" s="58"/>
      <c r="B154" s="58"/>
      <c r="C154" s="58"/>
      <c r="D154" s="58"/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/>
      <c r="Q154" s="24">
        <v>88</v>
      </c>
      <c r="R154" s="61">
        <v>25.841299872823082</v>
      </c>
      <c r="S154" s="61">
        <v>10.08595099873536</v>
      </c>
      <c r="T154" s="61">
        <v>220.22064208984375</v>
      </c>
      <c r="U154" s="61">
        <v>27.739848353335624</v>
      </c>
      <c r="V154" s="276">
        <v>5.5479696706671251E-2</v>
      </c>
      <c r="W154" s="61">
        <v>0.53466119251400857</v>
      </c>
      <c r="X154" s="61">
        <v>25.175189834037464</v>
      </c>
      <c r="Y154" s="276">
        <v>5.0350379668074929E-2</v>
      </c>
      <c r="AA154" s="276"/>
      <c r="AC154" s="201">
        <f t="shared" si="21"/>
        <v>52.241777688098999</v>
      </c>
      <c r="AD154" s="201">
        <f t="shared" si="22"/>
        <v>45.316569179388352</v>
      </c>
      <c r="AF154" s="134"/>
      <c r="AG154" s="65"/>
      <c r="AH154" s="65"/>
      <c r="AI154" s="65"/>
      <c r="AJ154" s="65"/>
      <c r="AK154" s="65"/>
      <c r="AL154" s="65"/>
      <c r="AM154" s="65"/>
      <c r="AN154" s="65"/>
      <c r="AO154" s="65"/>
      <c r="AP154" s="65"/>
      <c r="AQ154" s="61"/>
      <c r="AR154" s="65"/>
      <c r="AS154" s="65"/>
      <c r="AT154" s="65"/>
      <c r="AU154" s="61"/>
      <c r="AV154" s="61"/>
      <c r="AW154" s="61"/>
      <c r="AX154" s="61"/>
      <c r="AY154" s="61"/>
      <c r="AZ154" s="61"/>
      <c r="BB154" s="61"/>
      <c r="BC154" s="24"/>
      <c r="BD154" s="24"/>
    </row>
    <row r="155" spans="1:56" ht="15" customHeight="1" x14ac:dyDescent="0.2">
      <c r="A155" s="58"/>
      <c r="B155" s="58"/>
      <c r="C155" s="58"/>
      <c r="D155" s="58"/>
      <c r="E155" s="58"/>
      <c r="F155" s="58"/>
      <c r="G155" s="58"/>
      <c r="H155" s="58"/>
      <c r="I155" s="58"/>
      <c r="J155" s="58"/>
      <c r="K155" s="58"/>
      <c r="L155" s="58"/>
      <c r="M155" s="58"/>
      <c r="N155" s="58"/>
      <c r="O155" s="58"/>
      <c r="Q155" s="24">
        <v>89</v>
      </c>
      <c r="R155" s="61">
        <v>26.347199270008556</v>
      </c>
      <c r="S155" s="61">
        <v>10.266473498808097</v>
      </c>
      <c r="T155" s="61">
        <v>220.23220825195312</v>
      </c>
      <c r="U155" s="61">
        <v>28.276764091304159</v>
      </c>
      <c r="V155" s="276">
        <v>5.6553528182608316E-2</v>
      </c>
      <c r="W155" s="61">
        <v>0.53962232218678485</v>
      </c>
      <c r="X155" s="61">
        <v>25.712267430158736</v>
      </c>
      <c r="Y155" s="276">
        <v>5.1424534860317471E-2</v>
      </c>
      <c r="AA155" s="276"/>
      <c r="AC155" s="201">
        <f t="shared" si="21"/>
        <v>52.774923552281088</v>
      </c>
      <c r="AD155" s="201">
        <f t="shared" si="22"/>
        <v>45.851228683615247</v>
      </c>
      <c r="AF155" s="134"/>
      <c r="AG155" s="65"/>
      <c r="AH155" s="65"/>
      <c r="AI155" s="65"/>
      <c r="AJ155" s="65"/>
      <c r="AK155" s="65"/>
      <c r="AL155" s="65"/>
      <c r="AM155" s="65"/>
      <c r="AN155" s="65"/>
      <c r="AO155" s="65"/>
      <c r="AP155" s="65"/>
      <c r="AQ155" s="61"/>
      <c r="AR155" s="65"/>
      <c r="AS155" s="65"/>
      <c r="AT155" s="65"/>
      <c r="AU155" s="61"/>
      <c r="AV155" s="61"/>
      <c r="AW155" s="61"/>
      <c r="AX155" s="61"/>
      <c r="AY155" s="61"/>
      <c r="AZ155" s="61"/>
      <c r="BB155" s="61"/>
      <c r="BC155" s="24"/>
      <c r="BD155" s="24"/>
    </row>
    <row r="156" spans="1:56" ht="15" customHeight="1" x14ac:dyDescent="0.2">
      <c r="A156" s="58"/>
      <c r="B156" s="58"/>
      <c r="C156" s="58"/>
      <c r="D156" s="58"/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/>
      <c r="Q156" s="24">
        <v>90</v>
      </c>
      <c r="R156" s="61">
        <v>26.857673436309366</v>
      </c>
      <c r="S156" s="61">
        <v>10.448914072476759</v>
      </c>
      <c r="T156" s="61">
        <v>220.24388122558594</v>
      </c>
      <c r="U156" s="61">
        <v>28.818647221988762</v>
      </c>
      <c r="V156" s="276">
        <v>5.7637294443977527E-2</v>
      </c>
      <c r="W156" s="61">
        <v>0.5445679656113207</v>
      </c>
      <c r="X156" s="61">
        <v>26.254296365934014</v>
      </c>
      <c r="Y156" s="276">
        <v>5.2508592731868024E-2</v>
      </c>
      <c r="AA156" s="276"/>
      <c r="AC156" s="201">
        <f t="shared" si="21"/>
        <v>53.313034948095257</v>
      </c>
      <c r="AD156" s="201">
        <f t="shared" si="22"/>
        <v>46.390851367494911</v>
      </c>
      <c r="AF156" s="134"/>
      <c r="AG156" s="65"/>
      <c r="AH156" s="65"/>
      <c r="AI156" s="65"/>
      <c r="AJ156" s="65"/>
      <c r="AK156" s="65"/>
      <c r="AL156" s="65"/>
      <c r="AM156" s="65"/>
      <c r="AN156" s="65"/>
      <c r="AO156" s="65"/>
      <c r="AP156" s="65"/>
      <c r="AQ156" s="61"/>
      <c r="AR156" s="65"/>
      <c r="AS156" s="65"/>
      <c r="AT156" s="65"/>
      <c r="AU156" s="61"/>
      <c r="AV156" s="61"/>
      <c r="AW156" s="61"/>
      <c r="AX156" s="61"/>
      <c r="AY156" s="61"/>
      <c r="AZ156" s="61"/>
      <c r="BB156" s="61"/>
      <c r="BC156" s="24"/>
      <c r="BD156" s="24"/>
    </row>
    <row r="157" spans="1:56" ht="15" customHeight="1" x14ac:dyDescent="0.2">
      <c r="A157" s="58"/>
      <c r="B157" s="58"/>
      <c r="O157" s="58"/>
      <c r="Q157" s="24">
        <v>91</v>
      </c>
      <c r="R157" s="61">
        <v>27.37270594631887</v>
      </c>
      <c r="S157" s="61">
        <v>10.633272705418694</v>
      </c>
      <c r="T157" s="61">
        <v>220.25563049316406</v>
      </c>
      <c r="U157" s="61">
        <v>29.36548176433417</v>
      </c>
      <c r="V157" s="276">
        <v>5.8730963528668342E-2</v>
      </c>
      <c r="W157" s="61">
        <v>0.54949841790821208</v>
      </c>
      <c r="X157" s="61">
        <v>26.801261251002579</v>
      </c>
      <c r="Y157" s="276">
        <v>5.3602522502005159E-2</v>
      </c>
      <c r="AA157" s="276"/>
      <c r="AC157" s="201">
        <f t="shared" si="21"/>
        <v>53.856096593245361</v>
      </c>
      <c r="AD157" s="201">
        <f t="shared" si="22"/>
        <v>46.935421756957766</v>
      </c>
      <c r="AF157" s="134"/>
      <c r="AG157" s="65"/>
      <c r="AH157" s="65"/>
      <c r="AI157" s="65"/>
      <c r="AJ157" s="65"/>
      <c r="AK157" s="65"/>
      <c r="AL157" s="65"/>
      <c r="AM157" s="65"/>
      <c r="AN157" s="65"/>
      <c r="AO157" s="65"/>
      <c r="AP157" s="65"/>
      <c r="AQ157" s="61"/>
      <c r="AR157" s="65"/>
      <c r="AS157" s="65"/>
      <c r="AT157" s="65"/>
      <c r="AU157" s="61"/>
      <c r="AV157" s="61"/>
      <c r="AW157" s="61"/>
      <c r="AX157" s="61"/>
      <c r="AY157" s="61"/>
      <c r="AZ157" s="61"/>
      <c r="BB157" s="61"/>
      <c r="BC157" s="24"/>
      <c r="BD157" s="24"/>
    </row>
    <row r="158" spans="1:56" ht="15" customHeight="1" x14ac:dyDescent="0.2">
      <c r="A158" s="58"/>
      <c r="O158" s="58"/>
      <c r="Q158" s="24">
        <v>92</v>
      </c>
      <c r="R158" s="61">
        <v>27.892280629528809</v>
      </c>
      <c r="S158" s="61">
        <v>10.81954952548948</v>
      </c>
      <c r="T158" s="61">
        <v>220.26742553710937</v>
      </c>
      <c r="U158" s="61">
        <v>29.917252057147689</v>
      </c>
      <c r="V158" s="276">
        <v>5.9834504114295375E-2</v>
      </c>
      <c r="W158" s="61">
        <v>0.55441396897203632</v>
      </c>
      <c r="X158" s="61">
        <v>27.353146985874119</v>
      </c>
      <c r="Y158" s="276">
        <v>5.470629397174824E-2</v>
      </c>
      <c r="AA158" s="276"/>
      <c r="AC158" s="201">
        <f t="shared" si="21"/>
        <v>54.404093470994411</v>
      </c>
      <c r="AD158" s="201">
        <f t="shared" si="22"/>
        <v>47.484924655643034</v>
      </c>
      <c r="AF158" s="134"/>
      <c r="AG158" s="65"/>
      <c r="AH158" s="65"/>
      <c r="AI158" s="65"/>
      <c r="AJ158" s="65"/>
      <c r="AK158" s="65"/>
      <c r="AL158" s="65"/>
      <c r="AM158" s="65"/>
      <c r="AN158" s="65"/>
      <c r="AO158" s="65"/>
      <c r="AP158" s="65"/>
      <c r="AQ158" s="61"/>
      <c r="AR158" s="65"/>
      <c r="AS158" s="65"/>
      <c r="AT158" s="65"/>
      <c r="AU158" s="61"/>
      <c r="AV158" s="61"/>
      <c r="AW158" s="61"/>
      <c r="AX158" s="61"/>
      <c r="AY158" s="61"/>
      <c r="AZ158" s="61"/>
      <c r="BB158" s="61"/>
      <c r="BC158" s="24"/>
      <c r="BD158" s="24"/>
    </row>
    <row r="159" spans="1:56" ht="15" customHeight="1" x14ac:dyDescent="0.2">
      <c r="A159" s="58"/>
      <c r="O159" s="58"/>
      <c r="Q159" s="24">
        <v>93</v>
      </c>
      <c r="R159" s="61">
        <v>28.416381564633195</v>
      </c>
      <c r="S159" s="61">
        <v>11.007744802982296</v>
      </c>
      <c r="T159" s="61">
        <v>220.27928161621094</v>
      </c>
      <c r="U159" s="61">
        <v>30.473942752364831</v>
      </c>
      <c r="V159" s="276">
        <v>6.0947885504729661E-2</v>
      </c>
      <c r="W159" s="61">
        <v>0.55931490361663305</v>
      </c>
      <c r="X159" s="61">
        <v>27.909938756721537</v>
      </c>
      <c r="Y159" s="276">
        <v>5.5819877513443077E-2</v>
      </c>
      <c r="AA159" s="276"/>
      <c r="AC159" s="201">
        <f t="shared" si="21"/>
        <v>54.957010826041568</v>
      </c>
      <c r="AD159" s="201">
        <f t="shared" si="22"/>
        <v>48.039345140459673</v>
      </c>
      <c r="AF159" s="134"/>
      <c r="AG159" s="65"/>
      <c r="AH159" s="65"/>
      <c r="AI159" s="65"/>
      <c r="AJ159" s="65"/>
      <c r="AK159" s="65"/>
      <c r="AL159" s="65"/>
      <c r="AM159" s="65"/>
      <c r="AN159" s="65"/>
      <c r="AO159" s="65"/>
      <c r="AP159" s="65"/>
      <c r="AQ159" s="61"/>
      <c r="AR159" s="65"/>
      <c r="AS159" s="65"/>
      <c r="AT159" s="65"/>
      <c r="AU159" s="61"/>
      <c r="AV159" s="61"/>
      <c r="AW159" s="61"/>
      <c r="AX159" s="61"/>
      <c r="AY159" s="61"/>
      <c r="AZ159" s="61"/>
      <c r="BB159" s="61"/>
      <c r="BC159" s="24"/>
      <c r="BD159" s="24"/>
    </row>
    <row r="160" spans="1:56" ht="15" customHeight="1" x14ac:dyDescent="0.2">
      <c r="A160" s="58"/>
      <c r="O160" s="58"/>
      <c r="Q160" s="24">
        <v>94</v>
      </c>
      <c r="R160" s="61">
        <v>28.944993073990084</v>
      </c>
      <c r="S160" s="61">
        <v>11.197858950852687</v>
      </c>
      <c r="T160" s="61">
        <v>220.29118347167969</v>
      </c>
      <c r="U160" s="61">
        <v>31.035538808542146</v>
      </c>
      <c r="V160" s="276">
        <v>6.2071077617084289E-2</v>
      </c>
      <c r="W160" s="61">
        <v>0.56420150171453209</v>
      </c>
      <c r="X160" s="61">
        <v>28.471622030315633</v>
      </c>
      <c r="Y160" s="276">
        <v>5.6943244060631268E-2</v>
      </c>
      <c r="AA160" s="276"/>
      <c r="AC160" s="201">
        <f t="shared" si="21"/>
        <v>55.514834160512393</v>
      </c>
      <c r="AD160" s="201">
        <f t="shared" si="22"/>
        <v>48.598668557257412</v>
      </c>
      <c r="AF160" s="134"/>
      <c r="AG160" s="65"/>
      <c r="AH160" s="65"/>
      <c r="AI160" s="65"/>
      <c r="AJ160" s="65"/>
      <c r="AK160" s="65"/>
      <c r="AL160" s="65"/>
      <c r="AM160" s="65"/>
      <c r="AN160" s="65"/>
      <c r="AO160" s="65"/>
      <c r="AP160" s="65"/>
      <c r="AQ160" s="61"/>
      <c r="AR160" s="65"/>
      <c r="AS160" s="65"/>
      <c r="AT160" s="65"/>
      <c r="AU160" s="61"/>
      <c r="AV160" s="61"/>
      <c r="AW160" s="61"/>
      <c r="AX160" s="61"/>
      <c r="AY160" s="61"/>
      <c r="AZ160" s="61"/>
      <c r="BB160" s="61"/>
      <c r="BC160" s="24"/>
      <c r="BD160" s="24"/>
    </row>
    <row r="161" spans="1:56" ht="15" customHeight="1" x14ac:dyDescent="0.2">
      <c r="A161" s="58"/>
      <c r="O161" s="58"/>
      <c r="Q161" s="24">
        <v>95</v>
      </c>
      <c r="R161" s="61">
        <v>29.478099718234759</v>
      </c>
      <c r="S161" s="61">
        <v>11.389892524910177</v>
      </c>
      <c r="T161" s="61">
        <v>220.30308532714844</v>
      </c>
      <c r="U161" s="61">
        <v>31.602025484566603</v>
      </c>
      <c r="V161" s="276">
        <v>6.3204050969133202E-2</v>
      </c>
      <c r="W161" s="61">
        <v>0.56907403833076031</v>
      </c>
      <c r="X161" s="61">
        <v>29.038182549095893</v>
      </c>
      <c r="Y161" s="276">
        <v>5.8076365098191786E-2</v>
      </c>
      <c r="AA161" s="276"/>
      <c r="AC161" s="201">
        <f t="shared" si="21"/>
        <v>56.077549230056356</v>
      </c>
      <c r="AD161" s="201">
        <f t="shared" si="22"/>
        <v>49.162880516602911</v>
      </c>
      <c r="AF161" s="134"/>
      <c r="AG161" s="65"/>
      <c r="AH161" s="65"/>
      <c r="AI161" s="65"/>
      <c r="AJ161" s="65"/>
      <c r="AK161" s="65"/>
      <c r="AL161" s="65"/>
      <c r="AM161" s="65"/>
      <c r="AN161" s="65"/>
      <c r="AO161" s="65"/>
      <c r="AP161" s="65"/>
      <c r="AQ161" s="61"/>
      <c r="AR161" s="65"/>
      <c r="AS161" s="65"/>
      <c r="AT161" s="65"/>
      <c r="AU161" s="61"/>
      <c r="AV161" s="61"/>
      <c r="AW161" s="61"/>
      <c r="AX161" s="61"/>
      <c r="AY161" s="61"/>
      <c r="AZ161" s="61"/>
      <c r="BB161" s="61"/>
      <c r="BC161" s="24"/>
      <c r="BD161" s="24"/>
    </row>
    <row r="162" spans="1:56" ht="15" customHeight="1" x14ac:dyDescent="0.2">
      <c r="A162" s="58"/>
      <c r="O162" s="58"/>
      <c r="Q162" s="24">
        <v>96</v>
      </c>
      <c r="R162" s="61">
        <v>30.015686291038197</v>
      </c>
      <c r="S162" s="61">
        <v>11.583846223978043</v>
      </c>
      <c r="T162" s="61">
        <v>220.31500244140625</v>
      </c>
      <c r="U162" s="61">
        <v>32.17338833357141</v>
      </c>
      <c r="V162" s="276">
        <v>6.4346776667142822E-2</v>
      </c>
      <c r="W162" s="61">
        <v>0.57393278385124724</v>
      </c>
      <c r="X162" s="61">
        <v>29.609606326371914</v>
      </c>
      <c r="Y162" s="276">
        <v>5.9219212652743825E-2</v>
      </c>
      <c r="AA162" s="276"/>
      <c r="AC162" s="201">
        <f t="shared" si="21"/>
        <v>56.645142040045776</v>
      </c>
      <c r="AD162" s="201">
        <f t="shared" si="22"/>
        <v>49.731966889656256</v>
      </c>
      <c r="AF162" s="134"/>
      <c r="AG162" s="65"/>
      <c r="AH162" s="65"/>
      <c r="AI162" s="65"/>
      <c r="AJ162" s="65"/>
      <c r="AK162" s="65"/>
      <c r="AL162" s="65"/>
      <c r="AM162" s="65"/>
      <c r="AN162" s="65"/>
      <c r="AO162" s="65"/>
      <c r="AP162" s="65"/>
      <c r="AQ162" s="61"/>
      <c r="AR162" s="65"/>
      <c r="AS162" s="65"/>
      <c r="AT162" s="65"/>
      <c r="AU162" s="61"/>
      <c r="AV162" s="61"/>
      <c r="AW162" s="61"/>
      <c r="AX162" s="61"/>
      <c r="AY162" s="61"/>
      <c r="AZ162" s="61"/>
      <c r="BB162" s="61"/>
      <c r="BC162" s="24"/>
      <c r="BD162" s="24"/>
    </row>
    <row r="163" spans="1:56" ht="15" customHeight="1" x14ac:dyDescent="0.2">
      <c r="A163" s="58"/>
      <c r="O163" s="58"/>
      <c r="Q163" s="24">
        <v>97</v>
      </c>
      <c r="R163" s="61">
        <v>30.557737814004778</v>
      </c>
      <c r="S163" s="61">
        <v>11.779720890022535</v>
      </c>
      <c r="T163" s="61">
        <v>220.326904296875</v>
      </c>
      <c r="U163" s="61">
        <v>32.749613197048461</v>
      </c>
      <c r="V163" s="276">
        <v>6.5499226394096915E-2</v>
      </c>
      <c r="W163" s="61">
        <v>0.57877800410603586</v>
      </c>
      <c r="X163" s="61">
        <v>30.185879641650025</v>
      </c>
      <c r="Y163" s="276">
        <v>6.0371759283300054E-2</v>
      </c>
      <c r="AA163" s="276"/>
      <c r="AC163" s="201">
        <f t="shared" si="21"/>
        <v>57.217598841870618</v>
      </c>
      <c r="AD163" s="201">
        <f t="shared" si="22"/>
        <v>50.305913804143174</v>
      </c>
      <c r="AF163" s="134"/>
      <c r="AG163" s="65"/>
      <c r="AH163" s="65"/>
      <c r="AI163" s="65"/>
      <c r="AJ163" s="65"/>
      <c r="AK163" s="65"/>
      <c r="AL163" s="65"/>
      <c r="AM163" s="65"/>
      <c r="AN163" s="65"/>
      <c r="AO163" s="65"/>
      <c r="AP163" s="65"/>
      <c r="AQ163" s="61"/>
      <c r="AR163" s="65"/>
      <c r="AS163" s="65"/>
      <c r="AT163" s="65"/>
      <c r="AU163" s="61"/>
      <c r="AV163" s="61"/>
      <c r="AW163" s="61"/>
      <c r="AX163" s="61"/>
      <c r="AY163" s="61"/>
      <c r="AZ163" s="61"/>
      <c r="BB163" s="61"/>
      <c r="BC163" s="24"/>
      <c r="BD163" s="24"/>
    </row>
    <row r="164" spans="1:56" ht="15" customHeight="1" x14ac:dyDescent="0.2">
      <c r="O164" s="58"/>
      <c r="Q164" s="24">
        <v>98</v>
      </c>
      <c r="R164" s="61">
        <v>31.104239531703598</v>
      </c>
      <c r="S164" s="61">
        <v>11.977517508252751</v>
      </c>
      <c r="T164" s="61">
        <v>220.33877563476562</v>
      </c>
      <c r="U164" s="61">
        <v>33.330686199148282</v>
      </c>
      <c r="V164" s="276">
        <v>6.6661372398296559E-2</v>
      </c>
      <c r="W164" s="61">
        <v>0.58360996048749547</v>
      </c>
      <c r="X164" s="61">
        <v>30.766989036080027</v>
      </c>
      <c r="Y164" s="276">
        <v>6.1533978072160052E-2</v>
      </c>
      <c r="AA164" s="276"/>
      <c r="AC164" s="201">
        <f t="shared" si="21"/>
        <v>57.794906129324154</v>
      </c>
      <c r="AD164" s="201">
        <f t="shared" si="22"/>
        <v>50.884707640418704</v>
      </c>
      <c r="AF164" s="134"/>
      <c r="AG164" s="65"/>
      <c r="AH164" s="65"/>
      <c r="AI164" s="65"/>
      <c r="AJ164" s="65"/>
      <c r="AK164" s="65"/>
      <c r="AL164" s="65"/>
      <c r="AM164" s="65"/>
      <c r="AN164" s="65"/>
      <c r="AO164" s="65"/>
      <c r="AP164" s="65"/>
      <c r="AQ164" s="61"/>
      <c r="AR164" s="65"/>
      <c r="AS164" s="65"/>
      <c r="AT164" s="65"/>
      <c r="AU164" s="61"/>
      <c r="AV164" s="61"/>
      <c r="AW164" s="61"/>
      <c r="AX164" s="61"/>
      <c r="AY164" s="61"/>
      <c r="AZ164" s="61"/>
      <c r="BB164" s="61"/>
      <c r="BC164" s="24"/>
      <c r="BD164" s="24"/>
    </row>
    <row r="165" spans="1:56" ht="15" customHeight="1" x14ac:dyDescent="0.2">
      <c r="O165" s="58"/>
      <c r="Q165" s="24">
        <v>99</v>
      </c>
      <c r="R165" s="61">
        <v>31.655176906827858</v>
      </c>
      <c r="S165" s="61">
        <v>12.177237207192272</v>
      </c>
      <c r="T165" s="61">
        <v>220.35060119628906</v>
      </c>
      <c r="U165" s="61">
        <v>33.91659374115855</v>
      </c>
      <c r="V165" s="276">
        <v>6.7833187482317106E-2</v>
      </c>
      <c r="W165" s="61">
        <v>0.58842891006372378</v>
      </c>
      <c r="X165" s="61">
        <v>31.352921308017137</v>
      </c>
      <c r="Y165" s="276">
        <v>6.2705842616034277E-2</v>
      </c>
      <c r="AA165" s="276"/>
      <c r="AC165" s="201">
        <f t="shared" si="21"/>
        <v>58.377050635074454</v>
      </c>
      <c r="AD165" s="201">
        <f t="shared" si="22"/>
        <v>51.468335027618295</v>
      </c>
      <c r="AF165" s="134"/>
      <c r="AG165" s="65"/>
      <c r="AH165" s="65"/>
      <c r="AI165" s="65"/>
      <c r="AJ165" s="65"/>
      <c r="AK165" s="65"/>
      <c r="AL165" s="65"/>
      <c r="AM165" s="65"/>
      <c r="AN165" s="65"/>
      <c r="AO165" s="65"/>
      <c r="AP165" s="65"/>
      <c r="AQ165" s="61"/>
      <c r="AR165" s="65"/>
      <c r="AS165" s="65"/>
      <c r="AT165" s="65"/>
      <c r="AU165" s="61"/>
      <c r="AV165" s="61"/>
      <c r="AW165" s="61"/>
      <c r="AX165" s="61"/>
      <c r="AY165" s="61"/>
      <c r="AZ165" s="61"/>
      <c r="BB165" s="61"/>
      <c r="BC165" s="24"/>
      <c r="BD165" s="24"/>
    </row>
    <row r="166" spans="1:56" ht="15" customHeight="1" x14ac:dyDescent="0.2">
      <c r="O166" s="58"/>
      <c r="Q166" s="24">
        <v>100</v>
      </c>
      <c r="R166" s="61">
        <v>32.210535615477049</v>
      </c>
      <c r="S166" s="61">
        <v>12.378881258723638</v>
      </c>
      <c r="T166" s="61">
        <v>220.36235046386719</v>
      </c>
      <c r="U166" s="61">
        <v>34.507322496152824</v>
      </c>
      <c r="V166" s="276">
        <v>6.9014644992305654E-2</v>
      </c>
      <c r="W166" s="61">
        <v>0.59323510568731119</v>
      </c>
      <c r="X166" s="61">
        <v>31.943663508694364</v>
      </c>
      <c r="Y166" s="276">
        <v>6.3887327017388723E-2</v>
      </c>
      <c r="AA166" s="276"/>
      <c r="AC166" s="201">
        <f t="shared" si="21"/>
        <v>58.964019327217294</v>
      </c>
      <c r="AD166" s="201">
        <f t="shared" si="22"/>
        <v>52.056782839892229</v>
      </c>
      <c r="AF166" s="134"/>
      <c r="AG166" s="65"/>
      <c r="AH166" s="65"/>
      <c r="AI166" s="65"/>
      <c r="AJ166" s="65"/>
      <c r="AK166" s="65"/>
      <c r="AL166" s="65"/>
      <c r="AM166" s="65"/>
      <c r="AN166" s="65"/>
      <c r="AO166" s="65"/>
      <c r="AP166" s="65"/>
      <c r="AQ166" s="61"/>
      <c r="AR166" s="65"/>
      <c r="AS166" s="65"/>
      <c r="AT166" s="65"/>
      <c r="AU166" s="61"/>
      <c r="AV166" s="61"/>
      <c r="AW166" s="61"/>
      <c r="AX166" s="61"/>
      <c r="AY166" s="61"/>
      <c r="AZ166" s="61"/>
      <c r="BB166" s="61"/>
      <c r="BC166" s="24"/>
      <c r="BD166" s="24"/>
    </row>
    <row r="167" spans="1:56" ht="15" customHeight="1" x14ac:dyDescent="0.2">
      <c r="O167" s="58"/>
      <c r="Q167" s="24">
        <v>101</v>
      </c>
      <c r="R167" s="61">
        <v>32.770301542556808</v>
      </c>
      <c r="S167" s="61">
        <v>12.582451078106645</v>
      </c>
      <c r="T167" s="61">
        <v>220.37403869628906</v>
      </c>
      <c r="U167" s="61">
        <v>35.102859403801396</v>
      </c>
      <c r="V167" s="276">
        <v>7.020571880760279E-2</v>
      </c>
      <c r="W167" s="61">
        <v>0.59802879609963788</v>
      </c>
      <c r="X167" s="61">
        <v>32.539202938000713</v>
      </c>
      <c r="Y167" s="276">
        <v>6.507840587600143E-2</v>
      </c>
      <c r="AA167" s="276"/>
      <c r="AC167" s="201">
        <f t="shared" si="21"/>
        <v>59.555799405905901</v>
      </c>
      <c r="AD167" s="201">
        <f t="shared" si="22"/>
        <v>52.650038192719933</v>
      </c>
      <c r="AF167" s="134"/>
      <c r="AG167" s="65"/>
      <c r="AH167" s="65"/>
      <c r="AI167" s="65"/>
      <c r="AJ167" s="65"/>
      <c r="AK167" s="65"/>
      <c r="AL167" s="65"/>
      <c r="AM167" s="65"/>
      <c r="AN167" s="65"/>
      <c r="AO167" s="65"/>
      <c r="AP167" s="65"/>
      <c r="AQ167" s="61"/>
      <c r="AR167" s="65"/>
      <c r="AS167" s="65"/>
      <c r="AT167" s="65"/>
      <c r="AU167" s="61"/>
      <c r="AV167" s="62"/>
      <c r="AW167" s="62"/>
      <c r="AX167" s="64"/>
      <c r="AY167" s="61"/>
      <c r="AZ167" s="61"/>
      <c r="BB167" s="61"/>
      <c r="BC167" s="24"/>
      <c r="BD167" s="24"/>
    </row>
    <row r="168" spans="1:56" ht="15" customHeight="1" x14ac:dyDescent="0.2">
      <c r="O168" s="58"/>
      <c r="Q168" s="24">
        <v>102</v>
      </c>
      <c r="R168" s="61">
        <v>33.334460777291532</v>
      </c>
      <c r="S168" s="61">
        <v>12.787948223971416</v>
      </c>
      <c r="T168" s="61">
        <v>220.3856201171875</v>
      </c>
      <c r="U168" s="61">
        <v>35.703191665336604</v>
      </c>
      <c r="V168" s="276">
        <v>7.1406383330673201E-2</v>
      </c>
      <c r="W168" s="61">
        <v>0.60281022603085654</v>
      </c>
      <c r="X168" s="61">
        <v>33.139527140360791</v>
      </c>
      <c r="Y168" s="276">
        <v>6.6279054280721575E-2</v>
      </c>
      <c r="AA168" s="276"/>
      <c r="AC168" s="201">
        <f t="shared" si="21"/>
        <v>60.152378300053549</v>
      </c>
      <c r="AD168" s="201">
        <f t="shared" si="22"/>
        <v>53.248088439300254</v>
      </c>
      <c r="AF168" s="134"/>
      <c r="AG168" s="65"/>
      <c r="AH168" s="65"/>
      <c r="AI168" s="61"/>
      <c r="AJ168" s="61"/>
      <c r="AL168" s="62"/>
      <c r="AM168" s="65"/>
      <c r="AN168" s="65"/>
      <c r="AO168" s="65"/>
      <c r="AP168" s="65"/>
      <c r="AQ168" s="61"/>
      <c r="AR168" s="65"/>
      <c r="AS168" s="62"/>
      <c r="AT168" s="62"/>
      <c r="AU168" s="64"/>
      <c r="AV168" s="62"/>
      <c r="AW168" s="62"/>
      <c r="AX168" s="64"/>
      <c r="AY168" s="61"/>
      <c r="AZ168" s="61"/>
      <c r="BB168" s="61"/>
      <c r="BC168" s="24"/>
      <c r="BD168" s="24"/>
    </row>
    <row r="169" spans="1:56" ht="15" customHeight="1" x14ac:dyDescent="0.2">
      <c r="O169" s="58"/>
      <c r="Q169" s="24">
        <v>103</v>
      </c>
      <c r="R169" s="61">
        <v>33.902999608845157</v>
      </c>
      <c r="S169" s="61">
        <v>12.995374398287112</v>
      </c>
      <c r="T169" s="61">
        <v>220.3970947265625</v>
      </c>
      <c r="U169" s="61">
        <v>36.308306738665344</v>
      </c>
      <c r="V169" s="276">
        <v>7.2616613477330685E-2</v>
      </c>
      <c r="W169" s="61">
        <v>0.60757963629571687</v>
      </c>
      <c r="X169" s="61">
        <v>33.74462390071168</v>
      </c>
      <c r="Y169" s="276">
        <v>6.748924780142336E-2</v>
      </c>
      <c r="AA169" s="276"/>
      <c r="AC169" s="201">
        <f t="shared" si="21"/>
        <v>60.753743664105158</v>
      </c>
      <c r="AD169" s="201">
        <f t="shared" si="22"/>
        <v>53.850921167014775</v>
      </c>
      <c r="AF169" s="134"/>
      <c r="AG169" s="65"/>
      <c r="AH169" s="65"/>
      <c r="AI169" s="61"/>
      <c r="AJ169" s="61"/>
      <c r="AL169" s="62"/>
      <c r="AM169" s="65"/>
      <c r="AN169" s="65"/>
      <c r="AO169" s="65"/>
      <c r="AP169" s="65"/>
      <c r="AQ169" s="61"/>
      <c r="AR169" s="64"/>
      <c r="AS169" s="62"/>
      <c r="AT169" s="62"/>
      <c r="AU169" s="64"/>
      <c r="AV169" s="62"/>
      <c r="AW169" s="62"/>
      <c r="AX169" s="64"/>
      <c r="AY169" s="61"/>
      <c r="AZ169" s="61"/>
      <c r="BB169" s="61"/>
      <c r="BC169" s="24"/>
      <c r="BD169" s="24"/>
    </row>
    <row r="170" spans="1:56" ht="15" customHeight="1" x14ac:dyDescent="0.2">
      <c r="O170" s="58"/>
      <c r="Q170" s="24">
        <v>104</v>
      </c>
      <c r="R170" s="61">
        <v>34.475904522045205</v>
      </c>
      <c r="S170" s="61">
        <v>13.204731446307074</v>
      </c>
      <c r="T170" s="61">
        <v>220.408447265625</v>
      </c>
      <c r="U170" s="61">
        <v>36.918192333621477</v>
      </c>
      <c r="V170" s="276">
        <v>7.3836384667242946E-2</v>
      </c>
      <c r="W170" s="61">
        <v>0.61233726388536636</v>
      </c>
      <c r="X170" s="61">
        <v>34.35448124057266</v>
      </c>
      <c r="Y170" s="276">
        <v>6.8708962481145316E-2</v>
      </c>
      <c r="AA170" s="276"/>
      <c r="AC170" s="201">
        <f t="shared" si="21"/>
        <v>61.359883374873903</v>
      </c>
      <c r="AD170" s="201">
        <f t="shared" si="22"/>
        <v>54.458524193960308</v>
      </c>
      <c r="AF170" s="134"/>
      <c r="AG170" s="65"/>
      <c r="AH170" s="65"/>
      <c r="AI170" s="61"/>
      <c r="AJ170" s="61"/>
      <c r="AL170" s="62"/>
      <c r="AM170" s="65"/>
      <c r="AN170" s="65"/>
      <c r="AO170" s="65"/>
      <c r="AP170" s="65"/>
      <c r="AQ170" s="61"/>
      <c r="AR170" s="64"/>
      <c r="AS170" s="62"/>
      <c r="AT170" s="62"/>
      <c r="AU170" s="64"/>
      <c r="AV170" s="62"/>
      <c r="AW170" s="62"/>
      <c r="AX170" s="64"/>
      <c r="AY170" s="61"/>
      <c r="AZ170" s="61"/>
      <c r="BB170" s="61"/>
      <c r="BC170" s="24"/>
      <c r="BD170" s="24"/>
    </row>
    <row r="171" spans="1:56" ht="15" customHeight="1" x14ac:dyDescent="0.2">
      <c r="O171" s="58"/>
      <c r="Q171" s="24">
        <v>105</v>
      </c>
      <c r="R171" s="61">
        <v>35.053162193206205</v>
      </c>
      <c r="S171" s="61">
        <v>13.416021356491196</v>
      </c>
      <c r="T171" s="61">
        <v>220.41963195800781</v>
      </c>
      <c r="U171" s="61">
        <v>37.532836407352015</v>
      </c>
      <c r="V171" s="276">
        <v>7.5065672814704026E-2</v>
      </c>
      <c r="W171" s="61">
        <v>0.6170833420552676</v>
      </c>
      <c r="X171" s="61">
        <v>34.969087414204267</v>
      </c>
      <c r="Y171" s="276">
        <v>6.9938174828408528E-2</v>
      </c>
      <c r="AA171" s="276"/>
      <c r="AC171" s="201">
        <f t="shared" si="21"/>
        <v>61.970785528439741</v>
      </c>
      <c r="AD171" s="201">
        <f t="shared" si="22"/>
        <v>55.070885565548153</v>
      </c>
      <c r="AF171" s="134"/>
      <c r="AG171" s="65"/>
      <c r="AH171" s="65"/>
      <c r="AI171" s="61"/>
      <c r="AJ171" s="61"/>
      <c r="AL171" s="62"/>
      <c r="AM171" s="65"/>
      <c r="AN171" s="65"/>
      <c r="AO171" s="65"/>
      <c r="AP171" s="65"/>
      <c r="AQ171" s="61"/>
      <c r="AR171" s="64"/>
      <c r="AS171" s="62"/>
      <c r="AT171" s="62"/>
      <c r="AU171" s="64"/>
      <c r="AV171" s="62"/>
      <c r="AW171" s="62"/>
      <c r="AX171" s="64"/>
      <c r="AY171" s="61"/>
      <c r="AZ171" s="61"/>
      <c r="BB171" s="61"/>
      <c r="BC171" s="24"/>
      <c r="BD171" s="24"/>
    </row>
    <row r="172" spans="1:56" ht="15" customHeight="1" x14ac:dyDescent="0.2">
      <c r="Q172" s="24">
        <v>106</v>
      </c>
      <c r="R172" s="61">
        <v>35.634759486047713</v>
      </c>
      <c r="S172" s="61">
        <v>13.629246260406189</v>
      </c>
      <c r="T172" s="61">
        <v>220.43064880371094</v>
      </c>
      <c r="U172" s="61">
        <v>38.15222715982992</v>
      </c>
      <c r="V172" s="278">
        <v>7.6304454319659834E-2</v>
      </c>
      <c r="W172" s="192">
        <v>0.62181810040935659</v>
      </c>
      <c r="X172" s="192">
        <v>35.588430904852324</v>
      </c>
      <c r="Y172" s="278">
        <v>7.1176861809704645E-2</v>
      </c>
      <c r="Z172" s="192"/>
      <c r="AA172" s="278"/>
      <c r="AB172" s="192"/>
      <c r="AC172" s="201">
        <f t="shared" si="21"/>
        <v>62.586438437106025</v>
      </c>
      <c r="AD172" s="201">
        <f t="shared" si="22"/>
        <v>55.687993551166407</v>
      </c>
      <c r="AF172" s="134"/>
      <c r="AG172" s="65"/>
      <c r="AH172" s="65"/>
      <c r="AI172" s="61"/>
      <c r="AJ172" s="61"/>
      <c r="AL172" s="62"/>
      <c r="AM172" s="62"/>
      <c r="AN172" s="64"/>
      <c r="AO172" s="62"/>
      <c r="AP172" s="62"/>
      <c r="AQ172" s="61"/>
      <c r="AR172" s="64"/>
      <c r="AS172" s="62"/>
      <c r="AT172" s="62"/>
      <c r="AU172" s="64"/>
      <c r="AV172" s="62"/>
      <c r="AW172" s="62"/>
      <c r="AX172" s="64"/>
      <c r="AY172" s="61"/>
      <c r="AZ172" s="61"/>
      <c r="BB172" s="61"/>
      <c r="BC172" s="24"/>
      <c r="BD172" s="24"/>
    </row>
    <row r="173" spans="1:56" ht="15" customHeight="1" x14ac:dyDescent="0.2">
      <c r="Q173" s="24">
        <v>107</v>
      </c>
      <c r="R173" s="61">
        <v>36.220683447703237</v>
      </c>
      <c r="S173" s="61">
        <v>13.844408432604414</v>
      </c>
      <c r="T173" s="61">
        <v>220.44149780273437</v>
      </c>
      <c r="U173" s="61">
        <v>38.776353029488106</v>
      </c>
      <c r="V173" s="278">
        <v>7.7552706058976212E-2</v>
      </c>
      <c r="W173" s="192">
        <v>0.6265417649805628</v>
      </c>
      <c r="X173" s="192">
        <v>36.212500421073671</v>
      </c>
      <c r="Y173" s="278">
        <v>7.2425000842147341E-2</v>
      </c>
      <c r="Z173" s="192"/>
      <c r="AA173" s="278"/>
      <c r="AB173" s="192"/>
      <c r="AC173" s="201">
        <f t="shared" si="21"/>
        <v>63.20683062641146</v>
      </c>
      <c r="AD173" s="201">
        <f t="shared" si="22"/>
        <v>56.309836640903043</v>
      </c>
      <c r="AF173" s="134"/>
      <c r="AG173" s="65"/>
      <c r="AH173" s="65"/>
      <c r="AI173" s="61"/>
      <c r="AJ173" s="61"/>
      <c r="AL173" s="62"/>
      <c r="AM173" s="62"/>
      <c r="AN173" s="64"/>
      <c r="AO173" s="62"/>
      <c r="AP173" s="62"/>
      <c r="AQ173" s="64"/>
      <c r="AR173" s="64"/>
      <c r="AS173" s="62"/>
      <c r="AT173" s="62"/>
      <c r="AU173" s="64"/>
      <c r="AV173" s="62"/>
      <c r="AW173" s="62"/>
      <c r="AX173" s="64"/>
      <c r="AY173" s="61"/>
      <c r="AZ173" s="61"/>
      <c r="BB173" s="61"/>
      <c r="BC173" s="24"/>
      <c r="BD173" s="24"/>
    </row>
    <row r="174" spans="1:56" ht="15" customHeight="1" x14ac:dyDescent="0.2">
      <c r="Q174" s="24">
        <v>108</v>
      </c>
      <c r="R174" s="61">
        <v>36.810921304815857</v>
      </c>
      <c r="S174" s="61">
        <v>14.061510290481847</v>
      </c>
      <c r="T174" s="61">
        <v>220.45213317871094</v>
      </c>
      <c r="U174" s="61">
        <v>39.405202688968281</v>
      </c>
      <c r="V174" s="278">
        <v>7.8810405377936557E-2</v>
      </c>
      <c r="W174" s="192">
        <v>0.63125455830780841</v>
      </c>
      <c r="X174" s="192">
        <v>36.841284893139679</v>
      </c>
      <c r="Y174" s="278">
        <v>7.3682569786279364E-2</v>
      </c>
      <c r="Z174" s="192"/>
      <c r="AA174" s="278"/>
      <c r="AB174" s="192"/>
      <c r="AC174" s="201">
        <f t="shared" si="21"/>
        <v>63.831950832193947</v>
      </c>
      <c r="AD174" s="201">
        <f t="shared" si="22"/>
        <v>56.936403542326524</v>
      </c>
      <c r="AF174" s="65"/>
      <c r="AG174" s="61"/>
      <c r="AH174" s="61"/>
      <c r="AI174" s="61"/>
      <c r="AJ174" s="61"/>
      <c r="AL174" s="62"/>
      <c r="AM174" s="62"/>
      <c r="AN174" s="64"/>
      <c r="AO174" s="62"/>
      <c r="AP174" s="62"/>
      <c r="AQ174" s="64"/>
      <c r="AR174" s="64"/>
      <c r="AS174" s="62"/>
      <c r="AT174" s="62"/>
      <c r="AU174" s="64"/>
      <c r="AV174" s="62"/>
      <c r="AW174" s="62"/>
      <c r="AX174" s="64"/>
      <c r="AY174" s="61"/>
      <c r="AZ174" s="61"/>
      <c r="BB174" s="61"/>
      <c r="BC174" s="24"/>
      <c r="BD174" s="24"/>
    </row>
    <row r="175" spans="1:56" ht="15" customHeight="1" x14ac:dyDescent="0.2">
      <c r="Q175" s="24">
        <v>109</v>
      </c>
      <c r="R175" s="61">
        <v>37.405460459716863</v>
      </c>
      <c r="S175" s="61">
        <v>14.28055439411575</v>
      </c>
      <c r="T175" s="61">
        <v>220.46253967285156</v>
      </c>
      <c r="U175" s="61">
        <v>40.038765040979229</v>
      </c>
      <c r="V175" s="278">
        <v>8.0077530081958462E-2</v>
      </c>
      <c r="W175" s="192">
        <v>0.63595669950959099</v>
      </c>
      <c r="X175" s="192">
        <v>37.474773469514261</v>
      </c>
      <c r="Y175" s="278">
        <v>7.4949546939028527E-2</v>
      </c>
      <c r="Z175" s="192"/>
      <c r="AA175" s="278"/>
      <c r="AB175" s="192"/>
      <c r="AC175" s="201">
        <f t="shared" si="21"/>
        <v>64.46178799770378</v>
      </c>
      <c r="AD175" s="201">
        <f t="shared" si="22"/>
        <v>57.567683177321562</v>
      </c>
      <c r="AF175" s="65"/>
      <c r="AG175" s="61"/>
      <c r="AH175" s="61"/>
      <c r="AI175" s="61"/>
      <c r="AJ175" s="61"/>
      <c r="AL175" s="62"/>
      <c r="AM175" s="62"/>
      <c r="AN175" s="64"/>
      <c r="AO175" s="62"/>
      <c r="AP175" s="62"/>
      <c r="AQ175" s="64"/>
      <c r="AR175" s="64"/>
      <c r="AS175" s="62"/>
      <c r="AT175" s="62"/>
      <c r="AU175" s="64"/>
      <c r="AV175" s="61"/>
      <c r="AW175" s="61"/>
      <c r="AX175" s="61"/>
      <c r="AY175" s="61"/>
      <c r="AZ175" s="61"/>
      <c r="BB175" s="61"/>
      <c r="BC175" s="24"/>
      <c r="BD175" s="24"/>
    </row>
    <row r="176" spans="1:56" ht="15" customHeight="1" x14ac:dyDescent="0.2">
      <c r="Q176" s="24">
        <v>110</v>
      </c>
      <c r="R176" s="61">
        <v>38.004288486683578</v>
      </c>
      <c r="S176" s="61">
        <v>14.501543446082524</v>
      </c>
      <c r="T176" s="61">
        <v>220.47270202636719</v>
      </c>
      <c r="U176" s="61">
        <v>40.677029214259107</v>
      </c>
      <c r="V176" s="278">
        <v>8.1354058428518214E-2</v>
      </c>
      <c r="W176" s="192">
        <v>0.64064840435425763</v>
      </c>
      <c r="X176" s="192">
        <v>38.112955513402852</v>
      </c>
      <c r="Y176" s="278">
        <v>7.6225911026805704E-2</v>
      </c>
      <c r="Z176" s="192"/>
      <c r="AA176" s="278"/>
      <c r="AB176" s="192"/>
      <c r="AC176" s="201">
        <f t="shared" si="21"/>
        <v>65.096331270763017</v>
      </c>
      <c r="AD176" s="201">
        <f t="shared" si="22"/>
        <v>58.20366467897724</v>
      </c>
      <c r="AF176" s="65"/>
      <c r="AG176" s="61"/>
      <c r="AH176" s="61"/>
      <c r="AI176" s="65"/>
      <c r="AJ176" s="65"/>
      <c r="AK176" s="65"/>
      <c r="AL176" s="65"/>
      <c r="AM176" s="62"/>
      <c r="AN176" s="64"/>
      <c r="AO176" s="62"/>
      <c r="AP176" s="62"/>
      <c r="AQ176" s="64"/>
      <c r="AR176" s="64"/>
      <c r="AS176" s="65"/>
      <c r="AT176" s="65"/>
      <c r="AU176" s="61"/>
      <c r="AV176" s="61"/>
      <c r="AW176" s="61"/>
      <c r="AX176" s="61"/>
      <c r="AY176" s="61"/>
      <c r="AZ176" s="61"/>
      <c r="BB176" s="61"/>
      <c r="BC176" s="24"/>
      <c r="BD176" s="24"/>
    </row>
    <row r="177" spans="17:56" ht="15" customHeight="1" x14ac:dyDescent="0.2">
      <c r="Q177" s="24">
        <v>111</v>
      </c>
      <c r="R177" s="61">
        <v>38.607393128272939</v>
      </c>
      <c r="S177" s="61">
        <v>14.724480291256167</v>
      </c>
      <c r="T177" s="61">
        <v>220.48262023925781</v>
      </c>
      <c r="U177" s="61">
        <v>41.319984559636609</v>
      </c>
      <c r="V177" s="278">
        <v>8.2639969119273224E-2</v>
      </c>
      <c r="W177" s="192">
        <v>0.64532988532706526</v>
      </c>
      <c r="X177" s="192">
        <v>38.755820599369216</v>
      </c>
      <c r="Y177" s="278">
        <v>7.7511641198738435E-2</v>
      </c>
      <c r="Z177" s="192"/>
      <c r="AA177" s="278"/>
      <c r="AB177" s="192"/>
      <c r="AC177" s="201">
        <f t="shared" si="21"/>
        <v>65.735570000968849</v>
      </c>
      <c r="AD177" s="201">
        <f t="shared" si="22"/>
        <v>58.844337388525148</v>
      </c>
      <c r="AF177" s="65"/>
      <c r="AG177" s="61"/>
      <c r="AH177" s="61"/>
      <c r="AI177" s="65"/>
      <c r="AJ177" s="65"/>
      <c r="AK177" s="65"/>
      <c r="AL177" s="65"/>
      <c r="AM177" s="62"/>
      <c r="AN177" s="64"/>
      <c r="AO177" s="62"/>
      <c r="AP177" s="62"/>
      <c r="AQ177" s="64"/>
      <c r="AR177" s="65"/>
      <c r="AS177" s="65"/>
      <c r="AT177" s="65"/>
      <c r="AU177" s="61"/>
      <c r="AV177" s="61"/>
      <c r="AW177" s="61"/>
      <c r="AX177" s="61"/>
      <c r="AY177" s="61"/>
      <c r="AZ177" s="61"/>
      <c r="BB177" s="61"/>
      <c r="BC177" s="24"/>
      <c r="BD177" s="24"/>
    </row>
    <row r="178" spans="17:56" ht="15" customHeight="1" x14ac:dyDescent="0.2">
      <c r="Q178" s="24">
        <v>112</v>
      </c>
      <c r="R178" s="61">
        <v>39.214762291727233</v>
      </c>
      <c r="S178" s="61">
        <v>14.949367916587784</v>
      </c>
      <c r="T178" s="61">
        <v>220.49224853515625</v>
      </c>
      <c r="U178" s="61">
        <v>41.967620646185985</v>
      </c>
      <c r="V178" s="278">
        <v>8.3935241292371968E-2</v>
      </c>
      <c r="W178" s="192">
        <v>0.65000135169412243</v>
      </c>
      <c r="X178" s="192">
        <v>39.403358510016837</v>
      </c>
      <c r="Y178" s="278">
        <v>7.8806717020033668E-2</v>
      </c>
      <c r="Z178" s="192"/>
      <c r="AA178" s="278"/>
      <c r="AB178" s="192"/>
      <c r="AC178" s="201">
        <f t="shared" si="21"/>
        <v>66.37949373693786</v>
      </c>
      <c r="AD178" s="201">
        <f t="shared" si="22"/>
        <v>59.489690852324927</v>
      </c>
      <c r="AF178" s="65"/>
      <c r="AG178" s="61"/>
      <c r="AH178" s="61"/>
      <c r="AI178" s="65"/>
      <c r="AJ178" s="65"/>
      <c r="AK178" s="65"/>
      <c r="AL178" s="65"/>
      <c r="AM178" s="62"/>
      <c r="AN178" s="64"/>
      <c r="AO178" s="62"/>
      <c r="AP178" s="62"/>
      <c r="AQ178" s="64"/>
      <c r="AR178" s="65"/>
      <c r="AS178" s="65"/>
      <c r="AT178" s="65"/>
      <c r="AU178" s="61"/>
      <c r="AV178" s="61"/>
      <c r="AW178" s="61"/>
      <c r="AX178" s="61"/>
      <c r="AY178" s="61"/>
      <c r="AZ178" s="61"/>
      <c r="BB178" s="61"/>
      <c r="BC178" s="24"/>
      <c r="BD178" s="24"/>
    </row>
    <row r="179" spans="17:56" ht="15" customHeight="1" x14ac:dyDescent="0.2">
      <c r="Q179" s="24">
        <v>113</v>
      </c>
      <c r="R179" s="61">
        <v>39.826384045448734</v>
      </c>
      <c r="S179" s="61">
        <v>15.17620945086645</v>
      </c>
      <c r="T179" s="61">
        <v>220.50157165527344</v>
      </c>
      <c r="U179" s="61">
        <v>42.619927257471261</v>
      </c>
      <c r="V179" s="278">
        <v>8.5239854514942523E-2</v>
      </c>
      <c r="W179" s="192">
        <v>0.65466300956329926</v>
      </c>
      <c r="X179" s="192">
        <v>40.055559232731738</v>
      </c>
      <c r="Y179" s="278">
        <v>8.0111118465463482E-2</v>
      </c>
      <c r="Z179" s="192"/>
      <c r="AA179" s="278"/>
      <c r="AB179" s="192"/>
      <c r="AC179" s="201">
        <f t="shared" si="21"/>
        <v>67.028092223589283</v>
      </c>
      <c r="AD179" s="201">
        <f t="shared" si="22"/>
        <v>60.139714818895065</v>
      </c>
      <c r="AF179" s="65"/>
      <c r="AG179" s="61"/>
      <c r="AH179" s="61"/>
      <c r="AI179" s="65"/>
      <c r="AJ179" s="65"/>
      <c r="AK179" s="65"/>
      <c r="AL179" s="65"/>
      <c r="AM179" s="62"/>
      <c r="AN179" s="64"/>
      <c r="AO179" s="62"/>
      <c r="AP179" s="62"/>
      <c r="AQ179" s="64"/>
      <c r="AR179" s="65"/>
      <c r="AS179" s="65"/>
      <c r="AT179" s="65"/>
      <c r="AU179" s="61"/>
      <c r="AV179" s="61"/>
      <c r="AW179" s="61"/>
      <c r="AX179" s="61"/>
      <c r="AY179" s="61"/>
      <c r="AZ179" s="61"/>
      <c r="BB179" s="61"/>
      <c r="BC179" s="24"/>
      <c r="BD179" s="24"/>
    </row>
    <row r="180" spans="17:56" ht="15" customHeight="1" x14ac:dyDescent="0.2">
      <c r="Q180" s="24">
        <v>114</v>
      </c>
      <c r="R180" s="61">
        <v>40.442246615493914</v>
      </c>
      <c r="S180" s="61">
        <v>15.405008164425212</v>
      </c>
      <c r="T180" s="61">
        <v>220.51058959960937</v>
      </c>
      <c r="U180" s="61">
        <v>43.276894387818963</v>
      </c>
      <c r="V180" s="276">
        <v>8.6553788775637922E-2</v>
      </c>
      <c r="W180" s="61">
        <v>0.65931506166323861</v>
      </c>
      <c r="X180" s="61">
        <v>40.712412956428409</v>
      </c>
      <c r="Y180" s="276">
        <v>8.1424825912856824E-2</v>
      </c>
      <c r="AA180" s="276"/>
      <c r="AC180" s="201">
        <f t="shared" si="21"/>
        <v>67.681355399410734</v>
      </c>
      <c r="AD180" s="201">
        <f t="shared" si="22"/>
        <v>60.794399235932275</v>
      </c>
      <c r="AF180" s="65"/>
      <c r="AG180" s="61"/>
      <c r="AH180" s="61"/>
      <c r="AI180" s="65"/>
      <c r="AJ180" s="65"/>
      <c r="AK180" s="65"/>
      <c r="AL180" s="65"/>
      <c r="AM180" s="65"/>
      <c r="AN180" s="65"/>
      <c r="AO180" s="65"/>
      <c r="AP180" s="65"/>
      <c r="AQ180" s="64"/>
      <c r="AR180" s="65"/>
      <c r="AS180" s="65"/>
      <c r="AT180" s="65"/>
      <c r="AU180" s="61"/>
      <c r="AV180" s="61"/>
      <c r="AW180" s="61"/>
      <c r="AX180" s="61"/>
      <c r="AY180" s="61"/>
      <c r="AZ180" s="61"/>
      <c r="BB180" s="61"/>
      <c r="BC180" s="24"/>
      <c r="BD180" s="24"/>
    </row>
    <row r="181" spans="17:56" ht="15" customHeight="1" x14ac:dyDescent="0.2">
      <c r="Q181" s="24">
        <v>115</v>
      </c>
      <c r="R181" s="61">
        <v>41.062338380608054</v>
      </c>
      <c r="S181" s="61">
        <v>15.635767467621379</v>
      </c>
      <c r="T181" s="61">
        <v>220.51925659179687</v>
      </c>
      <c r="U181" s="61">
        <v>43.938512236818902</v>
      </c>
      <c r="V181" s="276">
        <v>8.7877024473637808E-2</v>
      </c>
      <c r="W181" s="61">
        <v>0.66395770320584935</v>
      </c>
      <c r="X181" s="61">
        <v>41.373910066516153</v>
      </c>
      <c r="Y181" s="276">
        <v>8.2747820133032307E-2</v>
      </c>
      <c r="AA181" s="276"/>
      <c r="AC181" s="201">
        <f t="shared" si="21"/>
        <v>68.339273391983966</v>
      </c>
      <c r="AD181" s="201">
        <f t="shared" si="22"/>
        <v>61.453734245579938</v>
      </c>
      <c r="AF181" s="65"/>
      <c r="AG181" s="61"/>
      <c r="AH181" s="61"/>
      <c r="AI181" s="65"/>
      <c r="AJ181" s="65"/>
      <c r="AK181" s="65"/>
      <c r="AL181" s="65"/>
      <c r="AM181" s="65"/>
      <c r="AN181" s="65"/>
      <c r="AO181" s="65"/>
      <c r="AP181" s="65"/>
      <c r="AQ181" s="61"/>
      <c r="AR181" s="65"/>
      <c r="AS181" s="65"/>
      <c r="AT181" s="65"/>
      <c r="AU181" s="61"/>
      <c r="AV181" s="61"/>
      <c r="AW181" s="61"/>
      <c r="AX181" s="61"/>
      <c r="AY181" s="61"/>
      <c r="AZ181" s="61"/>
      <c r="BB181" s="61"/>
      <c r="BC181" s="24"/>
      <c r="BD181" s="24"/>
    </row>
    <row r="182" spans="17:56" ht="15" customHeight="1" x14ac:dyDescent="0.2">
      <c r="Q182" s="24">
        <v>116</v>
      </c>
      <c r="R182" s="61">
        <v>41.686647862784625</v>
      </c>
      <c r="S182" s="61">
        <v>15.868490905705871</v>
      </c>
      <c r="T182" s="61">
        <v>220.52757263183594</v>
      </c>
      <c r="U182" s="61">
        <v>44.604771198385002</v>
      </c>
      <c r="V182" s="276">
        <v>8.9209542396770009E-2</v>
      </c>
      <c r="W182" s="61">
        <v>0.66859111688170481</v>
      </c>
      <c r="X182" s="61">
        <v>42.040041134450782</v>
      </c>
      <c r="Y182" s="276">
        <v>8.4080082268901568E-2</v>
      </c>
      <c r="AA182" s="276"/>
      <c r="AC182" s="201">
        <f t="shared" si="21"/>
        <v>69.001836508250918</v>
      </c>
      <c r="AD182" s="201">
        <f t="shared" si="22"/>
        <v>62.117710174392727</v>
      </c>
      <c r="AF182" s="134"/>
      <c r="AG182" s="65"/>
      <c r="AH182" s="65"/>
      <c r="AI182" s="65"/>
      <c r="AJ182" s="65"/>
      <c r="AK182" s="65"/>
      <c r="AL182" s="65"/>
      <c r="AM182" s="65"/>
      <c r="AN182" s="65"/>
      <c r="AO182" s="65"/>
      <c r="AP182" s="65"/>
      <c r="AQ182" s="61"/>
      <c r="AR182" s="65"/>
      <c r="AS182" s="65"/>
      <c r="AT182" s="65"/>
      <c r="AU182" s="61"/>
      <c r="AV182" s="61"/>
      <c r="AW182" s="61"/>
      <c r="AX182" s="61"/>
      <c r="AY182" s="61"/>
      <c r="AZ182" s="61"/>
      <c r="BB182" s="61"/>
      <c r="BC182" s="24"/>
      <c r="BD182" s="24"/>
    </row>
    <row r="183" spans="17:56" ht="15" customHeight="1" x14ac:dyDescent="0.2">
      <c r="Q183" s="24">
        <v>117</v>
      </c>
      <c r="R183" s="61">
        <v>42.315163715828881</v>
      </c>
      <c r="S183" s="61">
        <v>16.103182152061066</v>
      </c>
      <c r="T183" s="61">
        <v>220.5355224609375</v>
      </c>
      <c r="U183" s="61">
        <v>45.275661847397203</v>
      </c>
      <c r="V183" s="276">
        <v>9.0551323694794406E-2</v>
      </c>
      <c r="W183" s="61">
        <v>0.67321547247688285</v>
      </c>
      <c r="X183" s="61">
        <v>42.710796904861176</v>
      </c>
      <c r="Y183" s="276">
        <v>8.5421593809722349E-2</v>
      </c>
      <c r="AA183" s="276"/>
      <c r="AC183" s="201">
        <f t="shared" si="21"/>
        <v>69.669035222399501</v>
      </c>
      <c r="AD183" s="201">
        <f t="shared" si="22"/>
        <v>62.786317520908241</v>
      </c>
      <c r="AF183" s="134"/>
      <c r="AG183" s="65"/>
      <c r="AH183" s="65"/>
      <c r="AI183" s="65"/>
      <c r="AJ183" s="65"/>
      <c r="AK183" s="65"/>
      <c r="AL183" s="65"/>
      <c r="AM183" s="65"/>
      <c r="AN183" s="65"/>
      <c r="AO183" s="65"/>
      <c r="AP183" s="65"/>
      <c r="AQ183" s="61"/>
      <c r="AR183" s="65"/>
      <c r="AS183" s="65"/>
      <c r="AT183" s="65"/>
      <c r="AU183" s="61"/>
      <c r="AV183" s="61"/>
      <c r="AW183" s="61"/>
      <c r="AX183" s="61"/>
      <c r="AY183" s="61"/>
      <c r="AZ183" s="61"/>
      <c r="BB183" s="61"/>
      <c r="BC183" s="24"/>
      <c r="BD183" s="24"/>
    </row>
    <row r="184" spans="17:56" ht="15" customHeight="1" x14ac:dyDescent="0.2">
      <c r="Q184" s="24">
        <v>118</v>
      </c>
      <c r="R184" s="61">
        <v>42.947874713997038</v>
      </c>
      <c r="S184" s="61">
        <v>16.339845001453362</v>
      </c>
      <c r="T184" s="61">
        <v>220.54306030273437</v>
      </c>
      <c r="U184" s="61">
        <v>45.951174926444551</v>
      </c>
      <c r="V184" s="276">
        <v>9.1902349852889101E-2</v>
      </c>
      <c r="W184" s="61">
        <v>0.67783092708160009</v>
      </c>
      <c r="X184" s="61">
        <v>43.386168282747732</v>
      </c>
      <c r="Y184" s="276">
        <v>8.6772336565495461E-2</v>
      </c>
      <c r="AA184" s="276"/>
      <c r="AC184" s="201">
        <f t="shared" si="21"/>
        <v>70.340860163782054</v>
      </c>
      <c r="AD184" s="201">
        <f t="shared" si="22"/>
        <v>63.459546943262325</v>
      </c>
      <c r="AF184" s="134"/>
      <c r="AG184" s="65"/>
      <c r="AH184" s="65"/>
      <c r="AI184" s="65"/>
      <c r="AJ184" s="65"/>
      <c r="AK184" s="65"/>
      <c r="AL184" s="65"/>
      <c r="AM184" s="65"/>
      <c r="AN184" s="65"/>
      <c r="AO184" s="65"/>
      <c r="AP184" s="65"/>
      <c r="AQ184" s="61"/>
      <c r="AR184" s="65"/>
      <c r="AS184" s="65"/>
      <c r="AT184" s="65"/>
      <c r="AU184" s="61"/>
      <c r="AV184" s="61"/>
      <c r="AW184" s="61"/>
      <c r="AX184" s="61"/>
      <c r="AY184" s="61"/>
      <c r="AZ184" s="61"/>
      <c r="BB184" s="61"/>
      <c r="BC184" s="24"/>
      <c r="BD184" s="24"/>
    </row>
    <row r="185" spans="17:56" ht="15" customHeight="1" x14ac:dyDescent="0.2">
      <c r="Q185" s="24">
        <v>119</v>
      </c>
      <c r="R185" s="61">
        <v>43.584769740823639</v>
      </c>
      <c r="S185" s="61">
        <v>16.578483363388074</v>
      </c>
      <c r="T185" s="61">
        <v>220.55018615722656</v>
      </c>
      <c r="U185" s="61">
        <v>46.631301332803815</v>
      </c>
      <c r="V185" s="276">
        <v>9.3262602665607625E-2</v>
      </c>
      <c r="W185" s="61">
        <v>0.6824376252960298</v>
      </c>
      <c r="X185" s="61">
        <v>44.066146320887924</v>
      </c>
      <c r="Y185" s="276">
        <v>8.8132292641775842E-2</v>
      </c>
      <c r="AA185" s="276"/>
      <c r="AC185" s="201">
        <f t="shared" si="21"/>
        <v>71.017302104998393</v>
      </c>
      <c r="AD185" s="201">
        <f t="shared" si="22"/>
        <v>64.137389246981655</v>
      </c>
      <c r="AF185" s="134"/>
      <c r="AG185" s="65"/>
      <c r="AH185" s="65"/>
      <c r="AI185" s="65"/>
      <c r="AJ185" s="65"/>
      <c r="AK185" s="65"/>
      <c r="AL185" s="65"/>
      <c r="AM185" s="65"/>
      <c r="AN185" s="65"/>
      <c r="AO185" s="65"/>
      <c r="AP185" s="65"/>
      <c r="AQ185" s="61"/>
      <c r="AR185" s="65"/>
      <c r="AS185" s="65"/>
      <c r="AT185" s="65"/>
      <c r="AU185" s="61"/>
      <c r="AV185" s="61"/>
      <c r="AW185" s="61"/>
      <c r="AX185" s="61"/>
      <c r="AY185" s="61"/>
      <c r="AZ185" s="61"/>
      <c r="BB185" s="61"/>
      <c r="BC185" s="24"/>
      <c r="BD185" s="24"/>
    </row>
    <row r="186" spans="17:56" ht="15" customHeight="1" x14ac:dyDescent="0.2">
      <c r="Q186" s="24">
        <v>120</v>
      </c>
      <c r="R186" s="61">
        <v>44.225837778135457</v>
      </c>
      <c r="S186" s="61">
        <v>16.81910125556357</v>
      </c>
      <c r="T186" s="61">
        <v>220.556884765625</v>
      </c>
      <c r="U186" s="61">
        <v>47.316032105649491</v>
      </c>
      <c r="V186" s="276">
        <v>9.463206421129898E-2</v>
      </c>
      <c r="W186" s="61">
        <v>0.68703569943385656</v>
      </c>
      <c r="X186" s="61">
        <v>44.750722207446636</v>
      </c>
      <c r="Y186" s="276">
        <v>8.9501444414893272E-2</v>
      </c>
      <c r="AA186" s="276"/>
      <c r="AC186" s="201">
        <f t="shared" si="21"/>
        <v>71.698351950143675</v>
      </c>
      <c r="AD186" s="201">
        <f t="shared" si="22"/>
        <v>64.81983537295298</v>
      </c>
      <c r="AF186" s="134"/>
      <c r="AG186" s="65"/>
      <c r="AH186" s="65"/>
      <c r="AI186" s="65"/>
      <c r="AJ186" s="65"/>
      <c r="AK186" s="65"/>
      <c r="AL186" s="65"/>
      <c r="AM186" s="65"/>
      <c r="AN186" s="65"/>
      <c r="AO186" s="65"/>
      <c r="AP186" s="65"/>
      <c r="AQ186" s="61"/>
      <c r="AR186" s="65"/>
      <c r="AS186" s="65"/>
      <c r="AT186" s="65"/>
      <c r="AU186" s="61"/>
      <c r="AV186" s="61"/>
      <c r="AW186" s="61"/>
      <c r="AX186" s="61"/>
      <c r="AY186" s="61"/>
      <c r="AZ186" s="61"/>
      <c r="BB186" s="61"/>
      <c r="BC186" s="24"/>
      <c r="BD186" s="24"/>
    </row>
    <row r="187" spans="17:56" ht="15" customHeight="1" x14ac:dyDescent="0.2">
      <c r="Q187" s="24">
        <v>121</v>
      </c>
      <c r="R187" s="61">
        <v>44.871067895250889</v>
      </c>
      <c r="S187" s="61">
        <v>17.061702797421457</v>
      </c>
      <c r="T187" s="61">
        <v>220.5631103515625</v>
      </c>
      <c r="U187" s="61">
        <v>48.005358413491237</v>
      </c>
      <c r="V187" s="276">
        <v>9.6010716826982478E-2</v>
      </c>
      <c r="W187" s="61">
        <v>0.69162526972409677</v>
      </c>
      <c r="X187" s="61">
        <v>45.439887253789095</v>
      </c>
      <c r="Y187" s="276">
        <v>9.0879774507578184E-2</v>
      </c>
      <c r="AA187" s="276"/>
      <c r="AC187" s="201">
        <f t="shared" si="21"/>
        <v>72.384000723220893</v>
      </c>
      <c r="AD187" s="201">
        <f t="shared" si="22"/>
        <v>65.506876385568887</v>
      </c>
      <c r="AF187" s="134"/>
      <c r="AG187" s="65"/>
      <c r="AH187" s="65"/>
      <c r="AI187" s="65"/>
      <c r="AJ187" s="65"/>
      <c r="AK187" s="65"/>
      <c r="AL187" s="65"/>
      <c r="AM187" s="65"/>
      <c r="AN187" s="65"/>
      <c r="AO187" s="65"/>
      <c r="AP187" s="65"/>
      <c r="AQ187" s="61"/>
      <c r="AR187" s="65"/>
      <c r="AS187" s="65"/>
      <c r="AT187" s="65"/>
      <c r="AU187" s="61"/>
      <c r="AV187" s="61"/>
      <c r="AW187" s="61"/>
      <c r="AX187" s="61"/>
      <c r="AY187" s="61"/>
      <c r="AZ187" s="61"/>
      <c r="BB187" s="61"/>
      <c r="BC187" s="24"/>
      <c r="BD187" s="24"/>
    </row>
    <row r="188" spans="17:56" ht="15" customHeight="1" x14ac:dyDescent="0.2">
      <c r="Q188" s="24">
        <v>122</v>
      </c>
      <c r="R188" s="61">
        <v>45.520449238364442</v>
      </c>
      <c r="S188" s="61">
        <v>17.306292203790068</v>
      </c>
      <c r="T188" s="61">
        <v>220.56886291503906</v>
      </c>
      <c r="U188" s="61">
        <v>48.699271541836012</v>
      </c>
      <c r="V188" s="276">
        <v>9.7398543083672018E-2</v>
      </c>
      <c r="W188" s="61">
        <v>0.69620644451169256</v>
      </c>
      <c r="X188" s="61">
        <v>46.133632882495398</v>
      </c>
      <c r="Y188" s="276">
        <v>9.2267265764990794E-2</v>
      </c>
      <c r="AA188" s="276"/>
      <c r="AC188" s="201">
        <f t="shared" si="21"/>
        <v>73.074239556718723</v>
      </c>
      <c r="AD188" s="201">
        <f t="shared" si="22"/>
        <v>66.198503461050208</v>
      </c>
      <c r="AF188" s="134"/>
      <c r="AG188" s="65"/>
      <c r="AH188" s="65"/>
      <c r="AI188" s="65"/>
      <c r="AJ188" s="65"/>
      <c r="AK188" s="65"/>
      <c r="AL188" s="65"/>
      <c r="AM188" s="65"/>
      <c r="AN188" s="65"/>
      <c r="AO188" s="65"/>
      <c r="AP188" s="65"/>
      <c r="AQ188" s="61"/>
      <c r="AR188" s="65"/>
      <c r="AS188" s="65"/>
      <c r="AT188" s="65"/>
      <c r="AU188" s="61"/>
      <c r="AV188" s="61"/>
      <c r="AW188" s="61"/>
      <c r="AX188" s="61"/>
      <c r="AY188" s="61"/>
      <c r="AZ188" s="61"/>
      <c r="BB188" s="61"/>
      <c r="BC188" s="24"/>
      <c r="BD188" s="24"/>
    </row>
    <row r="189" spans="17:56" ht="15" customHeight="1" x14ac:dyDescent="0.2">
      <c r="Q189" s="24">
        <v>123</v>
      </c>
      <c r="R189" s="61">
        <v>46.173971020116049</v>
      </c>
      <c r="S189" s="61">
        <v>17.552873778618537</v>
      </c>
      <c r="T189" s="61">
        <v>220.57412719726562</v>
      </c>
      <c r="U189" s="61">
        <v>49.397762881072168</v>
      </c>
      <c r="V189" s="276">
        <v>9.8795525762144343E-2</v>
      </c>
      <c r="W189" s="61">
        <v>0.70077932045736124</v>
      </c>
      <c r="X189" s="61">
        <v>46.831950615575394</v>
      </c>
      <c r="Y189" s="276">
        <v>9.3663901231150787E-2</v>
      </c>
      <c r="AA189" s="276"/>
      <c r="AC189" s="201">
        <f t="shared" si="21"/>
        <v>73.76905968035561</v>
      </c>
      <c r="AD189" s="201">
        <f t="shared" si="22"/>
        <v>66.89470787594577</v>
      </c>
      <c r="AF189" s="134"/>
      <c r="AG189" s="65"/>
      <c r="AH189" s="65"/>
      <c r="AI189" s="65"/>
      <c r="AJ189" s="65"/>
      <c r="AK189" s="65"/>
      <c r="AL189" s="65"/>
      <c r="AM189" s="65"/>
      <c r="AN189" s="65"/>
      <c r="AO189" s="65"/>
      <c r="AP189" s="65"/>
      <c r="AQ189" s="61"/>
      <c r="AR189" s="65"/>
      <c r="AS189" s="65"/>
      <c r="AT189" s="65"/>
      <c r="AU189" s="61"/>
      <c r="AV189" s="61"/>
      <c r="AW189" s="61"/>
      <c r="AX189" s="61"/>
      <c r="AY189" s="61"/>
      <c r="AZ189" s="61"/>
      <c r="BB189" s="61"/>
      <c r="BC189" s="24"/>
      <c r="BD189" s="24"/>
    </row>
    <row r="190" spans="17:56" ht="15" customHeight="1" x14ac:dyDescent="0.2">
      <c r="Q190" s="24">
        <v>124</v>
      </c>
      <c r="R190" s="61">
        <v>46.831622509345834</v>
      </c>
      <c r="S190" s="61">
        <v>17.80145190879901</v>
      </c>
      <c r="T190" s="61">
        <v>220.57887268066406</v>
      </c>
      <c r="U190" s="61">
        <v>50.100823914574015</v>
      </c>
      <c r="V190" s="276">
        <v>0.10020164782914803</v>
      </c>
      <c r="W190" s="61">
        <v>0.7053439827371597</v>
      </c>
      <c r="X190" s="61">
        <v>47.534832062883865</v>
      </c>
      <c r="Y190" s="276">
        <v>9.5069664125767728E-2</v>
      </c>
      <c r="AA190" s="276"/>
      <c r="AC190" s="201">
        <f t="shared" si="21"/>
        <v>74.468452409991755</v>
      </c>
      <c r="AD190" s="201">
        <f t="shared" si="22"/>
        <v>67.595480995810689</v>
      </c>
      <c r="AF190" s="134"/>
      <c r="AG190" s="65"/>
      <c r="AH190" s="65"/>
      <c r="AI190" s="65"/>
      <c r="AJ190" s="65"/>
      <c r="AK190" s="65"/>
      <c r="AL190" s="65"/>
      <c r="AM190" s="65"/>
      <c r="AN190" s="65"/>
      <c r="AO190" s="65"/>
      <c r="AP190" s="65"/>
      <c r="AQ190" s="61"/>
      <c r="AR190" s="65"/>
      <c r="AS190" s="65"/>
      <c r="AT190" s="65"/>
      <c r="AU190" s="61"/>
      <c r="AV190" s="61"/>
      <c r="AW190" s="61"/>
      <c r="AX190" s="61"/>
      <c r="AY190" s="61"/>
      <c r="AZ190" s="61"/>
      <c r="BB190" s="61"/>
      <c r="BC190" s="24"/>
      <c r="BD190" s="24"/>
    </row>
    <row r="191" spans="17:56" ht="15" customHeight="1" x14ac:dyDescent="0.2">
      <c r="Q191" s="24">
        <v>125</v>
      </c>
      <c r="R191" s="61">
        <v>47.493393021034848</v>
      </c>
      <c r="S191" s="61">
        <v>18.052031058074572</v>
      </c>
      <c r="T191" s="61">
        <v>220.58306884765625</v>
      </c>
      <c r="U191" s="61">
        <v>50.80844620702517</v>
      </c>
      <c r="V191" s="276">
        <v>0.10161689241405034</v>
      </c>
      <c r="W191" s="61">
        <v>0.70990050524220072</v>
      </c>
      <c r="X191" s="61">
        <v>48.242268910735667</v>
      </c>
      <c r="Y191" s="276">
        <v>9.6484537821471331E-2</v>
      </c>
      <c r="AA191" s="276"/>
      <c r="AC191" s="201">
        <f t="shared" si="21"/>
        <v>75.172409136710371</v>
      </c>
      <c r="AD191" s="201">
        <f t="shared" si="22"/>
        <v>68.300814264064201</v>
      </c>
      <c r="AF191" s="134"/>
      <c r="AG191" s="65"/>
      <c r="AH191" s="65"/>
      <c r="AI191" s="65"/>
      <c r="AJ191" s="65"/>
      <c r="AK191" s="65"/>
      <c r="AL191" s="65"/>
      <c r="AM191" s="65"/>
      <c r="AN191" s="65"/>
      <c r="AO191" s="65"/>
      <c r="AP191" s="65"/>
      <c r="AQ191" s="61"/>
      <c r="AR191" s="65"/>
      <c r="AS191" s="65"/>
      <c r="AT191" s="65"/>
      <c r="AU191" s="61"/>
      <c r="AV191" s="61"/>
      <c r="AW191" s="61"/>
      <c r="AX191" s="61"/>
      <c r="AY191" s="61"/>
      <c r="AZ191" s="61"/>
      <c r="BB191" s="61"/>
      <c r="BC191" s="24"/>
      <c r="BD191" s="24"/>
    </row>
    <row r="192" spans="17:56" ht="15" customHeight="1" x14ac:dyDescent="0.2">
      <c r="Q192" s="24">
        <v>126</v>
      </c>
      <c r="R192" s="61">
        <v>48.159271906433283</v>
      </c>
      <c r="S192" s="61">
        <v>18.304615761030835</v>
      </c>
      <c r="T192" s="61">
        <v>220.58671569824219</v>
      </c>
      <c r="U192" s="61">
        <v>51.520621392960237</v>
      </c>
      <c r="V192" s="276">
        <v>0.10304124278592047</v>
      </c>
      <c r="W192" s="61">
        <v>0.71444895077893655</v>
      </c>
      <c r="X192" s="61">
        <v>48.954252910721614</v>
      </c>
      <c r="Y192" s="276">
        <v>9.7908505821443226E-2</v>
      </c>
      <c r="AA192" s="276"/>
      <c r="AC192" s="201">
        <f t="shared" si="21"/>
        <v>75.880921316070555</v>
      </c>
      <c r="AD192" s="201">
        <f t="shared" si="22"/>
        <v>69.010699191029374</v>
      </c>
      <c r="AF192" s="134"/>
      <c r="AG192" s="65"/>
      <c r="AH192" s="65"/>
      <c r="AI192" s="65"/>
      <c r="AJ192" s="65"/>
      <c r="AK192" s="65"/>
      <c r="AL192" s="65"/>
      <c r="AM192" s="65"/>
      <c r="AN192" s="65"/>
      <c r="AO192" s="65"/>
      <c r="AP192" s="65"/>
      <c r="AQ192" s="61"/>
      <c r="AR192" s="65"/>
      <c r="AS192" s="65"/>
      <c r="AT192" s="65"/>
      <c r="AU192" s="61"/>
      <c r="AV192" s="61"/>
      <c r="AW192" s="61"/>
      <c r="AX192" s="61"/>
      <c r="AY192" s="61"/>
      <c r="AZ192" s="61"/>
      <c r="BB192" s="61"/>
      <c r="BC192" s="24"/>
      <c r="BD192" s="24"/>
    </row>
    <row r="193" spans="17:56" ht="15" customHeight="1" x14ac:dyDescent="0.2">
      <c r="Q193" s="24">
        <v>127</v>
      </c>
      <c r="R193" s="61">
        <v>48.829248543377588</v>
      </c>
      <c r="S193" s="61">
        <v>18.559210617169096</v>
      </c>
      <c r="T193" s="61">
        <v>220.58979797363281</v>
      </c>
      <c r="U193" s="61">
        <v>52.237341165524349</v>
      </c>
      <c r="V193" s="276">
        <v>0.1044746823310487</v>
      </c>
      <c r="W193" s="61">
        <v>0.71898937127040041</v>
      </c>
      <c r="X193" s="61">
        <v>49.670775868725848</v>
      </c>
      <c r="Y193" s="276">
        <v>9.9341551737451697E-2</v>
      </c>
      <c r="AA193" s="276"/>
      <c r="AC193" s="201">
        <f t="shared" si="21"/>
        <v>76.593980457534258</v>
      </c>
      <c r="AD193" s="201">
        <f t="shared" si="22"/>
        <v>69.725127343156188</v>
      </c>
      <c r="AF193" s="134"/>
      <c r="AG193" s="65"/>
      <c r="AH193" s="65"/>
      <c r="AI193" s="65"/>
      <c r="AJ193" s="65"/>
      <c r="AK193" s="65"/>
      <c r="AL193" s="65"/>
      <c r="AM193" s="65"/>
      <c r="AN193" s="65"/>
      <c r="AO193" s="65"/>
      <c r="AP193" s="65"/>
      <c r="AQ193" s="61"/>
      <c r="AR193" s="65"/>
      <c r="AS193" s="65"/>
      <c r="AT193" s="65"/>
      <c r="AU193" s="61"/>
      <c r="AV193" s="61"/>
      <c r="AW193" s="61"/>
      <c r="AX193" s="61"/>
      <c r="AY193" s="61"/>
      <c r="AZ193" s="61"/>
      <c r="BB193" s="61"/>
      <c r="BC193" s="24"/>
      <c r="BD193" s="24"/>
    </row>
    <row r="194" spans="17:56" ht="15" customHeight="1" x14ac:dyDescent="0.2">
      <c r="Q194" s="24">
        <v>128</v>
      </c>
      <c r="R194" s="61">
        <v>49.503312326798458</v>
      </c>
      <c r="S194" s="61">
        <v>18.815820285059264</v>
      </c>
      <c r="T194" s="61">
        <v>220.59225463867187</v>
      </c>
      <c r="U194" s="61">
        <v>52.958597265450713</v>
      </c>
      <c r="V194" s="276">
        <v>0.10591719453090143</v>
      </c>
      <c r="W194" s="61">
        <v>0.72352180795877641</v>
      </c>
      <c r="X194" s="61">
        <v>50.391829634145786</v>
      </c>
      <c r="Y194" s="276">
        <v>0.10078365926829157</v>
      </c>
      <c r="AA194" s="276"/>
      <c r="AC194" s="201">
        <f t="shared" ref="AC194:AC257" si="23">IF(Q194="","",SQRT(($R194-$AT$68)^2+($S194-$AU$68)^2))</f>
        <v>77.311578114070002</v>
      </c>
      <c r="AD194" s="201">
        <f t="shared" ref="AD194:AD257" si="24">IF(Q194="","",SQRT(($R194-$AR$68)^2+($S194-$AS$68)^2))</f>
        <v>70.444090332431003</v>
      </c>
      <c r="AF194" s="134"/>
      <c r="AG194" s="65"/>
      <c r="AH194" s="65"/>
      <c r="AI194" s="65"/>
      <c r="AJ194" s="65"/>
      <c r="AK194" s="65"/>
      <c r="AL194" s="65"/>
      <c r="AM194" s="65"/>
      <c r="AN194" s="65"/>
      <c r="AO194" s="65"/>
      <c r="AP194" s="65"/>
      <c r="AQ194" s="61"/>
      <c r="AR194" s="65"/>
      <c r="AS194" s="65"/>
      <c r="AT194" s="65"/>
      <c r="AU194" s="61"/>
      <c r="AV194" s="61"/>
      <c r="AW194" s="61"/>
      <c r="AX194" s="61"/>
      <c r="AY194" s="61"/>
      <c r="AZ194" s="61"/>
      <c r="BB194" s="61"/>
      <c r="BC194" s="24"/>
      <c r="BD194" s="24"/>
    </row>
    <row r="195" spans="17:56" ht="15" customHeight="1" x14ac:dyDescent="0.2">
      <c r="Q195" s="24">
        <v>129</v>
      </c>
      <c r="R195" s="61">
        <v>50.181452659422106</v>
      </c>
      <c r="S195" s="61">
        <v>19.074449476570827</v>
      </c>
      <c r="T195" s="61">
        <v>220.5941162109375</v>
      </c>
      <c r="U195" s="61">
        <v>53.684381470257016</v>
      </c>
      <c r="V195" s="276">
        <v>0.10736876294051403</v>
      </c>
      <c r="W195" s="61">
        <v>0.72804629160964385</v>
      </c>
      <c r="X195" s="61">
        <v>51.117406089316617</v>
      </c>
      <c r="Y195" s="276">
        <v>0.10223481217863323</v>
      </c>
      <c r="AA195" s="276"/>
      <c r="AC195" s="201">
        <f t="shared" si="23"/>
        <v>78.033705871936391</v>
      </c>
      <c r="AD195" s="201">
        <f t="shared" si="24"/>
        <v>71.167579805974611</v>
      </c>
      <c r="AF195" s="134"/>
      <c r="AG195" s="65"/>
      <c r="AH195" s="65"/>
      <c r="AI195" s="65"/>
      <c r="AJ195" s="65"/>
      <c r="AK195" s="65"/>
      <c r="AL195" s="65"/>
      <c r="AM195" s="65"/>
      <c r="AN195" s="65"/>
      <c r="AO195" s="65"/>
      <c r="AP195" s="65"/>
      <c r="AQ195" s="61"/>
      <c r="AR195" s="65"/>
      <c r="AS195" s="65"/>
      <c r="AT195" s="65"/>
      <c r="AU195" s="61"/>
      <c r="AV195" s="61"/>
      <c r="AW195" s="61"/>
      <c r="AX195" s="61"/>
      <c r="AY195" s="61"/>
      <c r="AZ195" s="61"/>
      <c r="BB195" s="61"/>
      <c r="BC195" s="24"/>
      <c r="BD195" s="24"/>
    </row>
    <row r="196" spans="17:56" ht="15" customHeight="1" x14ac:dyDescent="0.2">
      <c r="Q196" s="24">
        <v>130</v>
      </c>
      <c r="R196" s="61">
        <v>50.863658942667271</v>
      </c>
      <c r="S196" s="61">
        <v>19.335102951180293</v>
      </c>
      <c r="T196" s="61">
        <v>220.59532165527344</v>
      </c>
      <c r="U196" s="61">
        <v>54.414685583661303</v>
      </c>
      <c r="V196" s="276">
        <v>0.10882937116732261</v>
      </c>
      <c r="W196" s="61">
        <v>0.73256284271822325</v>
      </c>
      <c r="X196" s="61">
        <v>51.8474971391419</v>
      </c>
      <c r="Y196" s="276">
        <v>0.1036949942782838</v>
      </c>
      <c r="AA196" s="276"/>
      <c r="AC196" s="201">
        <f t="shared" si="23"/>
        <v>78.7603553406488</v>
      </c>
      <c r="AD196" s="201">
        <f t="shared" si="24"/>
        <v>71.895587435832084</v>
      </c>
      <c r="AF196" s="134"/>
      <c r="AG196" s="65"/>
      <c r="AH196" s="65"/>
      <c r="AI196" s="65"/>
      <c r="AJ196" s="65"/>
      <c r="AK196" s="65"/>
      <c r="AL196" s="65"/>
      <c r="AM196" s="65"/>
      <c r="AN196" s="65"/>
      <c r="AO196" s="65"/>
      <c r="AP196" s="65"/>
      <c r="AQ196" s="61"/>
      <c r="AR196" s="65"/>
      <c r="AS196" s="65"/>
      <c r="AT196" s="65"/>
      <c r="AU196" s="61"/>
      <c r="AV196" s="61"/>
      <c r="AW196" s="61"/>
      <c r="AX196" s="61"/>
      <c r="AY196" s="61"/>
      <c r="AZ196" s="61"/>
      <c r="BB196" s="61"/>
      <c r="BC196" s="24"/>
      <c r="BD196" s="24"/>
    </row>
    <row r="197" spans="17:56" ht="15" customHeight="1" x14ac:dyDescent="0.2">
      <c r="Q197" s="24">
        <v>131</v>
      </c>
      <c r="R197" s="61">
        <v>51.549920567741012</v>
      </c>
      <c r="S197" s="61">
        <v>19.597785510353695</v>
      </c>
      <c r="T197" s="61">
        <v>220.59587097167969</v>
      </c>
      <c r="U197" s="61">
        <v>55.149501425219043</v>
      </c>
      <c r="V197" s="276">
        <v>0.11029900285043809</v>
      </c>
      <c r="W197" s="61">
        <v>0.7370714717179232</v>
      </c>
      <c r="X197" s="61">
        <v>52.582094700932736</v>
      </c>
      <c r="Y197" s="276">
        <v>0.10516418940186548</v>
      </c>
      <c r="AA197" s="276"/>
      <c r="AC197" s="201">
        <f t="shared" si="23"/>
        <v>79.491518143132851</v>
      </c>
      <c r="AD197" s="201">
        <f t="shared" si="24"/>
        <v>72.628104908957752</v>
      </c>
      <c r="AF197" s="134"/>
      <c r="AG197" s="65"/>
      <c r="AH197" s="65"/>
      <c r="AI197" s="65"/>
      <c r="AJ197" s="65"/>
      <c r="AK197" s="65"/>
      <c r="AL197" s="65"/>
      <c r="AM197" s="65"/>
      <c r="AN197" s="65"/>
      <c r="AO197" s="65"/>
      <c r="AP197" s="65"/>
      <c r="AQ197" s="61"/>
      <c r="AR197" s="65"/>
      <c r="AS197" s="65"/>
      <c r="AT197" s="65"/>
      <c r="AU197" s="61"/>
      <c r="AV197" s="61"/>
      <c r="AW197" s="61"/>
      <c r="AX197" s="61"/>
      <c r="AY197" s="61"/>
      <c r="AZ197" s="61"/>
      <c r="BB197" s="61"/>
      <c r="BC197" s="24"/>
      <c r="BD197" s="24"/>
    </row>
    <row r="198" spans="17:56" ht="15" customHeight="1" x14ac:dyDescent="0.2">
      <c r="Q198" s="24">
        <v>132</v>
      </c>
      <c r="R198" s="61">
        <v>52.240226906936329</v>
      </c>
      <c r="S198" s="61">
        <v>19.862501992002919</v>
      </c>
      <c r="T198" s="61">
        <v>220.59573364257812</v>
      </c>
      <c r="U198" s="61">
        <v>55.888820820182943</v>
      </c>
      <c r="V198" s="276">
        <v>0.11177764164036588</v>
      </c>
      <c r="W198" s="61">
        <v>0.741572179191472</v>
      </c>
      <c r="X198" s="61">
        <v>53.321190694458032</v>
      </c>
      <c r="Y198" s="276">
        <v>0.10664238138891606</v>
      </c>
      <c r="AA198" s="276"/>
      <c r="AC198" s="201">
        <f t="shared" si="23"/>
        <v>80.227185906068243</v>
      </c>
      <c r="AD198" s="201">
        <f t="shared" si="24"/>
        <v>73.365123917398549</v>
      </c>
      <c r="AF198" s="134"/>
      <c r="AG198" s="65"/>
      <c r="AH198" s="65"/>
      <c r="AI198" s="65"/>
      <c r="AJ198" s="65"/>
      <c r="AK198" s="65"/>
      <c r="AL198" s="65"/>
      <c r="AM198" s="65"/>
      <c r="AN198" s="65"/>
      <c r="AO198" s="65"/>
      <c r="AP198" s="65"/>
      <c r="AQ198" s="61"/>
      <c r="AR198" s="65"/>
      <c r="AS198" s="65"/>
      <c r="AT198" s="65"/>
      <c r="AU198" s="61"/>
      <c r="AV198" s="61"/>
      <c r="AW198" s="61"/>
      <c r="AX198" s="61"/>
      <c r="AY198" s="61"/>
      <c r="AZ198" s="61"/>
      <c r="BB198" s="61"/>
      <c r="BC198" s="24"/>
      <c r="BD198" s="24"/>
    </row>
    <row r="199" spans="17:56" ht="15" customHeight="1" x14ac:dyDescent="0.2">
      <c r="Q199" s="24">
        <v>133</v>
      </c>
      <c r="R199" s="61">
        <v>52.93456730513514</v>
      </c>
      <c r="S199" s="61">
        <v>20.129257265014601</v>
      </c>
      <c r="T199" s="61">
        <v>220.59489440917969</v>
      </c>
      <c r="U199" s="61">
        <v>56.632635589587608</v>
      </c>
      <c r="V199" s="276">
        <v>0.11326527117917522</v>
      </c>
      <c r="W199" s="61">
        <v>0.74606495608486101</v>
      </c>
      <c r="X199" s="61">
        <v>54.064777032208561</v>
      </c>
      <c r="Y199" s="276">
        <v>0.10812955406441713</v>
      </c>
      <c r="AA199" s="276"/>
      <c r="AC199" s="201">
        <f t="shared" si="23"/>
        <v>80.967350250427288</v>
      </c>
      <c r="AD199" s="201">
        <f t="shared" si="24"/>
        <v>74.10663614867957</v>
      </c>
      <c r="AF199" s="134"/>
      <c r="AG199" s="65"/>
      <c r="AH199" s="65"/>
      <c r="AI199" s="65"/>
      <c r="AJ199" s="65"/>
      <c r="AK199" s="65"/>
      <c r="AL199" s="65"/>
      <c r="AM199" s="65"/>
      <c r="AN199" s="65"/>
      <c r="AO199" s="65"/>
      <c r="AP199" s="65"/>
      <c r="AQ199" s="61"/>
      <c r="AR199" s="65"/>
      <c r="AS199" s="65"/>
      <c r="AT199" s="65"/>
      <c r="AU199" s="61"/>
      <c r="AV199" s="61"/>
      <c r="AW199" s="61"/>
      <c r="AX199" s="61"/>
      <c r="AY199" s="61"/>
      <c r="AZ199" s="61"/>
      <c r="BB199" s="61"/>
      <c r="BC199" s="24"/>
      <c r="BD199" s="24"/>
    </row>
    <row r="200" spans="17:56" ht="15" customHeight="1" x14ac:dyDescent="0.2">
      <c r="Q200" s="24">
        <v>134</v>
      </c>
      <c r="R200" s="61">
        <v>53.632931071520062</v>
      </c>
      <c r="S200" s="61">
        <v>20.39805622385088</v>
      </c>
      <c r="T200" s="61">
        <v>220.59333801269531</v>
      </c>
      <c r="U200" s="61">
        <v>57.380937540561355</v>
      </c>
      <c r="V200" s="276">
        <v>0.11476187508112271</v>
      </c>
      <c r="W200" s="61">
        <v>0.75054978392414584</v>
      </c>
      <c r="X200" s="61">
        <v>54.812845609877982</v>
      </c>
      <c r="Y200" s="276">
        <v>0.10962569121975596</v>
      </c>
      <c r="AA200" s="276"/>
      <c r="AC200" s="201">
        <f t="shared" si="23"/>
        <v>81.712002782211897</v>
      </c>
      <c r="AD200" s="201">
        <f t="shared" si="24"/>
        <v>74.852633276395693</v>
      </c>
      <c r="AF200" s="134"/>
      <c r="AG200" s="65"/>
      <c r="AH200" s="65"/>
      <c r="AI200" s="65"/>
      <c r="AJ200" s="65"/>
      <c r="AK200" s="65"/>
      <c r="AL200" s="65"/>
      <c r="AM200" s="65"/>
      <c r="AN200" s="65"/>
      <c r="AO200" s="65"/>
      <c r="AP200" s="65"/>
      <c r="AQ200" s="61"/>
      <c r="AR200" s="65"/>
      <c r="AS200" s="65"/>
      <c r="AT200" s="65"/>
      <c r="AU200" s="61"/>
      <c r="AV200" s="61"/>
      <c r="AW200" s="61"/>
      <c r="AX200" s="61"/>
      <c r="AY200" s="61"/>
      <c r="AZ200" s="61"/>
      <c r="BB200" s="61"/>
      <c r="BC200" s="24"/>
      <c r="BD200" s="24"/>
    </row>
    <row r="201" spans="17:56" ht="15" customHeight="1" x14ac:dyDescent="0.2">
      <c r="Q201" s="24">
        <v>135</v>
      </c>
      <c r="R201" s="61">
        <v>54.335307471498268</v>
      </c>
      <c r="S201" s="61">
        <v>20.668903783221367</v>
      </c>
      <c r="T201" s="61">
        <v>220.59103393554687</v>
      </c>
      <c r="U201" s="61">
        <v>58.133718456867335</v>
      </c>
      <c r="V201" s="276">
        <v>0.11626743691373467</v>
      </c>
      <c r="W201" s="61">
        <v>0.75502663503527279</v>
      </c>
      <c r="X201" s="61">
        <v>55.565388297063485</v>
      </c>
      <c r="Y201" s="276">
        <v>0.11113077659412697</v>
      </c>
      <c r="AA201" s="276"/>
      <c r="AC201" s="201">
        <f t="shared" si="23"/>
        <v>82.461135083393344</v>
      </c>
      <c r="AD201" s="201">
        <f t="shared" si="24"/>
        <v>75.603106951012606</v>
      </c>
      <c r="AF201" s="134"/>
      <c r="AG201" s="65"/>
      <c r="AH201" s="65"/>
      <c r="AI201" s="65"/>
      <c r="AJ201" s="65"/>
      <c r="AK201" s="65"/>
      <c r="AL201" s="65"/>
      <c r="AM201" s="65"/>
      <c r="AN201" s="65"/>
      <c r="AO201" s="65"/>
      <c r="AP201" s="65"/>
      <c r="AQ201" s="61"/>
      <c r="AR201" s="65"/>
      <c r="AS201" s="65"/>
      <c r="AT201" s="65"/>
      <c r="AU201" s="61"/>
      <c r="AV201" s="61"/>
      <c r="AW201" s="61"/>
      <c r="AX201" s="61"/>
      <c r="AY201" s="61"/>
      <c r="AZ201" s="61"/>
      <c r="BB201" s="61"/>
      <c r="BC201" s="24"/>
      <c r="BD201" s="24"/>
    </row>
    <row r="202" spans="17:56" ht="15" customHeight="1" x14ac:dyDescent="0.2">
      <c r="Q202" s="24">
        <v>136</v>
      </c>
      <c r="R202" s="61">
        <v>55.041685718841386</v>
      </c>
      <c r="S202" s="61">
        <v>20.941804872825912</v>
      </c>
      <c r="T202" s="61">
        <v>220.58796691894531</v>
      </c>
      <c r="U202" s="61">
        <v>58.890970089676934</v>
      </c>
      <c r="V202" s="276">
        <v>0.11778194017935387</v>
      </c>
      <c r="W202" s="61">
        <v>0.75949547276731255</v>
      </c>
      <c r="X202" s="61">
        <v>56.322396928189704</v>
      </c>
      <c r="Y202" s="276">
        <v>0.1126447938563794</v>
      </c>
      <c r="AA202" s="276"/>
      <c r="AC202" s="201">
        <f t="shared" si="23"/>
        <v>83.214738703058813</v>
      </c>
      <c r="AD202" s="201">
        <f t="shared" si="24"/>
        <v>76.358048790881838</v>
      </c>
      <c r="AF202" s="134"/>
      <c r="AG202" s="65"/>
      <c r="AH202" s="65"/>
      <c r="AI202" s="65"/>
      <c r="AJ202" s="65"/>
      <c r="AK202" s="65"/>
      <c r="AL202" s="65"/>
      <c r="AM202" s="65"/>
      <c r="AN202" s="65"/>
      <c r="AO202" s="65"/>
      <c r="AP202" s="65"/>
      <c r="AQ202" s="61"/>
      <c r="AR202" s="65"/>
      <c r="AS202" s="65"/>
      <c r="AT202" s="65"/>
      <c r="AU202" s="61"/>
      <c r="AV202" s="61"/>
      <c r="AW202" s="61"/>
      <c r="AX202" s="61"/>
      <c r="AY202" s="61"/>
      <c r="AZ202" s="61"/>
      <c r="BB202" s="61"/>
      <c r="BC202" s="24"/>
      <c r="BD202" s="24"/>
    </row>
    <row r="203" spans="17:56" ht="15" customHeight="1" x14ac:dyDescent="0.2">
      <c r="Q203" s="24">
        <v>137</v>
      </c>
      <c r="R203" s="61">
        <v>55.752054968045407</v>
      </c>
      <c r="S203" s="61">
        <v>21.21676443216743</v>
      </c>
      <c r="T203" s="61">
        <v>220.5841064453125</v>
      </c>
      <c r="U203" s="61">
        <v>59.652684148578267</v>
      </c>
      <c r="V203" s="276">
        <v>0.11930536829715653</v>
      </c>
      <c r="W203" s="61">
        <v>0.76395625171929427</v>
      </c>
      <c r="X203" s="61">
        <v>57.083863293659356</v>
      </c>
      <c r="Y203" s="276">
        <v>0.1141677265873187</v>
      </c>
      <c r="AA203" s="276"/>
      <c r="AC203" s="201">
        <f t="shared" si="23"/>
        <v>83.972805148769751</v>
      </c>
      <c r="AD203" s="201">
        <f t="shared" si="24"/>
        <v>77.117450373473773</v>
      </c>
      <c r="AF203" s="134"/>
      <c r="AG203" s="65"/>
      <c r="AH203" s="65"/>
      <c r="AI203" s="65"/>
      <c r="AJ203" s="65"/>
      <c r="AK203" s="65"/>
      <c r="AL203" s="65"/>
      <c r="AM203" s="65"/>
      <c r="AN203" s="65"/>
      <c r="AO203" s="65"/>
      <c r="AP203" s="65"/>
      <c r="AQ203" s="61"/>
      <c r="AR203" s="65"/>
      <c r="AS203" s="65"/>
      <c r="AT203" s="65"/>
      <c r="AU203" s="61"/>
      <c r="AV203" s="61"/>
      <c r="AW203" s="61"/>
      <c r="AX203" s="61"/>
      <c r="AY203" s="61"/>
      <c r="AZ203" s="61"/>
      <c r="BB203" s="61"/>
      <c r="BC203" s="24"/>
      <c r="BD203" s="24"/>
    </row>
    <row r="204" spans="17:56" ht="15" customHeight="1" x14ac:dyDescent="0.2">
      <c r="Q204" s="24">
        <v>138</v>
      </c>
      <c r="R204" s="61">
        <v>56.466404306914896</v>
      </c>
      <c r="S204" s="61">
        <v>21.493787405434436</v>
      </c>
      <c r="T204" s="61">
        <v>220.57945251464844</v>
      </c>
      <c r="U204" s="61">
        <v>60.418852292823217</v>
      </c>
      <c r="V204" s="276">
        <v>0.12083770458564644</v>
      </c>
      <c r="W204" s="61">
        <v>0.76840891797077726</v>
      </c>
      <c r="X204" s="61">
        <v>57.8497791312343</v>
      </c>
      <c r="Y204" s="276">
        <v>0.1156995582624686</v>
      </c>
      <c r="AA204" s="276"/>
      <c r="AC204" s="201">
        <f t="shared" si="23"/>
        <v>84.735325878136294</v>
      </c>
      <c r="AD204" s="201">
        <f t="shared" si="24"/>
        <v>77.881303226832856</v>
      </c>
      <c r="AF204" s="134"/>
      <c r="AG204" s="65"/>
      <c r="AH204" s="65"/>
      <c r="AI204" s="65"/>
      <c r="AJ204" s="65"/>
      <c r="AK204" s="65"/>
      <c r="AL204" s="65"/>
      <c r="AM204" s="65"/>
      <c r="AN204" s="65"/>
      <c r="AO204" s="65"/>
      <c r="AP204" s="65"/>
      <c r="AQ204" s="61"/>
      <c r="AR204" s="65"/>
      <c r="AS204" s="65"/>
      <c r="AT204" s="65"/>
      <c r="AU204" s="61"/>
      <c r="AV204" s="61"/>
      <c r="AW204" s="61"/>
      <c r="AX204" s="61"/>
      <c r="AY204" s="61"/>
      <c r="AZ204" s="61"/>
      <c r="BB204" s="61"/>
      <c r="BC204" s="24"/>
      <c r="BD204" s="24"/>
    </row>
    <row r="205" spans="17:56" ht="15" customHeight="1" x14ac:dyDescent="0.2">
      <c r="Q205" s="24">
        <v>139</v>
      </c>
      <c r="R205" s="61">
        <v>57.184722749375872</v>
      </c>
      <c r="S205" s="61">
        <v>21.772878736452743</v>
      </c>
      <c r="T205" s="61">
        <v>220.57395935058594</v>
      </c>
      <c r="U205" s="61">
        <v>61.189466122816128</v>
      </c>
      <c r="V205" s="276">
        <v>0.12237893224563226</v>
      </c>
      <c r="W205" s="61">
        <v>0.77285340931627067</v>
      </c>
      <c r="X205" s="61">
        <v>58.620136117651143</v>
      </c>
      <c r="Y205" s="276">
        <v>0.11724027223530228</v>
      </c>
      <c r="AA205" s="276"/>
      <c r="AC205" s="201">
        <f t="shared" si="23"/>
        <v>85.502292290612814</v>
      </c>
      <c r="AD205" s="201">
        <f t="shared" si="24"/>
        <v>78.64959882126017</v>
      </c>
      <c r="AF205" s="134"/>
      <c r="AG205" s="65"/>
      <c r="AH205" s="65"/>
      <c r="AI205" s="65"/>
      <c r="AJ205" s="65"/>
      <c r="AK205" s="65"/>
      <c r="AL205" s="65"/>
      <c r="AM205" s="65"/>
      <c r="AN205" s="65"/>
      <c r="AO205" s="65"/>
      <c r="AP205" s="65"/>
      <c r="AQ205" s="61"/>
      <c r="AR205" s="65"/>
      <c r="AS205" s="65"/>
      <c r="AT205" s="65"/>
      <c r="AU205" s="61"/>
      <c r="AV205" s="61"/>
      <c r="AW205" s="61"/>
      <c r="AX205" s="61"/>
      <c r="AY205" s="61"/>
      <c r="AZ205" s="61"/>
      <c r="BB205" s="61"/>
      <c r="BC205" s="24"/>
      <c r="BD205" s="24"/>
    </row>
    <row r="206" spans="17:56" ht="15" customHeight="1" x14ac:dyDescent="0.2">
      <c r="Q206" s="24">
        <v>140</v>
      </c>
      <c r="R206" s="61">
        <v>57.906999228521713</v>
      </c>
      <c r="S206" s="61">
        <v>22.054043363706167</v>
      </c>
      <c r="T206" s="61">
        <v>220.567626953125</v>
      </c>
      <c r="U206" s="61">
        <v>61.964517171848009</v>
      </c>
      <c r="V206" s="276">
        <v>0.12392903434369602</v>
      </c>
      <c r="W206" s="61">
        <v>0.77728965550358853</v>
      </c>
      <c r="X206" s="61">
        <v>59.394925860475105</v>
      </c>
      <c r="Y206" s="276">
        <v>0.1187898517209502</v>
      </c>
      <c r="AA206" s="276"/>
      <c r="AC206" s="201">
        <f t="shared" si="23"/>
        <v>86.273695719519367</v>
      </c>
      <c r="AD206" s="201">
        <f t="shared" si="24"/>
        <v>79.422328561227289</v>
      </c>
      <c r="AF206" s="134"/>
      <c r="AG206" s="65"/>
      <c r="AH206" s="65"/>
      <c r="AI206" s="65"/>
      <c r="AJ206" s="65"/>
      <c r="AK206" s="65"/>
      <c r="AL206" s="65"/>
      <c r="AM206" s="65"/>
      <c r="AN206" s="65"/>
      <c r="AO206" s="65"/>
      <c r="AP206" s="65"/>
      <c r="AQ206" s="61"/>
      <c r="AR206" s="65"/>
      <c r="AS206" s="65"/>
      <c r="AT206" s="65"/>
      <c r="AU206" s="61"/>
      <c r="AV206" s="61"/>
      <c r="AW206" s="61"/>
      <c r="AX206" s="61"/>
      <c r="AY206" s="61"/>
      <c r="AZ206" s="61"/>
      <c r="BB206" s="61"/>
      <c r="BC206" s="24"/>
      <c r="BD206" s="24"/>
    </row>
    <row r="207" spans="17:56" ht="15" customHeight="1" x14ac:dyDescent="0.2">
      <c r="Q207" s="24">
        <v>141</v>
      </c>
      <c r="R207" s="61">
        <v>58.633222589896619</v>
      </c>
      <c r="S207" s="61">
        <v>22.337286215425944</v>
      </c>
      <c r="T207" s="61">
        <v>220.5604248046875</v>
      </c>
      <c r="U207" s="61">
        <v>62.743996898079594</v>
      </c>
      <c r="V207" s="276">
        <v>0.12548799379615919</v>
      </c>
      <c r="W207" s="61">
        <v>0.78171757847620593</v>
      </c>
      <c r="X207" s="61">
        <v>60.174139890196443</v>
      </c>
      <c r="Y207" s="276">
        <v>0.12034827978039289</v>
      </c>
      <c r="AA207" s="276"/>
      <c r="AC207" s="201">
        <f t="shared" si="23"/>
        <v>87.049527424293828</v>
      </c>
      <c r="AD207" s="201">
        <f t="shared" si="24"/>
        <v>80.199483777526211</v>
      </c>
      <c r="AF207" s="134"/>
      <c r="AG207" s="65"/>
      <c r="AH207" s="65"/>
      <c r="AI207" s="65"/>
      <c r="AJ207" s="65"/>
      <c r="AK207" s="65"/>
      <c r="AL207" s="65"/>
      <c r="AM207" s="65"/>
      <c r="AN207" s="65"/>
      <c r="AO207" s="65"/>
      <c r="AP207" s="65"/>
      <c r="AQ207" s="61"/>
      <c r="AR207" s="65"/>
      <c r="AS207" s="65"/>
      <c r="AT207" s="65"/>
      <c r="AU207" s="61"/>
      <c r="AV207" s="61"/>
      <c r="AW207" s="61"/>
      <c r="AX207" s="61"/>
      <c r="AY207" s="61"/>
      <c r="AZ207" s="61"/>
      <c r="BB207" s="61"/>
      <c r="BC207" s="24"/>
      <c r="BD207" s="24"/>
    </row>
    <row r="208" spans="17:56" ht="15" customHeight="1" x14ac:dyDescent="0.2">
      <c r="Q208" s="24">
        <v>142</v>
      </c>
      <c r="R208" s="61">
        <v>59.363381585021166</v>
      </c>
      <c r="S208" s="61">
        <v>22.622612204748869</v>
      </c>
      <c r="T208" s="61">
        <v>220.55232238769531</v>
      </c>
      <c r="U208" s="61">
        <v>63.527896676777225</v>
      </c>
      <c r="V208" s="276">
        <v>0.12705579335355444</v>
      </c>
      <c r="W208" s="61">
        <v>0.78613709261965259</v>
      </c>
      <c r="X208" s="61">
        <v>60.957769652573432</v>
      </c>
      <c r="Y208" s="276">
        <v>0.12191553930514687</v>
      </c>
      <c r="AA208" s="276"/>
      <c r="AC208" s="201">
        <f t="shared" si="23"/>
        <v>87.829778582979714</v>
      </c>
      <c r="AD208" s="201">
        <f t="shared" si="24"/>
        <v>80.98105571966029</v>
      </c>
      <c r="AF208" s="134"/>
      <c r="AG208" s="65"/>
      <c r="AH208" s="65"/>
      <c r="AI208" s="65"/>
      <c r="AJ208" s="65"/>
      <c r="AK208" s="65"/>
      <c r="AL208" s="65"/>
      <c r="AM208" s="65"/>
      <c r="AN208" s="65"/>
      <c r="AO208" s="65"/>
      <c r="AP208" s="65"/>
      <c r="AQ208" s="61"/>
      <c r="AR208" s="65"/>
      <c r="AS208" s="65"/>
      <c r="AT208" s="65"/>
      <c r="AU208" s="61"/>
      <c r="AV208" s="61"/>
      <c r="AW208" s="61"/>
      <c r="AX208" s="61"/>
      <c r="AY208" s="61"/>
      <c r="AZ208" s="61"/>
      <c r="BB208" s="61"/>
      <c r="BC208" s="24"/>
      <c r="BD208" s="24"/>
    </row>
    <row r="209" spans="17:56" ht="15" customHeight="1" x14ac:dyDescent="0.2">
      <c r="Q209" s="24">
        <v>143</v>
      </c>
      <c r="R209" s="61">
        <v>60.097464865164326</v>
      </c>
      <c r="S209" s="61">
        <v>22.91002622494403</v>
      </c>
      <c r="T209" s="61">
        <v>220.54331970214844</v>
      </c>
      <c r="U209" s="61">
        <v>64.316207792805102</v>
      </c>
      <c r="V209" s="276">
        <v>0.1286324155856102</v>
      </c>
      <c r="W209" s="61">
        <v>0.79054810501196127</v>
      </c>
      <c r="X209" s="61">
        <v>61.745806501226063</v>
      </c>
      <c r="Y209" s="276">
        <v>0.12349161300245212</v>
      </c>
      <c r="AA209" s="276"/>
      <c r="AC209" s="201">
        <f t="shared" si="23"/>
        <v>88.614440284954455</v>
      </c>
      <c r="AD209" s="201">
        <f t="shared" si="24"/>
        <v>81.767035548480322</v>
      </c>
      <c r="AF209" s="134"/>
      <c r="AG209" s="65"/>
      <c r="AH209" s="65"/>
      <c r="AI209" s="65"/>
      <c r="AJ209" s="65"/>
      <c r="AK209" s="65"/>
      <c r="AL209" s="65"/>
      <c r="AM209" s="65"/>
      <c r="AN209" s="65"/>
      <c r="AO209" s="65"/>
      <c r="AP209" s="65"/>
      <c r="AQ209" s="61"/>
      <c r="AR209" s="65"/>
      <c r="AS209" s="65"/>
      <c r="AT209" s="65"/>
      <c r="AU209" s="61"/>
      <c r="AV209" s="61"/>
      <c r="AW209" s="61"/>
      <c r="AX209" s="61"/>
      <c r="AY209" s="61"/>
      <c r="AZ209" s="61"/>
      <c r="BB209" s="61"/>
      <c r="BC209" s="24"/>
      <c r="BD209" s="24"/>
    </row>
    <row r="210" spans="17:56" ht="15" customHeight="1" x14ac:dyDescent="0.2">
      <c r="Q210" s="24">
        <v>144</v>
      </c>
      <c r="R210" s="61">
        <v>60.835460975366594</v>
      </c>
      <c r="S210" s="61">
        <v>23.199533144708372</v>
      </c>
      <c r="T210" s="61">
        <v>220.53338623046875</v>
      </c>
      <c r="U210" s="61">
        <v>65.108921433377887</v>
      </c>
      <c r="V210" s="276">
        <v>0.13021784286675578</v>
      </c>
      <c r="W210" s="61">
        <v>0.79495051567816211</v>
      </c>
      <c r="X210" s="61">
        <v>62.538241690484668</v>
      </c>
      <c r="Y210" s="276">
        <v>0.12507648338096933</v>
      </c>
      <c r="AA210" s="276"/>
      <c r="AC210" s="201">
        <f t="shared" si="23"/>
        <v>89.403503523902941</v>
      </c>
      <c r="AD210" s="201">
        <f t="shared" si="24"/>
        <v>82.557414329070795</v>
      </c>
      <c r="AF210" s="134"/>
      <c r="AG210" s="65"/>
      <c r="AH210" s="65"/>
      <c r="AI210" s="65"/>
      <c r="AJ210" s="65"/>
      <c r="AK210" s="65"/>
      <c r="AL210" s="65"/>
      <c r="AM210" s="65"/>
      <c r="AN210" s="65"/>
      <c r="AO210" s="65"/>
      <c r="AP210" s="65"/>
      <c r="AQ210" s="61"/>
      <c r="AR210" s="65"/>
      <c r="AS210" s="65"/>
      <c r="AT210" s="65"/>
      <c r="AU210" s="61"/>
      <c r="AV210" s="61"/>
      <c r="AW210" s="61"/>
      <c r="AX210" s="61"/>
      <c r="AY210" s="61"/>
      <c r="AZ210" s="61"/>
      <c r="BB210" s="61"/>
      <c r="BC210" s="24"/>
      <c r="BD210" s="24"/>
    </row>
    <row r="211" spans="17:56" ht="15" customHeight="1" x14ac:dyDescent="0.2">
      <c r="Q211" s="24">
        <v>145</v>
      </c>
      <c r="R211" s="61">
        <v>61.577358348718541</v>
      </c>
      <c r="S211" s="61">
        <v>23.491137803531171</v>
      </c>
      <c r="T211" s="61">
        <v>220.52250671386719</v>
      </c>
      <c r="U211" s="61">
        <v>65.906028681077331</v>
      </c>
      <c r="V211" s="276">
        <v>0.13181205736215465</v>
      </c>
      <c r="W211" s="61">
        <v>0.79934421784878784</v>
      </c>
      <c r="X211" s="61">
        <v>63.33506636849755</v>
      </c>
      <c r="Y211" s="276">
        <v>0.12667013273699509</v>
      </c>
      <c r="AA211" s="276"/>
      <c r="AC211" s="201">
        <f t="shared" si="23"/>
        <v>90.196959191041259</v>
      </c>
      <c r="AD211" s="201">
        <f t="shared" si="24"/>
        <v>83.352183023890603</v>
      </c>
      <c r="AF211" s="134"/>
      <c r="AG211" s="65"/>
      <c r="AH211" s="65"/>
      <c r="AI211" s="65"/>
      <c r="AJ211" s="65"/>
      <c r="AK211" s="65"/>
      <c r="AL211" s="65"/>
      <c r="AM211" s="65"/>
      <c r="AN211" s="65"/>
      <c r="AO211" s="65"/>
      <c r="AP211" s="65"/>
      <c r="AQ211" s="61"/>
      <c r="AR211" s="65"/>
      <c r="AS211" s="65"/>
      <c r="AT211" s="65"/>
      <c r="AU211" s="61"/>
      <c r="AV211" s="61"/>
      <c r="AW211" s="61"/>
      <c r="AX211" s="61"/>
      <c r="AY211" s="61"/>
      <c r="AZ211" s="61"/>
      <c r="BB211" s="61"/>
      <c r="BC211" s="24"/>
      <c r="BD211" s="24"/>
    </row>
    <row r="212" spans="17:56" ht="15" customHeight="1" x14ac:dyDescent="0.2">
      <c r="Q212" s="24">
        <v>146</v>
      </c>
      <c r="R212" s="61">
        <v>62.323145300899185</v>
      </c>
      <c r="S212" s="61">
        <v>23.784845007127711</v>
      </c>
      <c r="T212" s="61">
        <v>220.51065063476562</v>
      </c>
      <c r="U212" s="61">
        <v>66.70752050713682</v>
      </c>
      <c r="V212" s="276">
        <v>0.13341504101427365</v>
      </c>
      <c r="W212" s="61">
        <v>0.80372909822233629</v>
      </c>
      <c r="X212" s="61">
        <v>64.136271570601707</v>
      </c>
      <c r="Y212" s="276">
        <v>0.12827254314120343</v>
      </c>
      <c r="AA212" s="276"/>
      <c r="AC212" s="201">
        <f t="shared" si="23"/>
        <v>90.994798068595088</v>
      </c>
      <c r="AD212" s="201">
        <f t="shared" si="24"/>
        <v>84.151332486172677</v>
      </c>
      <c r="AF212" s="134"/>
      <c r="AG212" s="65"/>
      <c r="AH212" s="65"/>
      <c r="AI212" s="65"/>
      <c r="AJ212" s="65"/>
      <c r="AK212" s="65"/>
      <c r="AL212" s="65"/>
      <c r="AM212" s="65"/>
      <c r="AN212" s="65"/>
      <c r="AO212" s="65"/>
      <c r="AP212" s="65"/>
      <c r="AQ212" s="61"/>
      <c r="AR212" s="65"/>
      <c r="AS212" s="65"/>
      <c r="AT212" s="65"/>
      <c r="AU212" s="61"/>
      <c r="AV212" s="61"/>
      <c r="AW212" s="61"/>
      <c r="AX212" s="61"/>
      <c r="AY212" s="61"/>
      <c r="AZ212" s="61"/>
      <c r="BB212" s="61"/>
      <c r="BC212" s="24"/>
      <c r="BD212" s="24"/>
    </row>
    <row r="213" spans="17:56" ht="15" customHeight="1" x14ac:dyDescent="0.2">
      <c r="Q213" s="24">
        <v>147</v>
      </c>
      <c r="R213" s="61">
        <v>63.072810024978473</v>
      </c>
      <c r="S213" s="61">
        <v>24.080659522942469</v>
      </c>
      <c r="T213" s="61">
        <v>220.49781799316406</v>
      </c>
      <c r="U213" s="61">
        <v>67.513387764997432</v>
      </c>
      <c r="V213" s="276">
        <v>0.13502677552999487</v>
      </c>
      <c r="W213" s="61">
        <v>0.80810503723160576</v>
      </c>
      <c r="X213" s="61">
        <v>64.94184821296065</v>
      </c>
      <c r="Y213" s="276">
        <v>0.12988369642592129</v>
      </c>
      <c r="AA213" s="276"/>
      <c r="AC213" s="201">
        <f t="shared" si="23"/>
        <v>91.797010823537434</v>
      </c>
      <c r="AD213" s="201">
        <f t="shared" si="24"/>
        <v>84.954853453587091</v>
      </c>
      <c r="AF213" s="134"/>
      <c r="AG213" s="65"/>
      <c r="AH213" s="65"/>
      <c r="AI213" s="65"/>
      <c r="AJ213" s="65"/>
      <c r="AK213" s="65"/>
      <c r="AL213" s="65"/>
      <c r="AM213" s="65"/>
      <c r="AN213" s="65"/>
      <c r="AO213" s="65"/>
      <c r="AP213" s="65"/>
      <c r="AQ213" s="61"/>
      <c r="AR213" s="65"/>
      <c r="AS213" s="65"/>
      <c r="AT213" s="65"/>
      <c r="AU213" s="61"/>
      <c r="AV213" s="61"/>
      <c r="AW213" s="61"/>
      <c r="AX213" s="61"/>
      <c r="AY213" s="61"/>
      <c r="AZ213" s="61"/>
      <c r="BB213" s="61"/>
      <c r="BC213" s="24"/>
      <c r="BD213" s="24"/>
    </row>
    <row r="214" spans="17:56" ht="15" customHeight="1" x14ac:dyDescent="0.2">
      <c r="Q214" s="24">
        <v>148</v>
      </c>
      <c r="R214" s="61">
        <v>63.826340586488008</v>
      </c>
      <c r="S214" s="61">
        <v>24.378586075722286</v>
      </c>
      <c r="T214" s="61">
        <v>220.48396301269531</v>
      </c>
      <c r="U214" s="61">
        <v>68.323621184139284</v>
      </c>
      <c r="V214" s="276">
        <v>0.13664724236827858</v>
      </c>
      <c r="W214" s="61">
        <v>0.81247190931380009</v>
      </c>
      <c r="X214" s="61">
        <v>65.751787086473371</v>
      </c>
      <c r="Y214" s="276">
        <v>0.13150357417294675</v>
      </c>
      <c r="AA214" s="276"/>
      <c r="AC214" s="201">
        <f t="shared" si="23"/>
        <v>92.603588001590282</v>
      </c>
      <c r="AD214" s="201">
        <f t="shared" si="24"/>
        <v>85.762736542171922</v>
      </c>
      <c r="AF214" s="134"/>
      <c r="AG214" s="65"/>
      <c r="AH214" s="65"/>
      <c r="AI214" s="65"/>
      <c r="AJ214" s="65"/>
      <c r="AK214" s="65"/>
      <c r="AL214" s="65"/>
      <c r="AM214" s="65"/>
      <c r="AN214" s="65"/>
      <c r="AO214" s="65"/>
      <c r="AP214" s="65"/>
      <c r="AQ214" s="61"/>
      <c r="AR214" s="65"/>
      <c r="AS214" s="65"/>
      <c r="AT214" s="65"/>
      <c r="AU214" s="61"/>
      <c r="AV214" s="61"/>
      <c r="AW214" s="61"/>
      <c r="AX214" s="61"/>
      <c r="AY214" s="61"/>
      <c r="AZ214" s="61"/>
      <c r="BB214" s="61"/>
      <c r="BC214" s="24"/>
      <c r="BD214" s="24"/>
    </row>
    <row r="215" spans="17:56" ht="15" customHeight="1" x14ac:dyDescent="0.2">
      <c r="Q215" s="24">
        <v>149</v>
      </c>
      <c r="R215" s="61">
        <v>64.58372491876402</v>
      </c>
      <c r="S215" s="61">
        <v>24.678629343159912</v>
      </c>
      <c r="T215" s="61">
        <v>220.46907043457031</v>
      </c>
      <c r="U215" s="61">
        <v>69.138211364191761</v>
      </c>
      <c r="V215" s="276">
        <v>0.13827642272838353</v>
      </c>
      <c r="W215" s="61">
        <v>0.81682958318427601</v>
      </c>
      <c r="X215" s="61">
        <v>66.566078850958007</v>
      </c>
      <c r="Y215" s="276">
        <v>0.13313215770191603</v>
      </c>
      <c r="AA215" s="276"/>
      <c r="AC215" s="201">
        <f t="shared" si="23"/>
        <v>93.414520021494297</v>
      </c>
      <c r="AD215" s="201">
        <f t="shared" si="24"/>
        <v>86.574972240535544</v>
      </c>
      <c r="AF215" s="134"/>
      <c r="AG215" s="65"/>
      <c r="AH215" s="65"/>
      <c r="AI215" s="65"/>
      <c r="AJ215" s="65"/>
      <c r="AK215" s="65"/>
      <c r="AL215" s="65"/>
      <c r="AM215" s="65"/>
      <c r="AN215" s="65"/>
      <c r="AO215" s="65"/>
      <c r="AP215" s="65"/>
      <c r="AQ215" s="61"/>
      <c r="AR215" s="65"/>
      <c r="AS215" s="65"/>
      <c r="AT215" s="65"/>
      <c r="AU215" s="61"/>
      <c r="AV215" s="61"/>
      <c r="AW215" s="61"/>
      <c r="AX215" s="61"/>
      <c r="AY215" s="61"/>
      <c r="AZ215" s="61"/>
      <c r="BB215" s="61"/>
      <c r="BC215" s="24"/>
      <c r="BD215" s="24"/>
    </row>
    <row r="216" spans="17:56" ht="15" customHeight="1" x14ac:dyDescent="0.2">
      <c r="Q216" s="24">
        <v>150</v>
      </c>
      <c r="R216" s="61">
        <v>65.344950818566403</v>
      </c>
      <c r="S216" s="61">
        <v>24.980793951608511</v>
      </c>
      <c r="T216" s="61">
        <v>220.45314025878906</v>
      </c>
      <c r="U216" s="61">
        <v>69.957148769325798</v>
      </c>
      <c r="V216" s="276">
        <v>0.13991429753865159</v>
      </c>
      <c r="W216" s="61">
        <v>0.82117792211377716</v>
      </c>
      <c r="X216" s="61">
        <v>67.384714029614187</v>
      </c>
      <c r="Y216" s="276">
        <v>0.13476942805922837</v>
      </c>
      <c r="AA216" s="276"/>
      <c r="AC216" s="201">
        <f t="shared" si="23"/>
        <v>94.229797169550736</v>
      </c>
      <c r="AD216" s="201">
        <f t="shared" si="24"/>
        <v>87.391550904335048</v>
      </c>
      <c r="AF216" s="134"/>
      <c r="AG216" s="65"/>
      <c r="AH216" s="65"/>
      <c r="AI216" s="65"/>
      <c r="AJ216" s="65"/>
      <c r="AK216" s="65"/>
      <c r="AL216" s="65"/>
      <c r="AM216" s="65"/>
      <c r="AN216" s="65"/>
      <c r="AO216" s="65"/>
      <c r="AP216" s="65"/>
      <c r="AQ216" s="61"/>
      <c r="AR216" s="65"/>
      <c r="AS216" s="65"/>
      <c r="AT216" s="65"/>
      <c r="AU216" s="61"/>
      <c r="AV216" s="61"/>
      <c r="AW216" s="61"/>
      <c r="AX216" s="61"/>
      <c r="AY216" s="61"/>
      <c r="AZ216" s="61"/>
      <c r="BB216" s="61"/>
      <c r="BC216" s="24"/>
      <c r="BD216" s="24"/>
    </row>
    <row r="217" spans="17:56" ht="15" customHeight="1" x14ac:dyDescent="0.2">
      <c r="V217" s="276"/>
      <c r="Y217" s="276"/>
      <c r="AA217" s="276"/>
      <c r="AC217" s="201" t="str">
        <f t="shared" si="23"/>
        <v/>
      </c>
      <c r="AD217" s="201" t="str">
        <f t="shared" si="24"/>
        <v/>
      </c>
      <c r="AF217" s="134"/>
      <c r="AG217" s="65"/>
      <c r="AH217" s="65"/>
      <c r="AI217" s="65"/>
      <c r="AJ217" s="65"/>
      <c r="AK217" s="65"/>
      <c r="AL217" s="65"/>
      <c r="AM217" s="65"/>
      <c r="AN217" s="65"/>
      <c r="AO217" s="65"/>
      <c r="AP217" s="65"/>
      <c r="AQ217" s="61"/>
      <c r="AR217" s="65"/>
      <c r="AS217" s="65"/>
      <c r="AT217" s="65"/>
      <c r="AU217" s="61"/>
      <c r="AV217" s="61"/>
      <c r="AW217" s="61"/>
      <c r="AX217" s="61"/>
      <c r="AY217" s="61"/>
      <c r="AZ217" s="61"/>
      <c r="BB217" s="61"/>
      <c r="BC217" s="24"/>
      <c r="BD217" s="24"/>
    </row>
    <row r="218" spans="17:56" ht="15" customHeight="1" x14ac:dyDescent="0.2">
      <c r="V218" s="276"/>
      <c r="Y218" s="276"/>
      <c r="AA218" s="276"/>
      <c r="AC218" s="201" t="str">
        <f t="shared" si="23"/>
        <v/>
      </c>
      <c r="AD218" s="201" t="str">
        <f t="shared" si="24"/>
        <v/>
      </c>
      <c r="AF218" s="134"/>
      <c r="AG218" s="65"/>
      <c r="AH218" s="65"/>
      <c r="AI218" s="65"/>
      <c r="AJ218" s="65"/>
      <c r="AK218" s="65"/>
      <c r="AL218" s="65"/>
      <c r="AM218" s="65"/>
      <c r="AN218" s="65"/>
      <c r="AO218" s="65"/>
      <c r="AP218" s="65"/>
      <c r="AQ218" s="61"/>
      <c r="AR218" s="65"/>
      <c r="AS218" s="65"/>
      <c r="AT218" s="65"/>
      <c r="AU218" s="61"/>
      <c r="AV218" s="61"/>
      <c r="AW218" s="61"/>
      <c r="AX218" s="61"/>
      <c r="AY218" s="61"/>
      <c r="AZ218" s="61"/>
      <c r="BB218" s="61"/>
      <c r="BC218" s="24"/>
      <c r="BD218" s="24"/>
    </row>
    <row r="219" spans="17:56" ht="15" customHeight="1" x14ac:dyDescent="0.2">
      <c r="V219" s="276"/>
      <c r="Y219" s="276"/>
      <c r="AA219" s="276"/>
      <c r="AC219" s="201" t="str">
        <f t="shared" si="23"/>
        <v/>
      </c>
      <c r="AD219" s="201" t="str">
        <f t="shared" si="24"/>
        <v/>
      </c>
      <c r="AF219" s="134"/>
      <c r="AG219" s="65"/>
      <c r="AH219" s="65"/>
      <c r="AI219" s="65"/>
      <c r="AJ219" s="65"/>
      <c r="AK219" s="65"/>
      <c r="AL219" s="65"/>
      <c r="AM219" s="65"/>
      <c r="AN219" s="65"/>
      <c r="AO219" s="65"/>
      <c r="AP219" s="65"/>
      <c r="AQ219" s="61"/>
      <c r="AR219" s="65"/>
      <c r="AS219" s="65"/>
      <c r="AT219" s="65"/>
      <c r="AU219" s="61"/>
      <c r="AV219" s="61"/>
      <c r="AW219" s="61"/>
      <c r="AX219" s="61"/>
      <c r="AY219" s="61"/>
      <c r="AZ219" s="61"/>
      <c r="BB219" s="61"/>
      <c r="BC219" s="24"/>
      <c r="BD219" s="24"/>
    </row>
    <row r="220" spans="17:56" ht="15" customHeight="1" x14ac:dyDescent="0.2">
      <c r="V220" s="276"/>
      <c r="Y220" s="276"/>
      <c r="AA220" s="276"/>
      <c r="AC220" s="201" t="str">
        <f t="shared" si="23"/>
        <v/>
      </c>
      <c r="AD220" s="201" t="str">
        <f t="shared" si="24"/>
        <v/>
      </c>
      <c r="AF220" s="134"/>
      <c r="AG220" s="65"/>
      <c r="AH220" s="65"/>
      <c r="AI220" s="65"/>
      <c r="AJ220" s="65"/>
      <c r="AK220" s="65"/>
      <c r="AL220" s="65"/>
      <c r="AM220" s="65"/>
      <c r="AN220" s="65"/>
      <c r="AO220" s="65"/>
      <c r="AP220" s="65"/>
      <c r="AQ220" s="61"/>
      <c r="AR220" s="65"/>
      <c r="AS220" s="65"/>
      <c r="AT220" s="65"/>
      <c r="AU220" s="61"/>
      <c r="AV220" s="61"/>
      <c r="AW220" s="61"/>
      <c r="AX220" s="61"/>
      <c r="AY220" s="61"/>
      <c r="AZ220" s="61"/>
      <c r="BB220" s="61"/>
      <c r="BC220" s="24"/>
      <c r="BD220" s="24"/>
    </row>
    <row r="221" spans="17:56" ht="15" customHeight="1" x14ac:dyDescent="0.2">
      <c r="V221" s="276"/>
      <c r="Y221" s="276"/>
      <c r="AA221" s="276"/>
      <c r="AC221" s="201" t="str">
        <f t="shared" si="23"/>
        <v/>
      </c>
      <c r="AD221" s="201" t="str">
        <f t="shared" si="24"/>
        <v/>
      </c>
      <c r="AF221" s="134"/>
      <c r="AG221" s="65"/>
      <c r="AH221" s="65"/>
      <c r="AI221" s="65"/>
      <c r="AJ221" s="65"/>
      <c r="AK221" s="65"/>
      <c r="AL221" s="65"/>
      <c r="AM221" s="65"/>
      <c r="AN221" s="65"/>
      <c r="AO221" s="65"/>
      <c r="AP221" s="65"/>
      <c r="AQ221" s="61"/>
      <c r="AR221" s="65"/>
      <c r="AS221" s="65"/>
      <c r="AT221" s="65"/>
      <c r="AU221" s="61"/>
      <c r="AV221" s="61"/>
      <c r="AW221" s="61"/>
      <c r="AX221" s="61"/>
      <c r="AY221" s="61"/>
      <c r="AZ221" s="61"/>
      <c r="BB221" s="61"/>
      <c r="BC221" s="24"/>
      <c r="BD221" s="24"/>
    </row>
    <row r="222" spans="17:56" ht="15" customHeight="1" x14ac:dyDescent="0.2">
      <c r="V222" s="276"/>
      <c r="Y222" s="276"/>
      <c r="AA222" s="276"/>
      <c r="AC222" s="201" t="str">
        <f t="shared" si="23"/>
        <v/>
      </c>
      <c r="AD222" s="201" t="str">
        <f t="shared" si="24"/>
        <v/>
      </c>
      <c r="AF222" s="134"/>
      <c r="AG222" s="65"/>
      <c r="AH222" s="65"/>
      <c r="AI222" s="65"/>
      <c r="AJ222" s="65"/>
      <c r="AK222" s="65"/>
      <c r="AL222" s="65"/>
      <c r="AM222" s="65"/>
      <c r="AN222" s="65"/>
      <c r="AO222" s="65"/>
      <c r="AP222" s="65"/>
      <c r="AQ222" s="61"/>
      <c r="AR222" s="65"/>
      <c r="AS222" s="65"/>
      <c r="AT222" s="65"/>
      <c r="AU222" s="61"/>
      <c r="AV222" s="61"/>
      <c r="AW222" s="61"/>
      <c r="AX222" s="61"/>
      <c r="AY222" s="61"/>
      <c r="AZ222" s="61"/>
      <c r="BB222" s="61"/>
      <c r="BC222" s="24"/>
      <c r="BD222" s="24"/>
    </row>
    <row r="223" spans="17:56" ht="15" customHeight="1" x14ac:dyDescent="0.2">
      <c r="V223" s="276"/>
      <c r="Y223" s="276"/>
      <c r="AA223" s="276"/>
      <c r="AC223" s="201" t="str">
        <f t="shared" si="23"/>
        <v/>
      </c>
      <c r="AD223" s="201" t="str">
        <f t="shared" si="24"/>
        <v/>
      </c>
      <c r="AF223" s="134"/>
      <c r="AG223" s="65"/>
      <c r="AH223" s="65"/>
      <c r="AI223" s="65"/>
      <c r="AJ223" s="65"/>
      <c r="AK223" s="65"/>
      <c r="AL223" s="65"/>
      <c r="AM223" s="65"/>
      <c r="AN223" s="65"/>
      <c r="AO223" s="65"/>
      <c r="AP223" s="65"/>
      <c r="AQ223" s="61"/>
      <c r="AR223" s="65"/>
      <c r="AS223" s="65"/>
      <c r="AT223" s="65"/>
      <c r="AU223" s="61"/>
      <c r="AV223" s="61"/>
      <c r="AW223" s="61"/>
      <c r="AX223" s="61"/>
      <c r="AY223" s="61"/>
      <c r="AZ223" s="61"/>
      <c r="BB223" s="61"/>
      <c r="BC223" s="24"/>
      <c r="BD223" s="24"/>
    </row>
    <row r="224" spans="17:56" ht="15" customHeight="1" x14ac:dyDescent="0.2">
      <c r="V224" s="276"/>
      <c r="Y224" s="276"/>
      <c r="AA224" s="276"/>
      <c r="AC224" s="201" t="str">
        <f t="shared" si="23"/>
        <v/>
      </c>
      <c r="AD224" s="201" t="str">
        <f t="shared" si="24"/>
        <v/>
      </c>
      <c r="AF224" s="134"/>
      <c r="AG224" s="65"/>
      <c r="AH224" s="65"/>
      <c r="AI224" s="65"/>
      <c r="AJ224" s="65"/>
      <c r="AK224" s="65"/>
      <c r="AL224" s="65"/>
      <c r="AM224" s="65"/>
      <c r="AN224" s="65"/>
      <c r="AO224" s="65"/>
      <c r="AP224" s="65"/>
      <c r="AQ224" s="61"/>
      <c r="AR224" s="65"/>
      <c r="AS224" s="65"/>
      <c r="AT224" s="65"/>
      <c r="AU224" s="61"/>
      <c r="AV224" s="61"/>
      <c r="AW224" s="61"/>
      <c r="AX224" s="61"/>
      <c r="AY224" s="61"/>
      <c r="AZ224" s="61"/>
      <c r="BB224" s="61"/>
      <c r="BC224" s="24"/>
      <c r="BD224" s="24"/>
    </row>
    <row r="225" spans="22:56" ht="15" customHeight="1" x14ac:dyDescent="0.2">
      <c r="V225" s="276"/>
      <c r="Y225" s="276"/>
      <c r="AA225" s="276"/>
      <c r="AC225" s="201" t="str">
        <f t="shared" si="23"/>
        <v/>
      </c>
      <c r="AD225" s="201" t="str">
        <f t="shared" si="24"/>
        <v/>
      </c>
      <c r="AF225" s="134"/>
      <c r="AG225" s="65"/>
      <c r="AH225" s="65"/>
      <c r="AI225" s="65"/>
      <c r="AJ225" s="65"/>
      <c r="AK225" s="65"/>
      <c r="AL225" s="65"/>
      <c r="AM225" s="65"/>
      <c r="AN225" s="65"/>
      <c r="AO225" s="65"/>
      <c r="AP225" s="65"/>
      <c r="AQ225" s="61"/>
      <c r="AR225" s="65"/>
      <c r="AS225" s="65"/>
      <c r="AT225" s="65"/>
      <c r="AU225" s="61"/>
      <c r="AV225" s="61"/>
      <c r="AW225" s="61"/>
      <c r="AX225" s="61"/>
      <c r="AY225" s="61"/>
      <c r="AZ225" s="61"/>
      <c r="BB225" s="61"/>
      <c r="BC225" s="24"/>
      <c r="BD225" s="24"/>
    </row>
    <row r="226" spans="22:56" ht="15" customHeight="1" x14ac:dyDescent="0.2">
      <c r="V226" s="276"/>
      <c r="Y226" s="276"/>
      <c r="AA226" s="276"/>
      <c r="AC226" s="201" t="str">
        <f t="shared" si="23"/>
        <v/>
      </c>
      <c r="AD226" s="201" t="str">
        <f t="shared" si="24"/>
        <v/>
      </c>
      <c r="AF226" s="134"/>
      <c r="AG226" s="65"/>
      <c r="AH226" s="65"/>
      <c r="AI226" s="65"/>
      <c r="AJ226" s="65"/>
      <c r="AK226" s="65"/>
      <c r="AL226" s="65"/>
      <c r="AM226" s="65"/>
      <c r="AN226" s="65"/>
      <c r="AO226" s="65"/>
      <c r="AP226" s="65"/>
      <c r="AQ226" s="61"/>
      <c r="AR226" s="65"/>
      <c r="AS226" s="65"/>
      <c r="AT226" s="65"/>
      <c r="AU226" s="61"/>
      <c r="AV226" s="61"/>
      <c r="AW226" s="61"/>
      <c r="AX226" s="61"/>
      <c r="AY226" s="61"/>
      <c r="AZ226" s="61"/>
      <c r="BB226" s="61"/>
      <c r="BC226" s="24"/>
      <c r="BD226" s="24"/>
    </row>
    <row r="227" spans="22:56" ht="15" customHeight="1" x14ac:dyDescent="0.2">
      <c r="V227" s="276"/>
      <c r="Y227" s="276"/>
      <c r="AA227" s="276"/>
      <c r="AC227" s="201" t="str">
        <f t="shared" si="23"/>
        <v/>
      </c>
      <c r="AD227" s="201" t="str">
        <f t="shared" si="24"/>
        <v/>
      </c>
      <c r="AF227" s="134"/>
      <c r="AG227" s="65"/>
      <c r="AH227" s="65"/>
      <c r="AI227" s="65"/>
      <c r="AJ227" s="65"/>
      <c r="AK227" s="65"/>
      <c r="AL227" s="65"/>
      <c r="AM227" s="65"/>
      <c r="AN227" s="65"/>
      <c r="AO227" s="65"/>
      <c r="AP227" s="65"/>
      <c r="AQ227" s="61"/>
      <c r="AR227" s="65"/>
      <c r="AS227" s="65"/>
      <c r="AT227" s="65"/>
      <c r="AU227" s="61"/>
      <c r="AV227" s="61"/>
      <c r="AW227" s="61"/>
      <c r="AX227" s="61"/>
      <c r="AY227" s="61"/>
      <c r="AZ227" s="61"/>
      <c r="BB227" s="61"/>
      <c r="BC227" s="24"/>
      <c r="BD227" s="24"/>
    </row>
    <row r="228" spans="22:56" ht="15" customHeight="1" x14ac:dyDescent="0.2">
      <c r="V228" s="276"/>
      <c r="Y228" s="276"/>
      <c r="AA228" s="276"/>
      <c r="AC228" s="201" t="str">
        <f t="shared" si="23"/>
        <v/>
      </c>
      <c r="AD228" s="201" t="str">
        <f t="shared" si="24"/>
        <v/>
      </c>
      <c r="AF228" s="134"/>
      <c r="AG228" s="65"/>
      <c r="AH228" s="65"/>
      <c r="AI228" s="65"/>
      <c r="AJ228" s="65"/>
      <c r="AK228" s="65"/>
      <c r="AL228" s="65"/>
      <c r="AM228" s="65"/>
      <c r="AN228" s="65"/>
      <c r="AO228" s="65"/>
      <c r="AP228" s="65"/>
      <c r="AQ228" s="61"/>
      <c r="AR228" s="65"/>
      <c r="AS228" s="65"/>
      <c r="AT228" s="65"/>
      <c r="AU228" s="61"/>
      <c r="AV228" s="61"/>
      <c r="AW228" s="61"/>
      <c r="AX228" s="61"/>
      <c r="AY228" s="61"/>
      <c r="AZ228" s="61"/>
      <c r="BB228" s="61"/>
      <c r="BC228" s="24"/>
      <c r="BD228" s="24"/>
    </row>
    <row r="229" spans="22:56" ht="15" customHeight="1" x14ac:dyDescent="0.2">
      <c r="V229" s="276"/>
      <c r="Y229" s="276"/>
      <c r="AA229" s="276"/>
      <c r="AC229" s="201" t="str">
        <f t="shared" si="23"/>
        <v/>
      </c>
      <c r="AD229" s="201" t="str">
        <f t="shared" si="24"/>
        <v/>
      </c>
      <c r="AF229" s="134"/>
      <c r="AG229" s="65"/>
      <c r="AH229" s="65"/>
      <c r="AI229" s="65"/>
      <c r="AJ229" s="65"/>
      <c r="AK229" s="65"/>
      <c r="AL229" s="65"/>
      <c r="AM229" s="65"/>
      <c r="AN229" s="65"/>
      <c r="AO229" s="65"/>
      <c r="AP229" s="65"/>
      <c r="AQ229" s="61"/>
      <c r="AR229" s="65"/>
      <c r="AS229" s="65"/>
      <c r="AT229" s="65"/>
      <c r="AU229" s="61"/>
      <c r="AV229" s="61"/>
      <c r="AW229" s="61"/>
      <c r="AX229" s="61"/>
      <c r="AY229" s="61"/>
      <c r="AZ229" s="61"/>
      <c r="BB229" s="61"/>
      <c r="BC229" s="24"/>
      <c r="BD229" s="24"/>
    </row>
    <row r="230" spans="22:56" ht="15" customHeight="1" x14ac:dyDescent="0.2">
      <c r="V230" s="276"/>
      <c r="Y230" s="276"/>
      <c r="AA230" s="276"/>
      <c r="AC230" s="201" t="str">
        <f t="shared" si="23"/>
        <v/>
      </c>
      <c r="AD230" s="201" t="str">
        <f t="shared" si="24"/>
        <v/>
      </c>
      <c r="AF230" s="134"/>
      <c r="AG230" s="65"/>
      <c r="AH230" s="65"/>
      <c r="AI230" s="65"/>
      <c r="AJ230" s="65"/>
      <c r="AK230" s="65"/>
      <c r="AL230" s="65"/>
      <c r="AM230" s="65"/>
      <c r="AN230" s="65"/>
      <c r="AO230" s="65"/>
      <c r="AP230" s="65"/>
      <c r="AQ230" s="61"/>
      <c r="AR230" s="65"/>
      <c r="AS230" s="65"/>
      <c r="AT230" s="65"/>
      <c r="AU230" s="61"/>
      <c r="AV230" s="61"/>
      <c r="AW230" s="61"/>
      <c r="AX230" s="61"/>
      <c r="AY230" s="61"/>
      <c r="AZ230" s="61"/>
      <c r="BB230" s="61"/>
      <c r="BC230" s="24"/>
      <c r="BD230" s="24"/>
    </row>
    <row r="231" spans="22:56" ht="15" customHeight="1" x14ac:dyDescent="0.2">
      <c r="V231" s="276"/>
      <c r="Y231" s="276"/>
      <c r="AA231" s="276"/>
      <c r="AC231" s="201" t="str">
        <f t="shared" si="23"/>
        <v/>
      </c>
      <c r="AD231" s="201" t="str">
        <f t="shared" si="24"/>
        <v/>
      </c>
      <c r="AF231" s="134"/>
      <c r="AG231" s="65"/>
      <c r="AH231" s="65"/>
      <c r="AI231" s="65"/>
      <c r="AJ231" s="65"/>
      <c r="AK231" s="65"/>
      <c r="AL231" s="65"/>
      <c r="AM231" s="65"/>
      <c r="AN231" s="65"/>
      <c r="AO231" s="65"/>
      <c r="AP231" s="65"/>
      <c r="AQ231" s="61"/>
      <c r="AR231" s="65"/>
      <c r="AS231" s="65"/>
      <c r="AT231" s="65"/>
      <c r="AU231" s="61"/>
      <c r="AV231" s="61"/>
      <c r="AW231" s="61"/>
      <c r="AX231" s="61"/>
      <c r="AY231" s="61"/>
      <c r="AZ231" s="61"/>
      <c r="BB231" s="61"/>
      <c r="BC231" s="24"/>
      <c r="BD231" s="24"/>
    </row>
    <row r="232" spans="22:56" ht="15" customHeight="1" x14ac:dyDescent="0.2">
      <c r="V232" s="276"/>
      <c r="Y232" s="276"/>
      <c r="AA232" s="276"/>
      <c r="AC232" s="201" t="str">
        <f t="shared" si="23"/>
        <v/>
      </c>
      <c r="AD232" s="201" t="str">
        <f t="shared" si="24"/>
        <v/>
      </c>
      <c r="AF232" s="134"/>
      <c r="AG232" s="65"/>
      <c r="AH232" s="65"/>
      <c r="AI232" s="65"/>
      <c r="AJ232" s="65"/>
      <c r="AK232" s="65"/>
      <c r="AL232" s="65"/>
      <c r="AM232" s="65"/>
      <c r="AN232" s="65"/>
      <c r="AO232" s="65"/>
      <c r="AP232" s="65"/>
      <c r="AQ232" s="61"/>
      <c r="AR232" s="65"/>
      <c r="AS232" s="65"/>
      <c r="AT232" s="65"/>
      <c r="AU232" s="61"/>
      <c r="AV232" s="61"/>
      <c r="AW232" s="61"/>
      <c r="AX232" s="61"/>
      <c r="AY232" s="61"/>
      <c r="AZ232" s="61"/>
      <c r="BB232" s="61"/>
      <c r="BC232" s="24"/>
      <c r="BD232" s="24"/>
    </row>
    <row r="233" spans="22:56" ht="15" customHeight="1" x14ac:dyDescent="0.2">
      <c r="V233" s="276"/>
      <c r="Y233" s="276"/>
      <c r="AA233" s="276"/>
      <c r="AC233" s="201" t="str">
        <f t="shared" si="23"/>
        <v/>
      </c>
      <c r="AD233" s="201" t="str">
        <f t="shared" si="24"/>
        <v/>
      </c>
      <c r="AF233" s="134"/>
      <c r="AG233" s="65"/>
      <c r="AH233" s="65"/>
      <c r="AI233" s="65"/>
      <c r="AJ233" s="65"/>
      <c r="AK233" s="65"/>
      <c r="AL233" s="65"/>
      <c r="AM233" s="65"/>
      <c r="AN233" s="65"/>
      <c r="AO233" s="65"/>
      <c r="AP233" s="65"/>
      <c r="AQ233" s="61"/>
      <c r="AR233" s="65"/>
      <c r="AS233" s="65"/>
      <c r="AT233" s="65"/>
      <c r="AU233" s="61"/>
      <c r="AV233" s="61"/>
      <c r="AW233" s="61"/>
      <c r="AX233" s="61"/>
      <c r="AY233" s="61"/>
      <c r="AZ233" s="61"/>
      <c r="BB233" s="61"/>
      <c r="BC233" s="24"/>
      <c r="BD233" s="24"/>
    </row>
    <row r="234" spans="22:56" ht="15" customHeight="1" x14ac:dyDescent="0.2">
      <c r="V234" s="276"/>
      <c r="Y234" s="276"/>
      <c r="AA234" s="276"/>
      <c r="AC234" s="201" t="str">
        <f t="shared" si="23"/>
        <v/>
      </c>
      <c r="AD234" s="201" t="str">
        <f t="shared" si="24"/>
        <v/>
      </c>
      <c r="AF234" s="134"/>
      <c r="AG234" s="65"/>
      <c r="AH234" s="65"/>
      <c r="AI234" s="65"/>
      <c r="AJ234" s="65"/>
      <c r="AK234" s="65"/>
      <c r="AL234" s="65"/>
      <c r="AM234" s="65"/>
      <c r="AN234" s="65"/>
      <c r="AO234" s="65"/>
      <c r="AP234" s="65"/>
      <c r="AQ234" s="61"/>
      <c r="AR234" s="65"/>
      <c r="AS234" s="65"/>
      <c r="AT234" s="65"/>
      <c r="AU234" s="61"/>
      <c r="AV234" s="61"/>
      <c r="AW234" s="61"/>
      <c r="AX234" s="61"/>
      <c r="AY234" s="61"/>
      <c r="AZ234" s="61"/>
      <c r="BB234" s="61"/>
      <c r="BC234" s="24"/>
      <c r="BD234" s="24"/>
    </row>
    <row r="235" spans="22:56" ht="15" customHeight="1" x14ac:dyDescent="0.2">
      <c r="V235" s="276"/>
      <c r="Y235" s="276"/>
      <c r="AA235" s="276"/>
      <c r="AC235" s="201" t="str">
        <f t="shared" si="23"/>
        <v/>
      </c>
      <c r="AD235" s="201" t="str">
        <f t="shared" si="24"/>
        <v/>
      </c>
      <c r="AF235" s="134"/>
      <c r="AG235" s="65"/>
      <c r="AH235" s="65"/>
      <c r="AI235" s="65"/>
      <c r="AJ235" s="65"/>
      <c r="AK235" s="65"/>
      <c r="AL235" s="65"/>
      <c r="AM235" s="65"/>
      <c r="AN235" s="65"/>
      <c r="AO235" s="65"/>
      <c r="AP235" s="65"/>
      <c r="AQ235" s="61"/>
      <c r="AR235" s="65"/>
      <c r="AS235" s="65"/>
      <c r="AT235" s="65"/>
      <c r="AU235" s="61"/>
      <c r="AV235" s="61"/>
      <c r="AW235" s="61"/>
      <c r="AX235" s="61"/>
      <c r="AY235" s="61"/>
      <c r="AZ235" s="61"/>
      <c r="BB235" s="61"/>
      <c r="BC235" s="24"/>
      <c r="BD235" s="24"/>
    </row>
    <row r="236" spans="22:56" ht="15" customHeight="1" x14ac:dyDescent="0.2">
      <c r="V236" s="276"/>
      <c r="Y236" s="276"/>
      <c r="AA236" s="276"/>
      <c r="AC236" s="201" t="str">
        <f t="shared" si="23"/>
        <v/>
      </c>
      <c r="AD236" s="201" t="str">
        <f t="shared" si="24"/>
        <v/>
      </c>
      <c r="AF236" s="134"/>
      <c r="AG236" s="65"/>
      <c r="AH236" s="65"/>
      <c r="AI236" s="65"/>
      <c r="AJ236" s="65"/>
      <c r="AK236" s="65"/>
      <c r="AL236" s="65"/>
      <c r="AM236" s="65"/>
      <c r="AN236" s="65"/>
      <c r="AO236" s="65"/>
      <c r="AP236" s="65"/>
      <c r="AQ236" s="61"/>
      <c r="AR236" s="65"/>
      <c r="AS236" s="65"/>
      <c r="AT236" s="65"/>
      <c r="AU236" s="61"/>
      <c r="AV236" s="61"/>
      <c r="AW236" s="61"/>
      <c r="AX236" s="61"/>
      <c r="AY236" s="61"/>
      <c r="AZ236" s="61"/>
      <c r="BB236" s="61"/>
      <c r="BC236" s="24"/>
      <c r="BD236" s="24"/>
    </row>
    <row r="237" spans="22:56" ht="15" customHeight="1" x14ac:dyDescent="0.2">
      <c r="V237" s="276"/>
      <c r="Y237" s="276"/>
      <c r="AA237" s="276"/>
      <c r="AC237" s="201" t="str">
        <f t="shared" si="23"/>
        <v/>
      </c>
      <c r="AD237" s="201" t="str">
        <f t="shared" si="24"/>
        <v/>
      </c>
      <c r="AF237" s="134"/>
      <c r="AG237" s="65"/>
      <c r="AH237" s="65"/>
      <c r="AI237" s="65"/>
      <c r="AJ237" s="65"/>
      <c r="AK237" s="65"/>
      <c r="AL237" s="65"/>
      <c r="AM237" s="65"/>
      <c r="AN237" s="65"/>
      <c r="AO237" s="65"/>
      <c r="AP237" s="65"/>
      <c r="AQ237" s="61"/>
      <c r="AR237" s="65"/>
      <c r="AS237" s="65"/>
      <c r="AT237" s="65"/>
      <c r="AU237" s="61"/>
      <c r="AV237" s="61"/>
      <c r="AW237" s="61"/>
      <c r="AX237" s="61"/>
      <c r="AY237" s="61"/>
      <c r="AZ237" s="61"/>
      <c r="BB237" s="61"/>
      <c r="BC237" s="24"/>
      <c r="BD237" s="24"/>
    </row>
    <row r="238" spans="22:56" ht="15" customHeight="1" x14ac:dyDescent="0.2">
      <c r="V238" s="276"/>
      <c r="Y238" s="276"/>
      <c r="AA238" s="276"/>
      <c r="AC238" s="201" t="str">
        <f t="shared" si="23"/>
        <v/>
      </c>
      <c r="AD238" s="201" t="str">
        <f t="shared" si="24"/>
        <v/>
      </c>
      <c r="AF238" s="134"/>
      <c r="AG238" s="65"/>
      <c r="AH238" s="65"/>
      <c r="AI238" s="65"/>
      <c r="AJ238" s="65"/>
      <c r="AK238" s="65"/>
      <c r="AL238" s="65"/>
      <c r="AM238" s="65"/>
      <c r="AN238" s="65"/>
      <c r="AO238" s="65"/>
      <c r="AP238" s="65"/>
      <c r="AQ238" s="61"/>
      <c r="AR238" s="65"/>
      <c r="AS238" s="65"/>
      <c r="AT238" s="65"/>
      <c r="AU238" s="61"/>
      <c r="AV238" s="61"/>
      <c r="AW238" s="61"/>
      <c r="AX238" s="61"/>
      <c r="AY238" s="61"/>
      <c r="AZ238" s="61"/>
      <c r="BB238" s="61"/>
      <c r="BC238" s="24"/>
      <c r="BD238" s="24"/>
    </row>
    <row r="239" spans="22:56" ht="15" customHeight="1" x14ac:dyDescent="0.2">
      <c r="V239" s="276"/>
      <c r="Y239" s="276"/>
      <c r="AA239" s="276"/>
      <c r="AC239" s="201" t="str">
        <f t="shared" si="23"/>
        <v/>
      </c>
      <c r="AD239" s="201" t="str">
        <f t="shared" si="24"/>
        <v/>
      </c>
      <c r="AF239" s="134"/>
      <c r="AG239" s="65"/>
      <c r="AH239" s="65"/>
      <c r="AI239" s="65"/>
      <c r="AJ239" s="65"/>
      <c r="AK239" s="65"/>
      <c r="AL239" s="65"/>
      <c r="AM239" s="65"/>
      <c r="AN239" s="65"/>
      <c r="AO239" s="65"/>
      <c r="AP239" s="65"/>
      <c r="AQ239" s="61"/>
      <c r="AR239" s="65"/>
      <c r="AS239" s="65"/>
      <c r="AT239" s="65"/>
      <c r="AU239" s="61"/>
      <c r="AV239" s="61"/>
      <c r="AW239" s="61"/>
      <c r="AX239" s="61"/>
      <c r="AY239" s="61"/>
      <c r="AZ239" s="61"/>
      <c r="BB239" s="61"/>
      <c r="BC239" s="24"/>
      <c r="BD239" s="24"/>
    </row>
    <row r="240" spans="22:56" ht="15" customHeight="1" x14ac:dyDescent="0.2">
      <c r="V240" s="276"/>
      <c r="Y240" s="276"/>
      <c r="AA240" s="276"/>
      <c r="AC240" s="201" t="str">
        <f t="shared" si="23"/>
        <v/>
      </c>
      <c r="AD240" s="201" t="str">
        <f t="shared" si="24"/>
        <v/>
      </c>
      <c r="AF240" s="134"/>
      <c r="AG240" s="65"/>
      <c r="AH240" s="65"/>
      <c r="AI240" s="65"/>
      <c r="AJ240" s="65"/>
      <c r="AK240" s="65"/>
      <c r="AL240" s="65"/>
      <c r="AM240" s="65"/>
      <c r="AN240" s="65"/>
      <c r="AO240" s="65"/>
      <c r="AP240" s="65"/>
      <c r="AQ240" s="61"/>
      <c r="AR240" s="65"/>
      <c r="AS240" s="65"/>
      <c r="AT240" s="65"/>
      <c r="AU240" s="61"/>
      <c r="AV240" s="61"/>
      <c r="AW240" s="61"/>
      <c r="AX240" s="61"/>
      <c r="AY240" s="61"/>
      <c r="AZ240" s="61"/>
      <c r="BB240" s="61"/>
      <c r="BC240" s="24"/>
      <c r="BD240" s="24"/>
    </row>
    <row r="241" spans="22:56" ht="15" customHeight="1" x14ac:dyDescent="0.2">
      <c r="V241" s="276"/>
      <c r="Y241" s="276"/>
      <c r="AA241" s="276"/>
      <c r="AC241" s="201" t="str">
        <f t="shared" si="23"/>
        <v/>
      </c>
      <c r="AD241" s="201" t="str">
        <f t="shared" si="24"/>
        <v/>
      </c>
      <c r="AF241" s="134"/>
      <c r="AG241" s="65"/>
      <c r="AH241" s="65"/>
      <c r="AI241" s="65"/>
      <c r="AJ241" s="65"/>
      <c r="AK241" s="65"/>
      <c r="AL241" s="65"/>
      <c r="AM241" s="65"/>
      <c r="AN241" s="65"/>
      <c r="AO241" s="65"/>
      <c r="AP241" s="65"/>
      <c r="AQ241" s="61"/>
      <c r="AR241" s="65"/>
      <c r="AS241" s="65"/>
      <c r="AT241" s="65"/>
      <c r="AU241" s="61"/>
      <c r="AV241" s="61"/>
      <c r="AW241" s="61"/>
      <c r="AX241" s="61"/>
      <c r="AY241" s="61"/>
      <c r="AZ241" s="61"/>
      <c r="BB241" s="61"/>
      <c r="BC241" s="24"/>
      <c r="BD241" s="24"/>
    </row>
    <row r="242" spans="22:56" ht="15" customHeight="1" x14ac:dyDescent="0.2">
      <c r="V242" s="276"/>
      <c r="Y242" s="276"/>
      <c r="AA242" s="276"/>
      <c r="AC242" s="201" t="str">
        <f t="shared" si="23"/>
        <v/>
      </c>
      <c r="AD242" s="201" t="str">
        <f t="shared" si="24"/>
        <v/>
      </c>
      <c r="AF242" s="134"/>
      <c r="AG242" s="65"/>
      <c r="AH242" s="65"/>
      <c r="AI242" s="65"/>
      <c r="AJ242" s="65"/>
      <c r="AK242" s="65"/>
      <c r="AL242" s="65"/>
      <c r="AM242" s="65"/>
      <c r="AN242" s="65"/>
      <c r="AO242" s="65"/>
      <c r="AP242" s="65"/>
      <c r="AQ242" s="61"/>
      <c r="AR242" s="65"/>
      <c r="AS242" s="65"/>
      <c r="AT242" s="65"/>
      <c r="AU242" s="61"/>
      <c r="AV242" s="61"/>
      <c r="AW242" s="61"/>
      <c r="AX242" s="61"/>
      <c r="AY242" s="61"/>
      <c r="AZ242" s="61"/>
      <c r="BB242" s="61"/>
      <c r="BC242" s="24"/>
      <c r="BD242" s="24"/>
    </row>
    <row r="243" spans="22:56" ht="15" customHeight="1" x14ac:dyDescent="0.2">
      <c r="V243" s="276"/>
      <c r="Y243" s="276"/>
      <c r="AA243" s="276"/>
      <c r="AC243" s="201" t="str">
        <f t="shared" si="23"/>
        <v/>
      </c>
      <c r="AD243" s="201" t="str">
        <f t="shared" si="24"/>
        <v/>
      </c>
      <c r="AF243" s="134"/>
      <c r="AG243" s="65"/>
      <c r="AH243" s="65"/>
      <c r="AI243" s="65"/>
      <c r="AJ243" s="65"/>
      <c r="AK243" s="65"/>
      <c r="AL243" s="65"/>
      <c r="AM243" s="65"/>
      <c r="AN243" s="65"/>
      <c r="AO243" s="65"/>
      <c r="AP243" s="65"/>
      <c r="AQ243" s="61"/>
      <c r="AR243" s="65"/>
      <c r="AS243" s="65"/>
      <c r="AT243" s="65"/>
      <c r="AU243" s="61"/>
      <c r="AV243" s="61"/>
      <c r="AW243" s="61"/>
      <c r="AX243" s="61"/>
      <c r="AY243" s="61"/>
      <c r="AZ243" s="61"/>
      <c r="BB243" s="61"/>
      <c r="BC243" s="24"/>
      <c r="BD243" s="24"/>
    </row>
    <row r="244" spans="22:56" ht="15" customHeight="1" x14ac:dyDescent="0.2">
      <c r="V244" s="276"/>
      <c r="Y244" s="276"/>
      <c r="AA244" s="276"/>
      <c r="AC244" s="201" t="str">
        <f t="shared" si="23"/>
        <v/>
      </c>
      <c r="AD244" s="201" t="str">
        <f t="shared" si="24"/>
        <v/>
      </c>
      <c r="AF244" s="134"/>
      <c r="AG244" s="65"/>
      <c r="AH244" s="65"/>
      <c r="AI244" s="65"/>
      <c r="AJ244" s="65"/>
      <c r="AK244" s="65"/>
      <c r="AL244" s="65"/>
      <c r="AM244" s="65"/>
      <c r="AN244" s="65"/>
      <c r="AO244" s="65"/>
      <c r="AP244" s="65"/>
      <c r="AQ244" s="61"/>
      <c r="AR244" s="65"/>
      <c r="AS244" s="65"/>
      <c r="AT244" s="65"/>
      <c r="AU244" s="61"/>
      <c r="AV244" s="61"/>
      <c r="AW244" s="61"/>
      <c r="AX244" s="61"/>
      <c r="AY244" s="61"/>
      <c r="AZ244" s="61"/>
      <c r="BB244" s="61"/>
      <c r="BC244" s="24"/>
      <c r="BD244" s="24"/>
    </row>
    <row r="245" spans="22:56" ht="15" customHeight="1" x14ac:dyDescent="0.2">
      <c r="V245" s="276"/>
      <c r="Y245" s="276"/>
      <c r="AA245" s="276"/>
      <c r="AC245" s="201" t="str">
        <f t="shared" si="23"/>
        <v/>
      </c>
      <c r="AD245" s="201" t="str">
        <f t="shared" si="24"/>
        <v/>
      </c>
      <c r="AF245" s="134"/>
      <c r="AG245" s="65"/>
      <c r="AH245" s="65"/>
      <c r="AI245" s="65"/>
      <c r="AJ245" s="65"/>
      <c r="AK245" s="65"/>
      <c r="AL245" s="65"/>
      <c r="AM245" s="65"/>
      <c r="AN245" s="65"/>
      <c r="AO245" s="65"/>
      <c r="AP245" s="65"/>
      <c r="AQ245" s="61"/>
      <c r="AR245" s="65"/>
      <c r="AS245" s="65"/>
      <c r="AT245" s="65"/>
      <c r="AU245" s="61"/>
      <c r="AV245" s="61"/>
      <c r="AW245" s="61"/>
      <c r="AX245" s="61"/>
      <c r="AY245" s="61"/>
      <c r="AZ245" s="61"/>
      <c r="BB245" s="61"/>
      <c r="BC245" s="24"/>
      <c r="BD245" s="24"/>
    </row>
    <row r="246" spans="22:56" ht="15" customHeight="1" x14ac:dyDescent="0.2">
      <c r="V246" s="276"/>
      <c r="Y246" s="276"/>
      <c r="AA246" s="276"/>
      <c r="AC246" s="201" t="str">
        <f t="shared" si="23"/>
        <v/>
      </c>
      <c r="AD246" s="201" t="str">
        <f t="shared" si="24"/>
        <v/>
      </c>
      <c r="AF246" s="134"/>
      <c r="AG246" s="65"/>
      <c r="AH246" s="65"/>
      <c r="AI246" s="65"/>
      <c r="AJ246" s="65"/>
      <c r="AK246" s="65"/>
      <c r="AL246" s="65"/>
      <c r="AM246" s="65"/>
      <c r="AN246" s="65"/>
      <c r="AO246" s="65"/>
      <c r="AP246" s="65"/>
      <c r="AQ246" s="61"/>
      <c r="AR246" s="65"/>
      <c r="AS246" s="65"/>
      <c r="AT246" s="65"/>
      <c r="AU246" s="61"/>
      <c r="AV246" s="61"/>
      <c r="AW246" s="61"/>
      <c r="AX246" s="61"/>
      <c r="AY246" s="61"/>
      <c r="AZ246" s="61"/>
      <c r="BB246" s="61"/>
      <c r="BC246" s="24"/>
      <c r="BD246" s="24"/>
    </row>
    <row r="247" spans="22:56" ht="15" customHeight="1" x14ac:dyDescent="0.2">
      <c r="V247" s="276"/>
      <c r="Y247" s="276"/>
      <c r="AA247" s="276"/>
      <c r="AC247" s="201" t="str">
        <f t="shared" si="23"/>
        <v/>
      </c>
      <c r="AD247" s="201" t="str">
        <f t="shared" si="24"/>
        <v/>
      </c>
      <c r="AF247" s="134"/>
      <c r="AG247" s="65"/>
      <c r="AH247" s="65"/>
      <c r="AI247" s="65"/>
      <c r="AJ247" s="65"/>
      <c r="AK247" s="65"/>
      <c r="AL247" s="65"/>
      <c r="AM247" s="65"/>
      <c r="AN247" s="65"/>
      <c r="AO247" s="65"/>
      <c r="AP247" s="65"/>
      <c r="AQ247" s="61"/>
      <c r="AR247" s="65"/>
      <c r="AS247" s="65"/>
      <c r="AT247" s="65"/>
      <c r="AU247" s="61"/>
      <c r="AV247" s="61"/>
      <c r="AW247" s="61"/>
      <c r="AX247" s="61"/>
      <c r="AY247" s="61"/>
      <c r="AZ247" s="61"/>
      <c r="BB247" s="61"/>
      <c r="BC247" s="24"/>
      <c r="BD247" s="24"/>
    </row>
    <row r="248" spans="22:56" ht="15" customHeight="1" x14ac:dyDescent="0.2">
      <c r="V248" s="276"/>
      <c r="Y248" s="276"/>
      <c r="AA248" s="276"/>
      <c r="AC248" s="201" t="str">
        <f t="shared" si="23"/>
        <v/>
      </c>
      <c r="AD248" s="201" t="str">
        <f t="shared" si="24"/>
        <v/>
      </c>
      <c r="AF248" s="134"/>
      <c r="AG248" s="65"/>
      <c r="AH248" s="65"/>
      <c r="AI248" s="65"/>
      <c r="AJ248" s="65"/>
      <c r="AK248" s="65"/>
      <c r="AL248" s="65"/>
      <c r="AM248" s="65"/>
      <c r="AN248" s="65"/>
      <c r="AO248" s="65"/>
      <c r="AP248" s="65"/>
      <c r="AQ248" s="61"/>
      <c r="AR248" s="65"/>
      <c r="AS248" s="65"/>
      <c r="AT248" s="65"/>
      <c r="AU248" s="61"/>
      <c r="AV248" s="61"/>
      <c r="AW248" s="61"/>
      <c r="AX248" s="61"/>
      <c r="AY248" s="61"/>
      <c r="AZ248" s="61"/>
      <c r="BB248" s="61"/>
      <c r="BC248" s="24"/>
      <c r="BD248" s="24"/>
    </row>
    <row r="249" spans="22:56" ht="15" customHeight="1" x14ac:dyDescent="0.2">
      <c r="V249" s="276"/>
      <c r="Y249" s="276"/>
      <c r="AA249" s="276"/>
      <c r="AC249" s="201" t="str">
        <f t="shared" si="23"/>
        <v/>
      </c>
      <c r="AD249" s="201" t="str">
        <f t="shared" si="24"/>
        <v/>
      </c>
      <c r="AF249" s="134"/>
      <c r="AG249" s="65"/>
      <c r="AH249" s="65"/>
      <c r="AI249" s="65"/>
      <c r="AJ249" s="65"/>
      <c r="AK249" s="65"/>
      <c r="AL249" s="65"/>
      <c r="AM249" s="65"/>
      <c r="AN249" s="65"/>
      <c r="AO249" s="65"/>
      <c r="AP249" s="65"/>
      <c r="AQ249" s="61"/>
      <c r="AR249" s="65"/>
      <c r="AS249" s="65"/>
      <c r="AT249" s="65"/>
      <c r="AU249" s="61"/>
      <c r="AV249" s="61"/>
      <c r="AW249" s="61"/>
      <c r="AX249" s="61"/>
      <c r="AY249" s="61"/>
      <c r="AZ249" s="61"/>
      <c r="BB249" s="61"/>
      <c r="BC249" s="24"/>
      <c r="BD249" s="24"/>
    </row>
    <row r="250" spans="22:56" ht="15" customHeight="1" x14ac:dyDescent="0.2">
      <c r="V250" s="276"/>
      <c r="Y250" s="276"/>
      <c r="AA250" s="276"/>
      <c r="AC250" s="201" t="str">
        <f t="shared" si="23"/>
        <v/>
      </c>
      <c r="AD250" s="201" t="str">
        <f t="shared" si="24"/>
        <v/>
      </c>
      <c r="AF250" s="134"/>
      <c r="AG250" s="65"/>
      <c r="AH250" s="65"/>
      <c r="AI250" s="65"/>
      <c r="AJ250" s="65"/>
      <c r="AK250" s="65"/>
      <c r="AL250" s="65"/>
      <c r="AM250" s="65"/>
      <c r="AN250" s="65"/>
      <c r="AO250" s="65"/>
      <c r="AP250" s="65"/>
      <c r="AQ250" s="61"/>
      <c r="AR250" s="65"/>
      <c r="AS250" s="65"/>
      <c r="AT250" s="65"/>
      <c r="AU250" s="61"/>
      <c r="AV250" s="61"/>
      <c r="AW250" s="61"/>
      <c r="AX250" s="61"/>
      <c r="AY250" s="61"/>
      <c r="AZ250" s="61"/>
      <c r="BB250" s="61"/>
      <c r="BC250" s="24"/>
      <c r="BD250" s="24"/>
    </row>
    <row r="251" spans="22:56" ht="15" customHeight="1" x14ac:dyDescent="0.2">
      <c r="V251" s="276"/>
      <c r="Y251" s="276"/>
      <c r="AA251" s="276"/>
      <c r="AC251" s="201" t="str">
        <f t="shared" si="23"/>
        <v/>
      </c>
      <c r="AD251" s="201" t="str">
        <f t="shared" si="24"/>
        <v/>
      </c>
      <c r="AF251" s="134"/>
      <c r="AG251" s="65"/>
      <c r="AH251" s="65"/>
      <c r="AI251" s="65"/>
      <c r="AJ251" s="65"/>
      <c r="AK251" s="65"/>
      <c r="AL251" s="65"/>
      <c r="AM251" s="65"/>
      <c r="AN251" s="65"/>
      <c r="AO251" s="65"/>
      <c r="AP251" s="65"/>
      <c r="AQ251" s="61"/>
      <c r="AR251" s="65"/>
      <c r="AS251" s="65"/>
      <c r="AT251" s="65"/>
      <c r="AU251" s="61"/>
      <c r="AV251" s="61"/>
      <c r="AW251" s="61"/>
      <c r="AX251" s="61"/>
      <c r="AY251" s="61"/>
      <c r="AZ251" s="61"/>
      <c r="BB251" s="61"/>
      <c r="BC251" s="24"/>
      <c r="BD251" s="24"/>
    </row>
    <row r="252" spans="22:56" ht="15" customHeight="1" x14ac:dyDescent="0.2">
      <c r="V252" s="276"/>
      <c r="Y252" s="276"/>
      <c r="AA252" s="276"/>
      <c r="AC252" s="201" t="str">
        <f t="shared" si="23"/>
        <v/>
      </c>
      <c r="AD252" s="201" t="str">
        <f t="shared" si="24"/>
        <v/>
      </c>
      <c r="AF252" s="134"/>
      <c r="AG252" s="65"/>
      <c r="AH252" s="65"/>
      <c r="AI252" s="65"/>
      <c r="AJ252" s="65"/>
      <c r="AK252" s="65"/>
      <c r="AL252" s="65"/>
      <c r="AM252" s="65"/>
      <c r="AN252" s="65"/>
      <c r="AO252" s="65"/>
      <c r="AP252" s="65"/>
      <c r="AQ252" s="61"/>
      <c r="AR252" s="65"/>
      <c r="AS252" s="65"/>
      <c r="AT252" s="65"/>
      <c r="AU252" s="61"/>
      <c r="AV252" s="61"/>
      <c r="AW252" s="61"/>
      <c r="AX252" s="61"/>
      <c r="AY252" s="61"/>
      <c r="AZ252" s="61"/>
      <c r="BB252" s="61"/>
      <c r="BC252" s="24"/>
      <c r="BD252" s="24"/>
    </row>
    <row r="253" spans="22:56" ht="15" customHeight="1" x14ac:dyDescent="0.2">
      <c r="V253" s="276"/>
      <c r="Y253" s="276"/>
      <c r="AA253" s="276"/>
      <c r="AC253" s="201" t="str">
        <f t="shared" si="23"/>
        <v/>
      </c>
      <c r="AD253" s="201" t="str">
        <f t="shared" si="24"/>
        <v/>
      </c>
      <c r="AF253" s="134"/>
      <c r="AG253" s="65"/>
      <c r="AH253" s="65"/>
      <c r="AI253" s="65"/>
      <c r="AJ253" s="65"/>
      <c r="AK253" s="65"/>
      <c r="AL253" s="65"/>
      <c r="AM253" s="65"/>
      <c r="AN253" s="65"/>
      <c r="AO253" s="65"/>
      <c r="AP253" s="65"/>
      <c r="AQ253" s="61"/>
      <c r="AR253" s="65"/>
      <c r="AS253" s="65"/>
      <c r="AT253" s="65"/>
      <c r="AU253" s="61"/>
      <c r="AV253" s="61"/>
      <c r="AW253" s="61"/>
      <c r="AX253" s="61"/>
      <c r="AY253" s="61"/>
      <c r="AZ253" s="61"/>
      <c r="BB253" s="61"/>
      <c r="BC253" s="24"/>
      <c r="BD253" s="24"/>
    </row>
    <row r="254" spans="22:56" ht="15" customHeight="1" x14ac:dyDescent="0.2">
      <c r="V254" s="276"/>
      <c r="Y254" s="276"/>
      <c r="AA254" s="276"/>
      <c r="AC254" s="201" t="str">
        <f t="shared" si="23"/>
        <v/>
      </c>
      <c r="AD254" s="201" t="str">
        <f t="shared" si="24"/>
        <v/>
      </c>
      <c r="AF254" s="134"/>
      <c r="AG254" s="65"/>
      <c r="AH254" s="65"/>
      <c r="AI254" s="65"/>
      <c r="AJ254" s="65"/>
      <c r="AK254" s="65"/>
      <c r="AL254" s="65"/>
      <c r="AM254" s="65"/>
      <c r="AN254" s="65"/>
      <c r="AO254" s="65"/>
      <c r="AP254" s="65"/>
      <c r="AQ254" s="61"/>
      <c r="AR254" s="65"/>
      <c r="AS254" s="65"/>
      <c r="AT254" s="65"/>
      <c r="AU254" s="61"/>
      <c r="AV254" s="61"/>
      <c r="AW254" s="61"/>
      <c r="AX254" s="61"/>
      <c r="AY254" s="61"/>
      <c r="AZ254" s="61"/>
      <c r="BB254" s="61"/>
      <c r="BC254" s="24"/>
      <c r="BD254" s="24"/>
    </row>
    <row r="255" spans="22:56" ht="15" customHeight="1" x14ac:dyDescent="0.2">
      <c r="V255" s="276"/>
      <c r="Y255" s="276"/>
      <c r="AA255" s="276"/>
      <c r="AC255" s="201" t="str">
        <f t="shared" si="23"/>
        <v/>
      </c>
      <c r="AD255" s="201" t="str">
        <f t="shared" si="24"/>
        <v/>
      </c>
      <c r="AF255" s="134"/>
      <c r="AG255" s="65"/>
      <c r="AH255" s="65"/>
      <c r="AI255" s="65"/>
      <c r="AJ255" s="65"/>
      <c r="AK255" s="65"/>
      <c r="AL255" s="65"/>
      <c r="AM255" s="65"/>
      <c r="AN255" s="65"/>
      <c r="AO255" s="65"/>
      <c r="AP255" s="65"/>
      <c r="AQ255" s="61"/>
      <c r="AR255" s="65"/>
      <c r="AS255" s="65"/>
      <c r="AT255" s="65"/>
      <c r="AU255" s="61"/>
      <c r="AV255" s="61"/>
      <c r="AW255" s="61"/>
      <c r="AX255" s="61"/>
      <c r="AY255" s="61"/>
      <c r="AZ255" s="61"/>
      <c r="BB255" s="61"/>
      <c r="BC255" s="24"/>
      <c r="BD255" s="24"/>
    </row>
    <row r="256" spans="22:56" ht="15" customHeight="1" x14ac:dyDescent="0.2">
      <c r="V256" s="276"/>
      <c r="Y256" s="276"/>
      <c r="AA256" s="276"/>
      <c r="AC256" s="201" t="str">
        <f t="shared" si="23"/>
        <v/>
      </c>
      <c r="AD256" s="201" t="str">
        <f t="shared" si="24"/>
        <v/>
      </c>
      <c r="AF256" s="134"/>
      <c r="AG256" s="65"/>
      <c r="AH256" s="65"/>
      <c r="AI256" s="65"/>
      <c r="AJ256" s="65"/>
      <c r="AK256" s="65"/>
      <c r="AL256" s="65"/>
      <c r="AM256" s="65"/>
      <c r="AN256" s="65"/>
      <c r="AO256" s="65"/>
      <c r="AP256" s="65"/>
      <c r="AQ256" s="61"/>
      <c r="AR256" s="65"/>
      <c r="AS256" s="65"/>
      <c r="AT256" s="65"/>
      <c r="AU256" s="61"/>
      <c r="AV256" s="61"/>
      <c r="AW256" s="61"/>
      <c r="AX256" s="61"/>
      <c r="AY256" s="61"/>
      <c r="AZ256" s="61"/>
      <c r="BB256" s="61"/>
      <c r="BC256" s="24"/>
      <c r="BD256" s="24"/>
    </row>
    <row r="257" spans="22:56" ht="15" customHeight="1" x14ac:dyDescent="0.2">
      <c r="V257" s="276"/>
      <c r="Y257" s="276"/>
      <c r="AA257" s="276"/>
      <c r="AC257" s="201" t="str">
        <f t="shared" si="23"/>
        <v/>
      </c>
      <c r="AD257" s="201" t="str">
        <f t="shared" si="24"/>
        <v/>
      </c>
      <c r="AF257" s="134"/>
      <c r="AG257" s="65"/>
      <c r="AH257" s="65"/>
      <c r="AI257" s="65"/>
      <c r="AJ257" s="65"/>
      <c r="AK257" s="65"/>
      <c r="AL257" s="65"/>
      <c r="AM257" s="65"/>
      <c r="AN257" s="65"/>
      <c r="AO257" s="65"/>
      <c r="AP257" s="65"/>
      <c r="AQ257" s="61"/>
      <c r="AR257" s="65"/>
      <c r="AS257" s="65"/>
      <c r="AT257" s="65"/>
      <c r="AU257" s="61"/>
      <c r="AV257" s="61"/>
      <c r="AW257" s="61"/>
      <c r="AX257" s="61"/>
      <c r="AY257" s="61"/>
      <c r="AZ257" s="61"/>
      <c r="BB257" s="61"/>
      <c r="BC257" s="24"/>
      <c r="BD257" s="24"/>
    </row>
    <row r="258" spans="22:56" ht="15" customHeight="1" x14ac:dyDescent="0.2">
      <c r="V258" s="276"/>
      <c r="Y258" s="276"/>
      <c r="AA258" s="276"/>
      <c r="AC258" s="201" t="str">
        <f t="shared" ref="AC258:AC321" si="25">IF(Q258="","",SQRT(($R258-$AT$68)^2+($S258-$AU$68)^2))</f>
        <v/>
      </c>
      <c r="AD258" s="201" t="str">
        <f t="shared" ref="AD258:AD321" si="26">IF(Q258="","",SQRT(($R258-$AR$68)^2+($S258-$AS$68)^2))</f>
        <v/>
      </c>
      <c r="AF258" s="134"/>
      <c r="AG258" s="65"/>
      <c r="AH258" s="65"/>
      <c r="AI258" s="65"/>
      <c r="AJ258" s="65"/>
      <c r="AK258" s="65"/>
      <c r="AL258" s="65"/>
      <c r="AM258" s="65"/>
      <c r="AN258" s="65"/>
      <c r="AO258" s="65"/>
      <c r="AP258" s="65"/>
      <c r="AQ258" s="61"/>
      <c r="AR258" s="65"/>
      <c r="AS258" s="65"/>
      <c r="AT258" s="65"/>
      <c r="AU258" s="61"/>
      <c r="AV258" s="61"/>
      <c r="AW258" s="61"/>
      <c r="AX258" s="61"/>
      <c r="AY258" s="61"/>
      <c r="AZ258" s="61"/>
      <c r="BB258" s="61"/>
      <c r="BC258" s="24"/>
      <c r="BD258" s="24"/>
    </row>
    <row r="259" spans="22:56" ht="15" customHeight="1" x14ac:dyDescent="0.2">
      <c r="V259" s="276"/>
      <c r="Y259" s="276"/>
      <c r="AA259" s="276"/>
      <c r="AC259" s="201" t="str">
        <f t="shared" si="25"/>
        <v/>
      </c>
      <c r="AD259" s="201" t="str">
        <f t="shared" si="26"/>
        <v/>
      </c>
      <c r="AF259" s="134"/>
      <c r="AG259" s="65"/>
      <c r="AH259" s="65"/>
      <c r="AI259" s="65"/>
      <c r="AJ259" s="65"/>
      <c r="AK259" s="65"/>
      <c r="AL259" s="65"/>
      <c r="AM259" s="65"/>
      <c r="AN259" s="65"/>
      <c r="AO259" s="65"/>
      <c r="AP259" s="65"/>
      <c r="AQ259" s="61"/>
      <c r="AR259" s="65"/>
      <c r="AS259" s="65"/>
      <c r="AT259" s="65"/>
      <c r="AU259" s="61"/>
      <c r="AV259" s="61"/>
      <c r="AW259" s="61"/>
      <c r="AX259" s="61"/>
      <c r="AY259" s="61"/>
      <c r="AZ259" s="61"/>
      <c r="BB259" s="61"/>
      <c r="BC259" s="24"/>
      <c r="BD259" s="24"/>
    </row>
    <row r="260" spans="22:56" ht="15" customHeight="1" x14ac:dyDescent="0.2">
      <c r="V260" s="276"/>
      <c r="Y260" s="276"/>
      <c r="AA260" s="276"/>
      <c r="AC260" s="201" t="str">
        <f t="shared" si="25"/>
        <v/>
      </c>
      <c r="AD260" s="201" t="str">
        <f t="shared" si="26"/>
        <v/>
      </c>
      <c r="AF260" s="134"/>
      <c r="AG260" s="65"/>
      <c r="AH260" s="65"/>
      <c r="AI260" s="65"/>
      <c r="AJ260" s="65"/>
      <c r="AK260" s="65"/>
      <c r="AL260" s="65"/>
      <c r="AM260" s="65"/>
      <c r="AN260" s="65"/>
      <c r="AO260" s="65"/>
      <c r="AP260" s="65"/>
      <c r="AQ260" s="61"/>
      <c r="AR260" s="65"/>
      <c r="AS260" s="65"/>
      <c r="AT260" s="65"/>
      <c r="AU260" s="61"/>
      <c r="AV260" s="61"/>
      <c r="AW260" s="61"/>
      <c r="AX260" s="61"/>
      <c r="AY260" s="61"/>
      <c r="AZ260" s="61"/>
      <c r="BB260" s="61"/>
      <c r="BC260" s="24"/>
      <c r="BD260" s="24"/>
    </row>
    <row r="261" spans="22:56" ht="15" customHeight="1" x14ac:dyDescent="0.2">
      <c r="V261" s="276"/>
      <c r="Y261" s="276"/>
      <c r="AA261" s="276"/>
      <c r="AC261" s="201" t="str">
        <f t="shared" si="25"/>
        <v/>
      </c>
      <c r="AD261" s="201" t="str">
        <f t="shared" si="26"/>
        <v/>
      </c>
      <c r="AF261" s="134"/>
      <c r="AG261" s="65"/>
      <c r="AH261" s="65"/>
      <c r="AI261" s="65"/>
      <c r="AJ261" s="65"/>
      <c r="AK261" s="65"/>
      <c r="AL261" s="65"/>
      <c r="AM261" s="65"/>
      <c r="AN261" s="65"/>
      <c r="AO261" s="65"/>
      <c r="AP261" s="65"/>
      <c r="AQ261" s="61"/>
      <c r="AR261" s="65"/>
      <c r="AS261" s="65"/>
      <c r="AT261" s="65"/>
      <c r="AU261" s="61"/>
      <c r="AV261" s="61"/>
      <c r="AW261" s="61"/>
      <c r="AX261" s="61"/>
      <c r="AY261" s="61"/>
      <c r="AZ261" s="61"/>
      <c r="BB261" s="61"/>
      <c r="BC261" s="24"/>
      <c r="BD261" s="24"/>
    </row>
    <row r="262" spans="22:56" ht="15" customHeight="1" x14ac:dyDescent="0.2">
      <c r="V262" s="276"/>
      <c r="Y262" s="276"/>
      <c r="AA262" s="276"/>
      <c r="AC262" s="201" t="str">
        <f t="shared" si="25"/>
        <v/>
      </c>
      <c r="AD262" s="201" t="str">
        <f t="shared" si="26"/>
        <v/>
      </c>
      <c r="AF262" s="134"/>
      <c r="AG262" s="65"/>
      <c r="AH262" s="65"/>
      <c r="AI262" s="65"/>
      <c r="AJ262" s="65"/>
      <c r="AK262" s="65"/>
      <c r="AL262" s="65"/>
      <c r="AM262" s="65"/>
      <c r="AN262" s="65"/>
      <c r="AO262" s="65"/>
      <c r="AP262" s="65"/>
      <c r="AQ262" s="61"/>
      <c r="AR262" s="65"/>
      <c r="AS262" s="65"/>
      <c r="AT262" s="65"/>
      <c r="AU262" s="61"/>
      <c r="AV262" s="61"/>
      <c r="AW262" s="61"/>
      <c r="AX262" s="61"/>
      <c r="AY262" s="61"/>
      <c r="AZ262" s="61"/>
      <c r="BB262" s="61"/>
      <c r="BC262" s="24"/>
      <c r="BD262" s="24"/>
    </row>
    <row r="263" spans="22:56" ht="15" customHeight="1" x14ac:dyDescent="0.2">
      <c r="V263" s="276"/>
      <c r="Y263" s="276"/>
      <c r="AA263" s="276"/>
      <c r="AC263" s="201" t="str">
        <f t="shared" si="25"/>
        <v/>
      </c>
      <c r="AD263" s="201" t="str">
        <f t="shared" si="26"/>
        <v/>
      </c>
      <c r="AF263" s="134"/>
      <c r="AG263" s="65"/>
      <c r="AH263" s="65"/>
      <c r="AI263" s="65"/>
      <c r="AJ263" s="65"/>
      <c r="AK263" s="65"/>
      <c r="AL263" s="65"/>
      <c r="AM263" s="65"/>
      <c r="AN263" s="65"/>
      <c r="AO263" s="65"/>
      <c r="AP263" s="65"/>
      <c r="AQ263" s="61"/>
      <c r="AR263" s="65"/>
      <c r="AS263" s="65"/>
      <c r="AT263" s="65"/>
      <c r="AU263" s="61"/>
      <c r="AV263" s="61"/>
      <c r="AW263" s="61"/>
      <c r="AX263" s="61"/>
      <c r="AY263" s="61"/>
      <c r="AZ263" s="61"/>
      <c r="BB263" s="61"/>
      <c r="BC263" s="24"/>
      <c r="BD263" s="24"/>
    </row>
    <row r="264" spans="22:56" ht="15" customHeight="1" x14ac:dyDescent="0.2">
      <c r="V264" s="276"/>
      <c r="Y264" s="276"/>
      <c r="AA264" s="276"/>
      <c r="AC264" s="201" t="str">
        <f t="shared" si="25"/>
        <v/>
      </c>
      <c r="AD264" s="201" t="str">
        <f t="shared" si="26"/>
        <v/>
      </c>
      <c r="AF264" s="134"/>
      <c r="AG264" s="65"/>
      <c r="AH264" s="65"/>
      <c r="AI264" s="65"/>
      <c r="AJ264" s="65"/>
      <c r="AK264" s="65"/>
      <c r="AL264" s="65"/>
      <c r="AM264" s="65"/>
      <c r="AN264" s="65"/>
      <c r="AO264" s="65"/>
      <c r="AP264" s="65"/>
      <c r="AQ264" s="61"/>
      <c r="AR264" s="65"/>
      <c r="AS264" s="65"/>
      <c r="AT264" s="65"/>
      <c r="AU264" s="61"/>
      <c r="AV264" s="61"/>
      <c r="AW264" s="61"/>
      <c r="AX264" s="61"/>
      <c r="AY264" s="61"/>
      <c r="AZ264" s="61"/>
      <c r="BB264" s="61"/>
      <c r="BC264" s="24"/>
      <c r="BD264" s="24"/>
    </row>
    <row r="265" spans="22:56" ht="15" customHeight="1" x14ac:dyDescent="0.2">
      <c r="V265" s="276"/>
      <c r="Y265" s="276"/>
      <c r="AA265" s="276"/>
      <c r="AC265" s="201" t="str">
        <f t="shared" si="25"/>
        <v/>
      </c>
      <c r="AD265" s="201" t="str">
        <f t="shared" si="26"/>
        <v/>
      </c>
      <c r="AF265" s="134"/>
      <c r="AG265" s="65"/>
      <c r="AH265" s="65"/>
      <c r="AI265" s="65"/>
      <c r="AJ265" s="65"/>
      <c r="AK265" s="65"/>
      <c r="AL265" s="65"/>
      <c r="AM265" s="65"/>
      <c r="AN265" s="65"/>
      <c r="AO265" s="65"/>
      <c r="AP265" s="65"/>
      <c r="AQ265" s="61"/>
      <c r="AR265" s="65"/>
      <c r="AS265" s="65"/>
      <c r="AT265" s="65"/>
      <c r="AU265" s="61"/>
      <c r="AV265" s="61"/>
      <c r="AW265" s="61"/>
      <c r="AX265" s="61"/>
      <c r="AY265" s="61"/>
      <c r="AZ265" s="61"/>
      <c r="BB265" s="61"/>
      <c r="BC265" s="24"/>
      <c r="BD265" s="24"/>
    </row>
    <row r="266" spans="22:56" ht="15" customHeight="1" x14ac:dyDescent="0.2">
      <c r="V266" s="276"/>
      <c r="Y266" s="276"/>
      <c r="AA266" s="276"/>
      <c r="AC266" s="201" t="str">
        <f t="shared" si="25"/>
        <v/>
      </c>
      <c r="AD266" s="201" t="str">
        <f t="shared" si="26"/>
        <v/>
      </c>
      <c r="AF266" s="134"/>
      <c r="AG266" s="65"/>
      <c r="AH266" s="65"/>
      <c r="AI266" s="65"/>
      <c r="AJ266" s="65"/>
      <c r="AK266" s="65"/>
      <c r="AL266" s="65"/>
      <c r="AM266" s="65"/>
      <c r="AN266" s="65"/>
      <c r="AO266" s="65"/>
      <c r="AP266" s="65"/>
      <c r="AQ266" s="61"/>
      <c r="AR266" s="65"/>
      <c r="AS266" s="65"/>
      <c r="AT266" s="65"/>
      <c r="AU266" s="61"/>
      <c r="AV266" s="61"/>
      <c r="AW266" s="61"/>
      <c r="AX266" s="61"/>
      <c r="AY266" s="61"/>
      <c r="AZ266" s="61"/>
      <c r="BB266" s="61"/>
      <c r="BC266" s="24"/>
      <c r="BD266" s="24"/>
    </row>
    <row r="267" spans="22:56" ht="15" customHeight="1" x14ac:dyDescent="0.2">
      <c r="V267" s="276"/>
      <c r="Y267" s="276"/>
      <c r="AA267" s="276"/>
      <c r="AC267" s="201" t="str">
        <f t="shared" si="25"/>
        <v/>
      </c>
      <c r="AD267" s="201" t="str">
        <f t="shared" si="26"/>
        <v/>
      </c>
      <c r="AF267" s="134"/>
      <c r="AG267" s="65"/>
      <c r="AH267" s="65"/>
      <c r="AI267" s="65"/>
      <c r="AJ267" s="65"/>
      <c r="AK267" s="65"/>
      <c r="AL267" s="65"/>
      <c r="AM267" s="65"/>
      <c r="AN267" s="65"/>
      <c r="AO267" s="65"/>
      <c r="AP267" s="65"/>
      <c r="AQ267" s="61"/>
      <c r="AR267" s="65"/>
      <c r="AS267" s="65"/>
      <c r="AT267" s="65"/>
      <c r="AU267" s="61"/>
      <c r="AV267" s="61"/>
      <c r="AW267" s="61"/>
      <c r="AX267" s="61"/>
      <c r="AY267" s="61"/>
      <c r="AZ267" s="61"/>
      <c r="BB267" s="61"/>
      <c r="BC267" s="24"/>
      <c r="BD267" s="24"/>
    </row>
    <row r="268" spans="22:56" ht="15" customHeight="1" x14ac:dyDescent="0.2">
      <c r="V268" s="276"/>
      <c r="Y268" s="276"/>
      <c r="AA268" s="276"/>
      <c r="AC268" s="201" t="str">
        <f t="shared" si="25"/>
        <v/>
      </c>
      <c r="AD268" s="201" t="str">
        <f t="shared" si="26"/>
        <v/>
      </c>
      <c r="AF268" s="134"/>
      <c r="AG268" s="65"/>
      <c r="AH268" s="65"/>
      <c r="AI268" s="65"/>
      <c r="AJ268" s="65"/>
      <c r="AK268" s="65"/>
      <c r="AL268" s="65"/>
      <c r="AM268" s="65"/>
      <c r="AN268" s="65"/>
      <c r="AO268" s="65"/>
      <c r="AP268" s="65"/>
      <c r="AQ268" s="61"/>
      <c r="AR268" s="65"/>
      <c r="AS268" s="65"/>
      <c r="AT268" s="65"/>
      <c r="AU268" s="61"/>
      <c r="AV268" s="61"/>
      <c r="AW268" s="61"/>
      <c r="AX268" s="61"/>
      <c r="AY268" s="61"/>
      <c r="AZ268" s="61"/>
      <c r="BB268" s="61"/>
      <c r="BC268" s="24"/>
      <c r="BD268" s="24"/>
    </row>
    <row r="269" spans="22:56" ht="15" customHeight="1" x14ac:dyDescent="0.2">
      <c r="V269" s="276"/>
      <c r="Y269" s="276"/>
      <c r="AA269" s="276"/>
      <c r="AC269" s="201" t="str">
        <f t="shared" si="25"/>
        <v/>
      </c>
      <c r="AD269" s="201" t="str">
        <f t="shared" si="26"/>
        <v/>
      </c>
      <c r="AF269" s="134"/>
      <c r="AG269" s="65"/>
      <c r="AH269" s="65"/>
      <c r="AI269" s="65"/>
      <c r="AJ269" s="65"/>
      <c r="AK269" s="65"/>
      <c r="AL269" s="65"/>
      <c r="AM269" s="65"/>
      <c r="AN269" s="65"/>
      <c r="AO269" s="65"/>
      <c r="AP269" s="65"/>
      <c r="AQ269" s="61"/>
      <c r="AR269" s="65"/>
      <c r="AS269" s="65"/>
      <c r="AT269" s="65"/>
      <c r="AU269" s="61"/>
      <c r="AV269" s="61"/>
      <c r="AW269" s="61"/>
      <c r="AX269" s="61"/>
      <c r="AY269" s="61"/>
      <c r="AZ269" s="61"/>
      <c r="BB269" s="61"/>
      <c r="BC269" s="24"/>
      <c r="BD269" s="24"/>
    </row>
    <row r="270" spans="22:56" ht="15" customHeight="1" x14ac:dyDescent="0.2">
      <c r="V270" s="276"/>
      <c r="Y270" s="276"/>
      <c r="AA270" s="276"/>
      <c r="AC270" s="201" t="str">
        <f t="shared" si="25"/>
        <v/>
      </c>
      <c r="AD270" s="201" t="str">
        <f t="shared" si="26"/>
        <v/>
      </c>
      <c r="AF270" s="134"/>
      <c r="AG270" s="65"/>
      <c r="AH270" s="65"/>
      <c r="AI270" s="65"/>
      <c r="AJ270" s="65"/>
      <c r="AK270" s="65"/>
      <c r="AL270" s="65"/>
      <c r="AM270" s="65"/>
      <c r="AN270" s="65"/>
      <c r="AO270" s="65"/>
      <c r="AP270" s="65"/>
      <c r="AQ270" s="61"/>
      <c r="AR270" s="65"/>
      <c r="AS270" s="65"/>
      <c r="AT270" s="65"/>
      <c r="AU270" s="61"/>
      <c r="AV270" s="61"/>
      <c r="AW270" s="61"/>
      <c r="AX270" s="61"/>
      <c r="AY270" s="61"/>
      <c r="AZ270" s="61"/>
      <c r="BB270" s="61"/>
      <c r="BC270" s="24"/>
      <c r="BD270" s="24"/>
    </row>
    <row r="271" spans="22:56" ht="15" customHeight="1" x14ac:dyDescent="0.2">
      <c r="V271" s="276"/>
      <c r="Y271" s="276"/>
      <c r="AA271" s="276"/>
      <c r="AC271" s="201" t="str">
        <f t="shared" si="25"/>
        <v/>
      </c>
      <c r="AD271" s="201" t="str">
        <f t="shared" si="26"/>
        <v/>
      </c>
      <c r="AF271" s="134"/>
      <c r="AG271" s="65"/>
      <c r="AH271" s="65"/>
      <c r="AI271" s="65"/>
      <c r="AJ271" s="65"/>
      <c r="AK271" s="65"/>
      <c r="AL271" s="65"/>
      <c r="AM271" s="65"/>
      <c r="AN271" s="65"/>
      <c r="AO271" s="65"/>
      <c r="AP271" s="65"/>
      <c r="AQ271" s="61"/>
      <c r="AR271" s="65"/>
      <c r="AS271" s="65"/>
      <c r="AT271" s="65"/>
      <c r="AU271" s="61"/>
      <c r="AV271" s="61"/>
      <c r="AW271" s="61"/>
      <c r="AX271" s="61"/>
      <c r="AY271" s="61"/>
      <c r="AZ271" s="61"/>
      <c r="BB271" s="61"/>
      <c r="BC271" s="24"/>
      <c r="BD271" s="24"/>
    </row>
    <row r="272" spans="22:56" ht="15" customHeight="1" x14ac:dyDescent="0.2">
      <c r="V272" s="276"/>
      <c r="Y272" s="276"/>
      <c r="AA272" s="276"/>
      <c r="AC272" s="201" t="str">
        <f t="shared" si="25"/>
        <v/>
      </c>
      <c r="AD272" s="201" t="str">
        <f t="shared" si="26"/>
        <v/>
      </c>
      <c r="AF272" s="134"/>
      <c r="AG272" s="65"/>
      <c r="AH272" s="65"/>
      <c r="AI272" s="65"/>
      <c r="AJ272" s="65"/>
      <c r="AK272" s="65"/>
      <c r="AL272" s="65"/>
      <c r="AM272" s="65"/>
      <c r="AN272" s="65"/>
      <c r="AO272" s="65"/>
      <c r="AP272" s="65"/>
      <c r="AQ272" s="61"/>
      <c r="AR272" s="65"/>
      <c r="AS272" s="65"/>
      <c r="AT272" s="65"/>
      <c r="AU272" s="61"/>
      <c r="AV272" s="61"/>
      <c r="AW272" s="61"/>
      <c r="AX272" s="61"/>
      <c r="AY272" s="61"/>
      <c r="AZ272" s="61"/>
      <c r="BB272" s="61"/>
      <c r="BC272" s="24"/>
      <c r="BD272" s="24"/>
    </row>
    <row r="273" spans="22:56" ht="15" customHeight="1" x14ac:dyDescent="0.2">
      <c r="V273" s="276"/>
      <c r="Y273" s="276"/>
      <c r="AA273" s="276"/>
      <c r="AC273" s="201" t="str">
        <f t="shared" si="25"/>
        <v/>
      </c>
      <c r="AD273" s="201" t="str">
        <f t="shared" si="26"/>
        <v/>
      </c>
      <c r="AF273" s="134"/>
      <c r="AG273" s="65"/>
      <c r="AH273" s="65"/>
      <c r="AI273" s="65"/>
      <c r="AJ273" s="65"/>
      <c r="AK273" s="65"/>
      <c r="AL273" s="65"/>
      <c r="AM273" s="65"/>
      <c r="AN273" s="65"/>
      <c r="AO273" s="65"/>
      <c r="AP273" s="65"/>
      <c r="AQ273" s="61"/>
      <c r="AR273" s="65"/>
      <c r="AS273" s="65"/>
      <c r="AT273" s="65"/>
      <c r="AU273" s="61"/>
      <c r="AV273" s="61"/>
      <c r="AW273" s="61"/>
      <c r="AX273" s="61"/>
      <c r="AY273" s="61"/>
      <c r="AZ273" s="61"/>
      <c r="BB273" s="61"/>
      <c r="BC273" s="24"/>
      <c r="BD273" s="24"/>
    </row>
    <row r="274" spans="22:56" ht="15" customHeight="1" x14ac:dyDescent="0.2">
      <c r="V274" s="276"/>
      <c r="Y274" s="276"/>
      <c r="AA274" s="276"/>
      <c r="AC274" s="201" t="str">
        <f t="shared" si="25"/>
        <v/>
      </c>
      <c r="AD274" s="201" t="str">
        <f t="shared" si="26"/>
        <v/>
      </c>
      <c r="AF274" s="134"/>
      <c r="AG274" s="65"/>
      <c r="AH274" s="65"/>
      <c r="AI274" s="65"/>
      <c r="AJ274" s="65"/>
      <c r="AK274" s="65"/>
      <c r="AL274" s="65"/>
      <c r="AM274" s="65"/>
      <c r="AN274" s="65"/>
      <c r="AO274" s="65"/>
      <c r="AP274" s="65"/>
      <c r="AQ274" s="61"/>
      <c r="AR274" s="65"/>
      <c r="AS274" s="65"/>
      <c r="AT274" s="65"/>
      <c r="AU274" s="61"/>
      <c r="AV274" s="61"/>
      <c r="AW274" s="61"/>
      <c r="AX274" s="61"/>
      <c r="AY274" s="61"/>
      <c r="AZ274" s="61"/>
      <c r="BB274" s="61"/>
      <c r="BC274" s="24"/>
      <c r="BD274" s="24"/>
    </row>
    <row r="275" spans="22:56" ht="15" customHeight="1" x14ac:dyDescent="0.2">
      <c r="V275" s="276"/>
      <c r="Y275" s="276"/>
      <c r="AA275" s="276"/>
      <c r="AC275" s="201" t="str">
        <f t="shared" si="25"/>
        <v/>
      </c>
      <c r="AD275" s="201" t="str">
        <f t="shared" si="26"/>
        <v/>
      </c>
      <c r="AF275" s="134"/>
      <c r="AG275" s="65"/>
      <c r="AH275" s="65"/>
      <c r="AI275" s="65"/>
      <c r="AJ275" s="65"/>
      <c r="AK275" s="65"/>
      <c r="AL275" s="65"/>
      <c r="AM275" s="65"/>
      <c r="AN275" s="65"/>
      <c r="AO275" s="65"/>
      <c r="AP275" s="65"/>
      <c r="AQ275" s="61"/>
      <c r="AR275" s="65"/>
      <c r="AS275" s="65"/>
      <c r="AT275" s="65"/>
      <c r="AU275" s="61"/>
      <c r="AV275" s="61"/>
      <c r="AW275" s="61"/>
      <c r="AX275" s="61"/>
      <c r="AY275" s="61"/>
      <c r="AZ275" s="61"/>
      <c r="BB275" s="61"/>
      <c r="BC275" s="24"/>
      <c r="BD275" s="24"/>
    </row>
    <row r="276" spans="22:56" ht="15" customHeight="1" x14ac:dyDescent="0.2">
      <c r="V276" s="276"/>
      <c r="Y276" s="276"/>
      <c r="AA276" s="276"/>
      <c r="AC276" s="201" t="str">
        <f t="shared" si="25"/>
        <v/>
      </c>
      <c r="AD276" s="201" t="str">
        <f t="shared" si="26"/>
        <v/>
      </c>
      <c r="AF276" s="134"/>
      <c r="AG276" s="65"/>
      <c r="AH276" s="65"/>
      <c r="AI276" s="65"/>
      <c r="AJ276" s="65"/>
      <c r="AK276" s="65"/>
      <c r="AL276" s="65"/>
      <c r="AM276" s="65"/>
      <c r="AN276" s="65"/>
      <c r="AO276" s="65"/>
      <c r="AP276" s="65"/>
      <c r="AQ276" s="61"/>
      <c r="AR276" s="65"/>
      <c r="AS276" s="65"/>
      <c r="AT276" s="65"/>
      <c r="AU276" s="61"/>
      <c r="AV276" s="61"/>
      <c r="AW276" s="61"/>
      <c r="AX276" s="61"/>
      <c r="AY276" s="61"/>
      <c r="AZ276" s="61"/>
      <c r="BB276" s="61"/>
      <c r="BC276" s="24"/>
      <c r="BD276" s="24"/>
    </row>
    <row r="277" spans="22:56" ht="15" customHeight="1" x14ac:dyDescent="0.2">
      <c r="V277" s="276"/>
      <c r="Y277" s="276"/>
      <c r="AA277" s="276"/>
      <c r="AC277" s="201" t="str">
        <f t="shared" si="25"/>
        <v/>
      </c>
      <c r="AD277" s="201" t="str">
        <f t="shared" si="26"/>
        <v/>
      </c>
      <c r="AF277" s="134"/>
      <c r="AG277" s="65"/>
      <c r="AH277" s="65"/>
      <c r="AI277" s="65"/>
      <c r="AJ277" s="65"/>
      <c r="AK277" s="65"/>
      <c r="AL277" s="65"/>
      <c r="AM277" s="65"/>
      <c r="AN277" s="65"/>
      <c r="AO277" s="65"/>
      <c r="AP277" s="65"/>
      <c r="AQ277" s="61"/>
      <c r="AR277" s="65"/>
      <c r="AS277" s="65"/>
      <c r="AT277" s="65"/>
      <c r="AU277" s="61"/>
      <c r="AV277" s="61"/>
      <c r="AW277" s="61"/>
      <c r="AX277" s="61"/>
      <c r="AY277" s="61"/>
      <c r="AZ277" s="61"/>
      <c r="BB277" s="61"/>
      <c r="BC277" s="24"/>
      <c r="BD277" s="24"/>
    </row>
    <row r="278" spans="22:56" ht="15" customHeight="1" x14ac:dyDescent="0.2">
      <c r="V278" s="276"/>
      <c r="Y278" s="276"/>
      <c r="AA278" s="276"/>
      <c r="AC278" s="201" t="str">
        <f t="shared" si="25"/>
        <v/>
      </c>
      <c r="AD278" s="201" t="str">
        <f t="shared" si="26"/>
        <v/>
      </c>
      <c r="AF278" s="134"/>
      <c r="AG278" s="65"/>
      <c r="AH278" s="65"/>
      <c r="AI278" s="65"/>
      <c r="AJ278" s="65"/>
      <c r="AK278" s="65"/>
      <c r="AL278" s="65"/>
      <c r="AM278" s="65"/>
      <c r="AN278" s="65"/>
      <c r="AO278" s="65"/>
      <c r="AP278" s="65"/>
      <c r="AQ278" s="61"/>
      <c r="AR278" s="65"/>
      <c r="AS278" s="65"/>
      <c r="AT278" s="65"/>
      <c r="AU278" s="61"/>
      <c r="AV278" s="61"/>
      <c r="AW278" s="61"/>
      <c r="AX278" s="61"/>
      <c r="AY278" s="61"/>
      <c r="AZ278" s="61"/>
      <c r="BB278" s="61"/>
      <c r="BC278" s="24"/>
      <c r="BD278" s="24"/>
    </row>
    <row r="279" spans="22:56" ht="15" customHeight="1" x14ac:dyDescent="0.2">
      <c r="V279" s="276"/>
      <c r="Y279" s="276"/>
      <c r="AA279" s="276"/>
      <c r="AC279" s="201" t="str">
        <f t="shared" si="25"/>
        <v/>
      </c>
      <c r="AD279" s="201" t="str">
        <f t="shared" si="26"/>
        <v/>
      </c>
      <c r="AF279" s="134"/>
      <c r="AG279" s="65"/>
      <c r="AH279" s="65"/>
      <c r="AI279" s="65"/>
      <c r="AJ279" s="65"/>
      <c r="AK279" s="65"/>
      <c r="AL279" s="65"/>
      <c r="AM279" s="65"/>
      <c r="AN279" s="65"/>
      <c r="AO279" s="65"/>
      <c r="AP279" s="65"/>
      <c r="AQ279" s="61"/>
      <c r="AR279" s="65"/>
      <c r="AS279" s="65"/>
      <c r="AT279" s="65"/>
      <c r="AU279" s="61"/>
      <c r="AV279" s="61"/>
      <c r="AW279" s="61"/>
      <c r="AX279" s="61"/>
      <c r="AY279" s="61"/>
      <c r="AZ279" s="61"/>
      <c r="BB279" s="61"/>
      <c r="BC279" s="24"/>
      <c r="BD279" s="24"/>
    </row>
    <row r="280" spans="22:56" ht="15" customHeight="1" x14ac:dyDescent="0.2">
      <c r="V280" s="276"/>
      <c r="Y280" s="276"/>
      <c r="AA280" s="276"/>
      <c r="AC280" s="201" t="str">
        <f t="shared" si="25"/>
        <v/>
      </c>
      <c r="AD280" s="201" t="str">
        <f t="shared" si="26"/>
        <v/>
      </c>
      <c r="AF280" s="134"/>
      <c r="AG280" s="65"/>
      <c r="AH280" s="65"/>
      <c r="AI280" s="65"/>
      <c r="AJ280" s="65"/>
      <c r="AK280" s="65"/>
      <c r="AL280" s="65"/>
      <c r="AM280" s="65"/>
      <c r="AN280" s="65"/>
      <c r="AO280" s="65"/>
      <c r="AP280" s="65"/>
      <c r="AQ280" s="61"/>
      <c r="AR280" s="65"/>
      <c r="AS280" s="65"/>
      <c r="AT280" s="65"/>
      <c r="AU280" s="61"/>
      <c r="AV280" s="61"/>
      <c r="AW280" s="61"/>
      <c r="AX280" s="61"/>
      <c r="AY280" s="61"/>
      <c r="AZ280" s="61"/>
      <c r="BB280" s="61"/>
      <c r="BC280" s="24"/>
      <c r="BD280" s="24"/>
    </row>
    <row r="281" spans="22:56" ht="15" customHeight="1" x14ac:dyDescent="0.2">
      <c r="V281" s="276"/>
      <c r="Y281" s="276"/>
      <c r="AA281" s="276"/>
      <c r="AC281" s="201" t="str">
        <f t="shared" si="25"/>
        <v/>
      </c>
      <c r="AD281" s="201" t="str">
        <f t="shared" si="26"/>
        <v/>
      </c>
      <c r="AF281" s="134"/>
      <c r="AG281" s="65"/>
      <c r="AH281" s="65"/>
      <c r="AI281" s="65"/>
      <c r="AJ281" s="65"/>
      <c r="AK281" s="65"/>
      <c r="AL281" s="65"/>
      <c r="AM281" s="65"/>
      <c r="AN281" s="65"/>
      <c r="AO281" s="65"/>
      <c r="AP281" s="65"/>
      <c r="AQ281" s="61"/>
      <c r="AR281" s="65"/>
      <c r="AS281" s="65"/>
      <c r="AT281" s="65"/>
      <c r="AU281" s="61"/>
      <c r="AV281" s="61"/>
      <c r="AW281" s="61"/>
      <c r="AX281" s="61"/>
      <c r="AY281" s="61"/>
      <c r="AZ281" s="61"/>
      <c r="BB281" s="61"/>
      <c r="BC281" s="24"/>
      <c r="BD281" s="24"/>
    </row>
    <row r="282" spans="22:56" ht="15" customHeight="1" x14ac:dyDescent="0.2">
      <c r="V282" s="276"/>
      <c r="Y282" s="276"/>
      <c r="AA282" s="276"/>
      <c r="AC282" s="201" t="str">
        <f t="shared" si="25"/>
        <v/>
      </c>
      <c r="AD282" s="201" t="str">
        <f t="shared" si="26"/>
        <v/>
      </c>
      <c r="AF282" s="134"/>
      <c r="AG282" s="65"/>
      <c r="AH282" s="65"/>
      <c r="AI282" s="65"/>
      <c r="AJ282" s="65"/>
      <c r="AK282" s="65"/>
      <c r="AL282" s="65"/>
      <c r="AM282" s="65"/>
      <c r="AN282" s="65"/>
      <c r="AO282" s="65"/>
      <c r="AP282" s="65"/>
      <c r="AQ282" s="61"/>
      <c r="AR282" s="65"/>
      <c r="AS282" s="65"/>
      <c r="AT282" s="65"/>
      <c r="AU282" s="61"/>
      <c r="AV282" s="61"/>
      <c r="AW282" s="61"/>
      <c r="AX282" s="61"/>
      <c r="AY282" s="61"/>
      <c r="AZ282" s="61"/>
      <c r="BB282" s="61"/>
      <c r="BC282" s="24"/>
      <c r="BD282" s="24"/>
    </row>
    <row r="283" spans="22:56" ht="15" customHeight="1" x14ac:dyDescent="0.2">
      <c r="V283" s="276"/>
      <c r="Y283" s="276"/>
      <c r="AA283" s="276"/>
      <c r="AC283" s="201" t="str">
        <f t="shared" si="25"/>
        <v/>
      </c>
      <c r="AD283" s="201" t="str">
        <f t="shared" si="26"/>
        <v/>
      </c>
      <c r="AF283" s="134"/>
      <c r="AG283" s="65"/>
      <c r="AH283" s="65"/>
      <c r="AI283" s="65"/>
      <c r="AJ283" s="65"/>
      <c r="AK283" s="65"/>
      <c r="AL283" s="65"/>
      <c r="AM283" s="65"/>
      <c r="AN283" s="65"/>
      <c r="AO283" s="65"/>
      <c r="AP283" s="65"/>
      <c r="AQ283" s="61"/>
      <c r="AR283" s="65"/>
      <c r="AS283" s="65"/>
      <c r="AT283" s="65"/>
      <c r="AU283" s="61"/>
      <c r="AV283" s="61"/>
      <c r="AW283" s="61"/>
      <c r="AX283" s="61"/>
      <c r="AY283" s="61"/>
      <c r="AZ283" s="61"/>
      <c r="BB283" s="61"/>
      <c r="BC283" s="24"/>
      <c r="BD283" s="24"/>
    </row>
    <row r="284" spans="22:56" ht="15" customHeight="1" x14ac:dyDescent="0.2">
      <c r="V284" s="276"/>
      <c r="Y284" s="276"/>
      <c r="AA284" s="276"/>
      <c r="AC284" s="201" t="str">
        <f t="shared" si="25"/>
        <v/>
      </c>
      <c r="AD284" s="201" t="str">
        <f t="shared" si="26"/>
        <v/>
      </c>
      <c r="AF284" s="134"/>
      <c r="AG284" s="65"/>
      <c r="AH284" s="65"/>
      <c r="AI284" s="65"/>
      <c r="AJ284" s="65"/>
      <c r="AK284" s="65"/>
      <c r="AL284" s="65"/>
      <c r="AM284" s="65"/>
      <c r="AN284" s="65"/>
      <c r="AO284" s="65"/>
      <c r="AP284" s="65"/>
      <c r="AQ284" s="61"/>
      <c r="AR284" s="65"/>
      <c r="AS284" s="65"/>
      <c r="AT284" s="65"/>
      <c r="AU284" s="61"/>
      <c r="AV284" s="61"/>
      <c r="AW284" s="61"/>
      <c r="AX284" s="61"/>
      <c r="AY284" s="61"/>
      <c r="AZ284" s="61"/>
      <c r="BB284" s="61"/>
      <c r="BC284" s="24"/>
      <c r="BD284" s="24"/>
    </row>
    <row r="285" spans="22:56" ht="15" customHeight="1" x14ac:dyDescent="0.2">
      <c r="V285" s="276"/>
      <c r="Y285" s="276"/>
      <c r="AA285" s="276"/>
      <c r="AC285" s="201" t="str">
        <f t="shared" si="25"/>
        <v/>
      </c>
      <c r="AD285" s="201" t="str">
        <f t="shared" si="26"/>
        <v/>
      </c>
      <c r="AF285" s="134"/>
      <c r="AG285" s="65"/>
      <c r="AH285" s="65"/>
      <c r="AI285" s="65"/>
      <c r="AJ285" s="65"/>
      <c r="AK285" s="65"/>
      <c r="AL285" s="65"/>
      <c r="AM285" s="65"/>
      <c r="AN285" s="65"/>
      <c r="AO285" s="65"/>
      <c r="AP285" s="65"/>
      <c r="AQ285" s="61"/>
      <c r="AR285" s="65"/>
      <c r="AS285" s="65"/>
      <c r="AT285" s="65"/>
      <c r="AU285" s="61"/>
      <c r="AV285" s="61"/>
      <c r="AW285" s="61"/>
      <c r="AX285" s="61"/>
      <c r="AY285" s="61"/>
      <c r="AZ285" s="61"/>
      <c r="BB285" s="61"/>
      <c r="BC285" s="24"/>
      <c r="BD285" s="24"/>
    </row>
    <row r="286" spans="22:56" ht="15" customHeight="1" x14ac:dyDescent="0.2">
      <c r="V286" s="276"/>
      <c r="Y286" s="276"/>
      <c r="AA286" s="276"/>
      <c r="AC286" s="201" t="str">
        <f t="shared" si="25"/>
        <v/>
      </c>
      <c r="AD286" s="201" t="str">
        <f t="shared" si="26"/>
        <v/>
      </c>
      <c r="AF286" s="134"/>
      <c r="AG286" s="65"/>
      <c r="AH286" s="65"/>
      <c r="AI286" s="65"/>
      <c r="AJ286" s="65"/>
      <c r="AK286" s="65"/>
      <c r="AL286" s="65"/>
      <c r="AM286" s="65"/>
      <c r="AN286" s="65"/>
      <c r="AO286" s="65"/>
      <c r="AP286" s="65"/>
      <c r="AQ286" s="61"/>
      <c r="AR286" s="65"/>
      <c r="AS286" s="65"/>
      <c r="AT286" s="65"/>
      <c r="AU286" s="61"/>
      <c r="AV286" s="61"/>
      <c r="AW286" s="61"/>
      <c r="AX286" s="61"/>
      <c r="AY286" s="61"/>
      <c r="AZ286" s="61"/>
      <c r="BB286" s="61"/>
      <c r="BC286" s="24"/>
      <c r="BD286" s="24"/>
    </row>
    <row r="287" spans="22:56" ht="15" customHeight="1" x14ac:dyDescent="0.2">
      <c r="V287" s="276"/>
      <c r="Y287" s="276"/>
      <c r="AA287" s="276"/>
      <c r="AC287" s="201" t="str">
        <f t="shared" si="25"/>
        <v/>
      </c>
      <c r="AD287" s="201" t="str">
        <f t="shared" si="26"/>
        <v/>
      </c>
      <c r="AF287" s="134"/>
      <c r="AG287" s="65"/>
      <c r="AH287" s="65"/>
      <c r="AI287" s="65"/>
      <c r="AJ287" s="65"/>
      <c r="AK287" s="65"/>
      <c r="AL287" s="65"/>
      <c r="AM287" s="65"/>
      <c r="AN287" s="65"/>
      <c r="AO287" s="65"/>
      <c r="AP287" s="65"/>
      <c r="AQ287" s="61"/>
      <c r="AR287" s="65"/>
      <c r="AS287" s="65"/>
      <c r="AT287" s="65"/>
      <c r="AU287" s="61"/>
      <c r="AV287" s="61"/>
      <c r="AW287" s="61"/>
      <c r="AX287" s="61"/>
      <c r="AY287" s="61"/>
      <c r="AZ287" s="61"/>
      <c r="BB287" s="61"/>
      <c r="BC287" s="24"/>
      <c r="BD287" s="24"/>
    </row>
    <row r="288" spans="22:56" ht="15" customHeight="1" x14ac:dyDescent="0.2">
      <c r="V288" s="276"/>
      <c r="Y288" s="276"/>
      <c r="AA288" s="276"/>
      <c r="AC288" s="201" t="str">
        <f t="shared" si="25"/>
        <v/>
      </c>
      <c r="AD288" s="201" t="str">
        <f t="shared" si="26"/>
        <v/>
      </c>
      <c r="AF288" s="134"/>
      <c r="AG288" s="65"/>
      <c r="AH288" s="65"/>
      <c r="AI288" s="65"/>
      <c r="AJ288" s="65"/>
      <c r="AK288" s="65"/>
      <c r="AL288" s="65"/>
      <c r="AM288" s="65"/>
      <c r="AN288" s="65"/>
      <c r="AO288" s="65"/>
      <c r="AP288" s="65"/>
      <c r="AQ288" s="61"/>
      <c r="AR288" s="65"/>
      <c r="AS288" s="65"/>
      <c r="AT288" s="65"/>
      <c r="AU288" s="61"/>
      <c r="AV288" s="61"/>
      <c r="AW288" s="61"/>
      <c r="AX288" s="61"/>
      <c r="AY288" s="61"/>
      <c r="AZ288" s="61"/>
      <c r="BB288" s="61"/>
      <c r="BC288" s="24"/>
      <c r="BD288" s="24"/>
    </row>
    <row r="289" spans="22:56" ht="15" customHeight="1" x14ac:dyDescent="0.2">
      <c r="V289" s="276"/>
      <c r="Y289" s="276"/>
      <c r="AA289" s="276"/>
      <c r="AC289" s="201" t="str">
        <f t="shared" si="25"/>
        <v/>
      </c>
      <c r="AD289" s="201" t="str">
        <f t="shared" si="26"/>
        <v/>
      </c>
      <c r="AF289" s="134"/>
      <c r="AG289" s="65"/>
      <c r="AH289" s="65"/>
      <c r="AI289" s="65"/>
      <c r="AJ289" s="65"/>
      <c r="AK289" s="65"/>
      <c r="AL289" s="65"/>
      <c r="AM289" s="65"/>
      <c r="AN289" s="65"/>
      <c r="AO289" s="65"/>
      <c r="AP289" s="65"/>
      <c r="AQ289" s="61"/>
      <c r="AR289" s="65"/>
      <c r="AS289" s="65"/>
      <c r="AT289" s="65"/>
      <c r="AU289" s="61"/>
      <c r="AV289" s="61"/>
      <c r="AW289" s="61"/>
      <c r="AX289" s="61"/>
      <c r="AY289" s="61"/>
      <c r="AZ289" s="61"/>
      <c r="BB289" s="61"/>
      <c r="BC289" s="24"/>
      <c r="BD289" s="24"/>
    </row>
    <row r="290" spans="22:56" ht="15" customHeight="1" x14ac:dyDescent="0.2">
      <c r="V290" s="276"/>
      <c r="Y290" s="276"/>
      <c r="AA290" s="276"/>
      <c r="AC290" s="201" t="str">
        <f t="shared" si="25"/>
        <v/>
      </c>
      <c r="AD290" s="201" t="str">
        <f t="shared" si="26"/>
        <v/>
      </c>
      <c r="AF290" s="134"/>
      <c r="AG290" s="65"/>
      <c r="AH290" s="65"/>
      <c r="AI290" s="65"/>
      <c r="AJ290" s="65"/>
      <c r="AK290" s="65"/>
      <c r="AL290" s="65"/>
      <c r="AM290" s="65"/>
      <c r="AN290" s="65"/>
      <c r="AO290" s="65"/>
      <c r="AP290" s="65"/>
      <c r="AQ290" s="61"/>
      <c r="AR290" s="65"/>
      <c r="AS290" s="65"/>
      <c r="AT290" s="65"/>
      <c r="AU290" s="61"/>
      <c r="AV290" s="61"/>
      <c r="AW290" s="61"/>
      <c r="AX290" s="61"/>
      <c r="AY290" s="61"/>
      <c r="AZ290" s="61"/>
      <c r="BB290" s="61"/>
      <c r="BC290" s="24"/>
      <c r="BD290" s="24"/>
    </row>
    <row r="291" spans="22:56" ht="15" customHeight="1" x14ac:dyDescent="0.2">
      <c r="V291" s="276"/>
      <c r="Y291" s="276"/>
      <c r="AA291" s="276"/>
      <c r="AC291" s="201" t="str">
        <f t="shared" si="25"/>
        <v/>
      </c>
      <c r="AD291" s="201" t="str">
        <f t="shared" si="26"/>
        <v/>
      </c>
      <c r="AF291" s="134"/>
      <c r="AG291" s="65"/>
      <c r="AH291" s="65"/>
      <c r="AI291" s="65"/>
      <c r="AJ291" s="65"/>
      <c r="AK291" s="65"/>
      <c r="AL291" s="65"/>
      <c r="AM291" s="65"/>
      <c r="AN291" s="65"/>
      <c r="AO291" s="65"/>
      <c r="AP291" s="65"/>
      <c r="AQ291" s="61"/>
      <c r="AR291" s="65"/>
      <c r="AS291" s="65"/>
      <c r="AT291" s="65"/>
      <c r="AU291" s="61"/>
      <c r="AV291" s="61"/>
      <c r="AW291" s="61"/>
      <c r="AX291" s="61"/>
      <c r="AY291" s="61"/>
      <c r="AZ291" s="61"/>
      <c r="BB291" s="61"/>
      <c r="BC291" s="24"/>
      <c r="BD291" s="24"/>
    </row>
    <row r="292" spans="22:56" ht="15" customHeight="1" x14ac:dyDescent="0.2">
      <c r="V292" s="276"/>
      <c r="Y292" s="276"/>
      <c r="AA292" s="276"/>
      <c r="AC292" s="201" t="str">
        <f t="shared" si="25"/>
        <v/>
      </c>
      <c r="AD292" s="201" t="str">
        <f t="shared" si="26"/>
        <v/>
      </c>
      <c r="AF292" s="134"/>
      <c r="AG292" s="65"/>
      <c r="AH292" s="65"/>
      <c r="AI292" s="65"/>
      <c r="AJ292" s="65"/>
      <c r="AK292" s="65"/>
      <c r="AL292" s="65"/>
      <c r="AM292" s="65"/>
      <c r="AN292" s="65"/>
      <c r="AO292" s="65"/>
      <c r="AP292" s="65"/>
      <c r="AQ292" s="61"/>
      <c r="AR292" s="65"/>
      <c r="AS292" s="65"/>
      <c r="AT292" s="65"/>
      <c r="AU292" s="61"/>
      <c r="AV292" s="61"/>
      <c r="AW292" s="61"/>
      <c r="AX292" s="61"/>
      <c r="AY292" s="61"/>
      <c r="AZ292" s="61"/>
      <c r="BB292" s="61"/>
      <c r="BC292" s="24"/>
      <c r="BD292" s="24"/>
    </row>
    <row r="293" spans="22:56" ht="15" customHeight="1" x14ac:dyDescent="0.2">
      <c r="V293" s="276"/>
      <c r="Y293" s="276"/>
      <c r="AA293" s="276"/>
      <c r="AC293" s="201" t="str">
        <f t="shared" si="25"/>
        <v/>
      </c>
      <c r="AD293" s="201" t="str">
        <f t="shared" si="26"/>
        <v/>
      </c>
      <c r="AF293" s="134"/>
      <c r="AG293" s="65"/>
      <c r="AH293" s="65"/>
      <c r="AI293" s="65"/>
      <c r="AJ293" s="65"/>
      <c r="AK293" s="65"/>
      <c r="AL293" s="65"/>
      <c r="AM293" s="65"/>
      <c r="AN293" s="65"/>
      <c r="AO293" s="65"/>
      <c r="AP293" s="65"/>
      <c r="AQ293" s="61"/>
      <c r="AR293" s="65"/>
      <c r="AS293" s="65"/>
      <c r="AT293" s="65"/>
      <c r="AU293" s="61"/>
      <c r="AV293" s="61"/>
      <c r="AW293" s="61"/>
      <c r="AX293" s="61"/>
      <c r="AY293" s="61"/>
      <c r="AZ293" s="61"/>
      <c r="BB293" s="61"/>
      <c r="BC293" s="24"/>
      <c r="BD293" s="24"/>
    </row>
    <row r="294" spans="22:56" ht="15" customHeight="1" x14ac:dyDescent="0.2">
      <c r="V294" s="276"/>
      <c r="Y294" s="276"/>
      <c r="AA294" s="276"/>
      <c r="AC294" s="201" t="str">
        <f t="shared" si="25"/>
        <v/>
      </c>
      <c r="AD294" s="201" t="str">
        <f t="shared" si="26"/>
        <v/>
      </c>
      <c r="AF294" s="134"/>
      <c r="AG294" s="65"/>
      <c r="AH294" s="65"/>
      <c r="AI294" s="65"/>
      <c r="AJ294" s="65"/>
      <c r="AK294" s="65"/>
      <c r="AL294" s="65"/>
      <c r="AM294" s="65"/>
      <c r="AN294" s="65"/>
      <c r="AO294" s="65"/>
      <c r="AP294" s="65"/>
      <c r="AQ294" s="61"/>
      <c r="AR294" s="65"/>
      <c r="AS294" s="65"/>
      <c r="AT294" s="65"/>
      <c r="AU294" s="61"/>
      <c r="AV294" s="61"/>
      <c r="AW294" s="61"/>
      <c r="AX294" s="61"/>
      <c r="AY294" s="61"/>
      <c r="AZ294" s="61"/>
      <c r="BB294" s="61"/>
      <c r="BC294" s="24"/>
      <c r="BD294" s="24"/>
    </row>
    <row r="295" spans="22:56" ht="15" customHeight="1" x14ac:dyDescent="0.2">
      <c r="V295" s="276"/>
      <c r="Y295" s="276"/>
      <c r="AA295" s="276"/>
      <c r="AC295" s="201" t="str">
        <f t="shared" si="25"/>
        <v/>
      </c>
      <c r="AD295" s="201" t="str">
        <f t="shared" si="26"/>
        <v/>
      </c>
      <c r="AF295" s="134"/>
      <c r="AG295" s="65"/>
      <c r="AH295" s="65"/>
      <c r="AI295" s="65"/>
      <c r="AJ295" s="65"/>
      <c r="AK295" s="65"/>
      <c r="AL295" s="65"/>
      <c r="AM295" s="65"/>
      <c r="AN295" s="65"/>
      <c r="AO295" s="65"/>
      <c r="AP295" s="65"/>
      <c r="AQ295" s="61"/>
      <c r="AR295" s="65"/>
      <c r="AS295" s="65"/>
      <c r="AT295" s="65"/>
      <c r="AU295" s="61"/>
      <c r="AV295" s="61"/>
      <c r="AW295" s="61"/>
      <c r="AX295" s="61"/>
      <c r="AY295" s="61"/>
      <c r="AZ295" s="61"/>
      <c r="BB295" s="61"/>
      <c r="BC295" s="24"/>
      <c r="BD295" s="24"/>
    </row>
    <row r="296" spans="22:56" ht="15" customHeight="1" x14ac:dyDescent="0.2">
      <c r="V296" s="276"/>
      <c r="Y296" s="276"/>
      <c r="AA296" s="276"/>
      <c r="AC296" s="201" t="str">
        <f t="shared" si="25"/>
        <v/>
      </c>
      <c r="AD296" s="201" t="str">
        <f t="shared" si="26"/>
        <v/>
      </c>
      <c r="AF296" s="134"/>
      <c r="AG296" s="65"/>
      <c r="AH296" s="65"/>
      <c r="AI296" s="65"/>
      <c r="AJ296" s="65"/>
      <c r="AK296" s="65"/>
      <c r="AL296" s="65"/>
      <c r="AM296" s="65"/>
      <c r="AN296" s="65"/>
      <c r="AO296" s="65"/>
      <c r="AP296" s="65"/>
      <c r="AQ296" s="61"/>
      <c r="AR296" s="65"/>
      <c r="AS296" s="65"/>
      <c r="AT296" s="65"/>
      <c r="AU296" s="61"/>
      <c r="AV296" s="61"/>
      <c r="AW296" s="61"/>
      <c r="AX296" s="61"/>
      <c r="AY296" s="61"/>
      <c r="AZ296" s="61"/>
      <c r="BB296" s="61"/>
      <c r="BC296" s="24"/>
      <c r="BD296" s="24"/>
    </row>
    <row r="297" spans="22:56" ht="15" customHeight="1" x14ac:dyDescent="0.2">
      <c r="V297" s="276"/>
      <c r="Y297" s="276"/>
      <c r="AA297" s="276"/>
      <c r="AC297" s="201" t="str">
        <f t="shared" si="25"/>
        <v/>
      </c>
      <c r="AD297" s="201" t="str">
        <f t="shared" si="26"/>
        <v/>
      </c>
      <c r="AF297" s="134"/>
      <c r="AG297" s="65"/>
      <c r="AH297" s="65"/>
      <c r="AI297" s="65"/>
      <c r="AJ297" s="65"/>
      <c r="AK297" s="65"/>
      <c r="AL297" s="65"/>
      <c r="AM297" s="65"/>
      <c r="AN297" s="65"/>
      <c r="AO297" s="65"/>
      <c r="AP297" s="65"/>
      <c r="AQ297" s="61"/>
      <c r="AR297" s="65"/>
      <c r="AS297" s="65"/>
      <c r="AT297" s="65"/>
      <c r="AU297" s="61"/>
      <c r="AV297" s="61"/>
      <c r="AW297" s="61"/>
      <c r="AX297" s="61"/>
      <c r="AY297" s="61"/>
      <c r="AZ297" s="61"/>
      <c r="BB297" s="61"/>
      <c r="BC297" s="24"/>
      <c r="BD297" s="24"/>
    </row>
    <row r="298" spans="22:56" ht="15" customHeight="1" x14ac:dyDescent="0.2">
      <c r="V298" s="276"/>
      <c r="Y298" s="276"/>
      <c r="AA298" s="276"/>
      <c r="AC298" s="201" t="str">
        <f t="shared" si="25"/>
        <v/>
      </c>
      <c r="AD298" s="201" t="str">
        <f t="shared" si="26"/>
        <v/>
      </c>
      <c r="AF298" s="134"/>
      <c r="AG298" s="65"/>
      <c r="AH298" s="65"/>
      <c r="AI298" s="65"/>
      <c r="AJ298" s="65"/>
      <c r="AK298" s="65"/>
      <c r="AL298" s="65"/>
      <c r="AM298" s="65"/>
      <c r="AN298" s="65"/>
      <c r="AO298" s="65"/>
      <c r="AP298" s="65"/>
      <c r="AQ298" s="61"/>
      <c r="AR298" s="65"/>
      <c r="AS298" s="65"/>
      <c r="AT298" s="65"/>
      <c r="AU298" s="61"/>
      <c r="AV298" s="61"/>
      <c r="AW298" s="61"/>
      <c r="AX298" s="61"/>
      <c r="AY298" s="61"/>
      <c r="AZ298" s="61"/>
      <c r="BB298" s="61"/>
      <c r="BC298" s="24"/>
      <c r="BD298" s="24"/>
    </row>
    <row r="299" spans="22:56" ht="15" customHeight="1" x14ac:dyDescent="0.2">
      <c r="V299" s="276"/>
      <c r="Y299" s="276"/>
      <c r="AA299" s="276"/>
      <c r="AC299" s="201" t="str">
        <f t="shared" si="25"/>
        <v/>
      </c>
      <c r="AD299" s="201" t="str">
        <f t="shared" si="26"/>
        <v/>
      </c>
      <c r="AF299" s="134"/>
      <c r="AG299" s="65"/>
      <c r="AH299" s="65"/>
      <c r="AI299" s="65"/>
      <c r="AJ299" s="65"/>
      <c r="AK299" s="65"/>
      <c r="AL299" s="65"/>
      <c r="AM299" s="65"/>
      <c r="AN299" s="65"/>
      <c r="AO299" s="65"/>
      <c r="AP299" s="65"/>
      <c r="AQ299" s="61"/>
      <c r="AR299" s="65"/>
      <c r="AS299" s="65"/>
      <c r="AT299" s="65"/>
      <c r="AU299" s="61"/>
      <c r="AV299" s="61"/>
      <c r="AW299" s="61"/>
      <c r="AX299" s="61"/>
      <c r="AY299" s="61"/>
      <c r="AZ299" s="61"/>
      <c r="BB299" s="61"/>
      <c r="BC299" s="24"/>
      <c r="BD299" s="24"/>
    </row>
    <row r="300" spans="22:56" ht="15" customHeight="1" x14ac:dyDescent="0.2">
      <c r="V300" s="276"/>
      <c r="Y300" s="276"/>
      <c r="AA300" s="276"/>
      <c r="AC300" s="201" t="str">
        <f t="shared" si="25"/>
        <v/>
      </c>
      <c r="AD300" s="201" t="str">
        <f t="shared" si="26"/>
        <v/>
      </c>
      <c r="AF300" s="134"/>
      <c r="AG300" s="65"/>
      <c r="AH300" s="65"/>
      <c r="AI300" s="65"/>
      <c r="AJ300" s="65"/>
      <c r="AK300" s="65"/>
      <c r="AL300" s="65"/>
      <c r="AM300" s="65"/>
      <c r="AN300" s="65"/>
      <c r="AO300" s="65"/>
      <c r="AP300" s="65"/>
      <c r="AQ300" s="61"/>
      <c r="AR300" s="65"/>
      <c r="AS300" s="65"/>
      <c r="AT300" s="65"/>
      <c r="AU300" s="61"/>
      <c r="AV300" s="61"/>
      <c r="AW300" s="61"/>
      <c r="AX300" s="61"/>
      <c r="AY300" s="61"/>
      <c r="AZ300" s="61"/>
      <c r="BB300" s="61"/>
      <c r="BC300" s="24"/>
      <c r="BD300" s="24"/>
    </row>
    <row r="301" spans="22:56" ht="15" customHeight="1" x14ac:dyDescent="0.2">
      <c r="V301" s="276"/>
      <c r="Y301" s="276"/>
      <c r="AA301" s="276"/>
      <c r="AC301" s="201" t="str">
        <f t="shared" si="25"/>
        <v/>
      </c>
      <c r="AD301" s="201" t="str">
        <f t="shared" si="26"/>
        <v/>
      </c>
      <c r="AF301" s="134"/>
      <c r="AG301" s="65"/>
      <c r="AH301" s="65"/>
      <c r="AI301" s="65"/>
      <c r="AJ301" s="65"/>
      <c r="AK301" s="65"/>
      <c r="AL301" s="65"/>
      <c r="AM301" s="65"/>
      <c r="AN301" s="65"/>
      <c r="AO301" s="65"/>
      <c r="AP301" s="65"/>
      <c r="AQ301" s="61"/>
      <c r="AR301" s="65"/>
      <c r="AS301" s="65"/>
      <c r="AT301" s="65"/>
      <c r="AU301" s="61"/>
      <c r="AV301" s="61"/>
      <c r="AW301" s="61"/>
      <c r="AX301" s="61"/>
      <c r="AY301" s="61"/>
      <c r="AZ301" s="61"/>
      <c r="BB301" s="61"/>
      <c r="BC301" s="24"/>
      <c r="BD301" s="24"/>
    </row>
    <row r="302" spans="22:56" ht="15" customHeight="1" x14ac:dyDescent="0.2">
      <c r="V302" s="276"/>
      <c r="Y302" s="276"/>
      <c r="AA302" s="276"/>
      <c r="AC302" s="201" t="str">
        <f t="shared" si="25"/>
        <v/>
      </c>
      <c r="AD302" s="201" t="str">
        <f t="shared" si="26"/>
        <v/>
      </c>
      <c r="AF302" s="134"/>
      <c r="AG302" s="65"/>
      <c r="AH302" s="65"/>
      <c r="AI302" s="65"/>
      <c r="AJ302" s="65"/>
      <c r="AK302" s="65"/>
      <c r="AL302" s="65"/>
      <c r="AM302" s="65"/>
      <c r="AN302" s="65"/>
      <c r="AO302" s="65"/>
      <c r="AP302" s="65"/>
      <c r="AQ302" s="61"/>
      <c r="AR302" s="65"/>
      <c r="AS302" s="65"/>
      <c r="AT302" s="65"/>
      <c r="AU302" s="61"/>
      <c r="AV302" s="61"/>
      <c r="AW302" s="61"/>
      <c r="AX302" s="61"/>
      <c r="AY302" s="61"/>
      <c r="AZ302" s="61"/>
      <c r="BB302" s="61"/>
      <c r="BC302" s="24"/>
      <c r="BD302" s="24"/>
    </row>
    <row r="303" spans="22:56" ht="15" customHeight="1" x14ac:dyDescent="0.2">
      <c r="V303" s="276"/>
      <c r="Y303" s="276"/>
      <c r="AA303" s="276"/>
      <c r="AC303" s="201" t="str">
        <f t="shared" si="25"/>
        <v/>
      </c>
      <c r="AD303" s="201" t="str">
        <f t="shared" si="26"/>
        <v/>
      </c>
      <c r="AF303" s="134"/>
      <c r="AG303" s="65"/>
      <c r="AH303" s="65"/>
      <c r="AI303" s="65"/>
      <c r="AJ303" s="65"/>
      <c r="AK303" s="65"/>
      <c r="AL303" s="65"/>
      <c r="AM303" s="65"/>
      <c r="AN303" s="65"/>
      <c r="AO303" s="65"/>
      <c r="AP303" s="65"/>
      <c r="AQ303" s="61"/>
      <c r="AR303" s="65"/>
      <c r="AS303" s="65"/>
      <c r="AT303" s="65"/>
      <c r="AU303" s="61"/>
      <c r="AV303" s="61"/>
      <c r="AW303" s="61"/>
      <c r="AX303" s="61"/>
      <c r="AY303" s="61"/>
      <c r="AZ303" s="61"/>
      <c r="BB303" s="61"/>
      <c r="BC303" s="24"/>
      <c r="BD303" s="24"/>
    </row>
    <row r="304" spans="22:56" ht="15" customHeight="1" x14ac:dyDescent="0.2">
      <c r="V304" s="276"/>
      <c r="Y304" s="276"/>
      <c r="AA304" s="276"/>
      <c r="AC304" s="201" t="str">
        <f t="shared" si="25"/>
        <v/>
      </c>
      <c r="AD304" s="201" t="str">
        <f t="shared" si="26"/>
        <v/>
      </c>
      <c r="AF304" s="134"/>
      <c r="AG304" s="65"/>
      <c r="AH304" s="65"/>
      <c r="AI304" s="65"/>
      <c r="AJ304" s="65"/>
      <c r="AK304" s="65"/>
      <c r="AL304" s="65"/>
      <c r="AM304" s="65"/>
      <c r="AN304" s="65"/>
      <c r="AO304" s="65"/>
      <c r="AP304" s="65"/>
      <c r="AQ304" s="61"/>
      <c r="AR304" s="65"/>
      <c r="AS304" s="65"/>
      <c r="AT304" s="65"/>
      <c r="AU304" s="61"/>
      <c r="AV304" s="61"/>
      <c r="AW304" s="61"/>
      <c r="AX304" s="61"/>
      <c r="AY304" s="61"/>
      <c r="AZ304" s="61"/>
      <c r="BB304" s="61"/>
      <c r="BC304" s="24"/>
      <c r="BD304" s="24"/>
    </row>
    <row r="305" spans="22:56" ht="15" customHeight="1" x14ac:dyDescent="0.2">
      <c r="V305" s="276"/>
      <c r="Y305" s="276"/>
      <c r="AA305" s="276"/>
      <c r="AC305" s="201" t="str">
        <f t="shared" si="25"/>
        <v/>
      </c>
      <c r="AD305" s="201" t="str">
        <f t="shared" si="26"/>
        <v/>
      </c>
      <c r="AF305" s="134"/>
      <c r="AG305" s="65"/>
      <c r="AH305" s="65"/>
      <c r="AI305" s="65"/>
      <c r="AJ305" s="65"/>
      <c r="AK305" s="65"/>
      <c r="AL305" s="65"/>
      <c r="AM305" s="65"/>
      <c r="AN305" s="65"/>
      <c r="AO305" s="65"/>
      <c r="AP305" s="65"/>
      <c r="AQ305" s="61"/>
      <c r="AR305" s="65"/>
      <c r="AS305" s="65"/>
      <c r="AT305" s="65"/>
      <c r="AU305" s="61"/>
      <c r="AV305" s="61"/>
      <c r="AW305" s="61"/>
      <c r="AX305" s="61"/>
      <c r="AY305" s="61"/>
      <c r="AZ305" s="61"/>
      <c r="BB305" s="61"/>
      <c r="BC305" s="24"/>
      <c r="BD305" s="24"/>
    </row>
    <row r="306" spans="22:56" ht="15" customHeight="1" x14ac:dyDescent="0.2">
      <c r="V306" s="276"/>
      <c r="Y306" s="276"/>
      <c r="AA306" s="276"/>
      <c r="AC306" s="201" t="str">
        <f t="shared" si="25"/>
        <v/>
      </c>
      <c r="AD306" s="201" t="str">
        <f t="shared" si="26"/>
        <v/>
      </c>
      <c r="AF306" s="134"/>
      <c r="AG306" s="65"/>
      <c r="AH306" s="65"/>
      <c r="AI306" s="65"/>
      <c r="AJ306" s="65"/>
      <c r="AK306" s="65"/>
      <c r="AL306" s="65"/>
      <c r="AM306" s="65"/>
      <c r="AN306" s="65"/>
      <c r="AO306" s="65"/>
      <c r="AP306" s="65"/>
      <c r="AQ306" s="61"/>
      <c r="AR306" s="65"/>
      <c r="AS306" s="65"/>
      <c r="AT306" s="65"/>
      <c r="AU306" s="61"/>
      <c r="AV306" s="61"/>
      <c r="AW306" s="61"/>
      <c r="AX306" s="61"/>
      <c r="AY306" s="61"/>
      <c r="AZ306" s="61"/>
      <c r="BB306" s="61"/>
      <c r="BC306" s="24"/>
      <c r="BD306" s="24"/>
    </row>
    <row r="307" spans="22:56" ht="15" customHeight="1" x14ac:dyDescent="0.2">
      <c r="V307" s="276"/>
      <c r="Y307" s="276"/>
      <c r="AA307" s="276"/>
      <c r="AC307" s="201" t="str">
        <f t="shared" si="25"/>
        <v/>
      </c>
      <c r="AD307" s="201" t="str">
        <f t="shared" si="26"/>
        <v/>
      </c>
      <c r="AF307" s="134"/>
      <c r="AG307" s="65"/>
      <c r="AH307" s="65"/>
      <c r="AI307" s="65"/>
      <c r="AJ307" s="65"/>
      <c r="AK307" s="65"/>
      <c r="AL307" s="65"/>
      <c r="AM307" s="65"/>
      <c r="AN307" s="65"/>
      <c r="AO307" s="65"/>
      <c r="AP307" s="65"/>
      <c r="AQ307" s="61"/>
      <c r="AR307" s="65"/>
      <c r="AS307" s="65"/>
      <c r="AT307" s="65"/>
      <c r="AU307" s="61"/>
      <c r="AV307" s="61"/>
      <c r="AW307" s="61"/>
      <c r="AX307" s="61"/>
      <c r="AY307" s="61"/>
      <c r="AZ307" s="61"/>
      <c r="BB307" s="61"/>
      <c r="BC307" s="24"/>
      <c r="BD307" s="24"/>
    </row>
    <row r="308" spans="22:56" ht="15" customHeight="1" x14ac:dyDescent="0.2">
      <c r="V308" s="276"/>
      <c r="Y308" s="276"/>
      <c r="AA308" s="276"/>
      <c r="AC308" s="201" t="str">
        <f t="shared" si="25"/>
        <v/>
      </c>
      <c r="AD308" s="201" t="str">
        <f t="shared" si="26"/>
        <v/>
      </c>
      <c r="AF308" s="134"/>
      <c r="AG308" s="65"/>
      <c r="AH308" s="65"/>
      <c r="AI308" s="65"/>
      <c r="AJ308" s="65"/>
      <c r="AK308" s="65"/>
      <c r="AL308" s="65"/>
      <c r="AM308" s="65"/>
      <c r="AN308" s="65"/>
      <c r="AO308" s="65"/>
      <c r="AP308" s="65"/>
      <c r="AQ308" s="61"/>
      <c r="AR308" s="65"/>
      <c r="AS308" s="65"/>
      <c r="AT308" s="65"/>
      <c r="AU308" s="61"/>
      <c r="AV308" s="61"/>
      <c r="AW308" s="61"/>
      <c r="AX308" s="61"/>
      <c r="AY308" s="61"/>
      <c r="AZ308" s="61"/>
      <c r="BB308" s="61"/>
      <c r="BC308" s="24"/>
      <c r="BD308" s="24"/>
    </row>
    <row r="309" spans="22:56" ht="15" customHeight="1" x14ac:dyDescent="0.2">
      <c r="V309" s="276"/>
      <c r="Y309" s="276"/>
      <c r="AA309" s="276"/>
      <c r="AC309" s="201" t="str">
        <f t="shared" si="25"/>
        <v/>
      </c>
      <c r="AD309" s="201" t="str">
        <f t="shared" si="26"/>
        <v/>
      </c>
      <c r="AF309" s="134"/>
      <c r="AG309" s="65"/>
      <c r="AH309" s="65"/>
      <c r="AI309" s="65"/>
      <c r="AJ309" s="65"/>
      <c r="AK309" s="65"/>
      <c r="AL309" s="65"/>
      <c r="AM309" s="65"/>
      <c r="AN309" s="65"/>
      <c r="AO309" s="65"/>
      <c r="AP309" s="65"/>
      <c r="AQ309" s="61"/>
      <c r="AR309" s="65"/>
      <c r="AS309" s="65"/>
      <c r="AT309" s="65"/>
      <c r="AU309" s="61"/>
      <c r="AV309" s="61"/>
      <c r="AW309" s="61"/>
      <c r="AX309" s="61"/>
      <c r="AY309" s="61"/>
      <c r="AZ309" s="61"/>
      <c r="BB309" s="61"/>
      <c r="BC309" s="24"/>
      <c r="BD309" s="24"/>
    </row>
    <row r="310" spans="22:56" ht="15" customHeight="1" x14ac:dyDescent="0.2">
      <c r="V310" s="276"/>
      <c r="Y310" s="276"/>
      <c r="AA310" s="276"/>
      <c r="AC310" s="201" t="str">
        <f t="shared" si="25"/>
        <v/>
      </c>
      <c r="AD310" s="201" t="str">
        <f t="shared" si="26"/>
        <v/>
      </c>
      <c r="AF310" s="134"/>
      <c r="AG310" s="65"/>
      <c r="AH310" s="65"/>
      <c r="AI310" s="65"/>
      <c r="AJ310" s="65"/>
      <c r="AK310" s="65"/>
      <c r="AL310" s="65"/>
      <c r="AM310" s="65"/>
      <c r="AN310" s="65"/>
      <c r="AO310" s="65"/>
      <c r="AP310" s="65"/>
      <c r="AQ310" s="61"/>
      <c r="AR310" s="65"/>
      <c r="AS310" s="65"/>
      <c r="AT310" s="65"/>
      <c r="AU310" s="61"/>
      <c r="AV310" s="61"/>
      <c r="AW310" s="61"/>
      <c r="AX310" s="61"/>
      <c r="AY310" s="61"/>
      <c r="AZ310" s="61"/>
      <c r="BB310" s="61"/>
      <c r="BC310" s="24"/>
      <c r="BD310" s="24"/>
    </row>
    <row r="311" spans="22:56" ht="15" customHeight="1" x14ac:dyDescent="0.2">
      <c r="V311" s="276"/>
      <c r="Y311" s="276"/>
      <c r="AA311" s="276"/>
      <c r="AC311" s="201" t="str">
        <f t="shared" si="25"/>
        <v/>
      </c>
      <c r="AD311" s="201" t="str">
        <f t="shared" si="26"/>
        <v/>
      </c>
      <c r="AF311" s="134"/>
      <c r="AG311" s="65"/>
      <c r="AH311" s="65"/>
      <c r="AI311" s="65"/>
      <c r="AJ311" s="65"/>
      <c r="AK311" s="65"/>
      <c r="AL311" s="65"/>
      <c r="AM311" s="65"/>
      <c r="AN311" s="65"/>
      <c r="AO311" s="65"/>
      <c r="AP311" s="65"/>
      <c r="AQ311" s="61"/>
      <c r="AR311" s="65"/>
      <c r="AS311" s="65"/>
      <c r="AT311" s="65"/>
      <c r="AU311" s="61"/>
      <c r="AV311" s="61"/>
      <c r="AW311" s="61"/>
      <c r="AX311" s="61"/>
      <c r="AY311" s="61"/>
      <c r="AZ311" s="61"/>
      <c r="BB311" s="61"/>
      <c r="BC311" s="24"/>
      <c r="BD311" s="24"/>
    </row>
    <row r="312" spans="22:56" ht="15" customHeight="1" x14ac:dyDescent="0.2">
      <c r="V312" s="276"/>
      <c r="Y312" s="276"/>
      <c r="AA312" s="276"/>
      <c r="AC312" s="201" t="str">
        <f t="shared" si="25"/>
        <v/>
      </c>
      <c r="AD312" s="201" t="str">
        <f t="shared" si="26"/>
        <v/>
      </c>
      <c r="AF312" s="134"/>
      <c r="AG312" s="65"/>
      <c r="AH312" s="65"/>
      <c r="AI312" s="65"/>
      <c r="AJ312" s="65"/>
      <c r="AK312" s="65"/>
      <c r="AL312" s="65"/>
      <c r="AM312" s="65"/>
      <c r="AN312" s="65"/>
      <c r="AO312" s="65"/>
      <c r="AP312" s="65"/>
      <c r="AQ312" s="61"/>
      <c r="AR312" s="65"/>
      <c r="AS312" s="65"/>
      <c r="AT312" s="65"/>
      <c r="AU312" s="61"/>
      <c r="AV312" s="61"/>
      <c r="AW312" s="61"/>
      <c r="AX312" s="61"/>
      <c r="AY312" s="61"/>
      <c r="AZ312" s="61"/>
      <c r="BB312" s="61"/>
      <c r="BC312" s="24"/>
      <c r="BD312" s="24"/>
    </row>
    <row r="313" spans="22:56" ht="15" customHeight="1" x14ac:dyDescent="0.2">
      <c r="V313" s="276"/>
      <c r="Y313" s="276"/>
      <c r="AA313" s="276"/>
      <c r="AC313" s="201" t="str">
        <f t="shared" si="25"/>
        <v/>
      </c>
      <c r="AD313" s="201" t="str">
        <f t="shared" si="26"/>
        <v/>
      </c>
      <c r="AF313" s="134"/>
      <c r="AG313" s="65"/>
      <c r="AH313" s="65"/>
      <c r="AI313" s="65"/>
      <c r="AJ313" s="65"/>
      <c r="AK313" s="65"/>
      <c r="AL313" s="65"/>
      <c r="AM313" s="65"/>
      <c r="AN313" s="65"/>
      <c r="AO313" s="65"/>
      <c r="AP313" s="65"/>
      <c r="AQ313" s="61"/>
      <c r="AR313" s="65"/>
      <c r="AS313" s="65"/>
      <c r="AT313" s="65"/>
      <c r="AU313" s="61"/>
      <c r="AV313" s="61"/>
      <c r="AW313" s="61"/>
      <c r="AX313" s="61"/>
      <c r="AY313" s="61"/>
      <c r="AZ313" s="61"/>
      <c r="BB313" s="61"/>
      <c r="BC313" s="24"/>
      <c r="BD313" s="24"/>
    </row>
    <row r="314" spans="22:56" ht="15" customHeight="1" x14ac:dyDescent="0.2">
      <c r="V314" s="276"/>
      <c r="Y314" s="276"/>
      <c r="AA314" s="276"/>
      <c r="AC314" s="201" t="str">
        <f t="shared" si="25"/>
        <v/>
      </c>
      <c r="AD314" s="201" t="str">
        <f t="shared" si="26"/>
        <v/>
      </c>
      <c r="AF314" s="134"/>
      <c r="AG314" s="65"/>
      <c r="AH314" s="65"/>
      <c r="AI314" s="65"/>
      <c r="AJ314" s="65"/>
      <c r="AK314" s="65"/>
      <c r="AL314" s="65"/>
      <c r="AM314" s="65"/>
      <c r="AN314" s="65"/>
      <c r="AO314" s="65"/>
      <c r="AP314" s="65"/>
      <c r="AQ314" s="61"/>
      <c r="AR314" s="65"/>
      <c r="AS314" s="65"/>
      <c r="AT314" s="65"/>
      <c r="AU314" s="61"/>
      <c r="AV314" s="61"/>
      <c r="AW314" s="61"/>
      <c r="AX314" s="61"/>
      <c r="AY314" s="61"/>
      <c r="AZ314" s="61"/>
      <c r="BB314" s="61"/>
      <c r="BC314" s="24"/>
      <c r="BD314" s="24"/>
    </row>
    <row r="315" spans="22:56" ht="15" customHeight="1" x14ac:dyDescent="0.2">
      <c r="V315" s="276"/>
      <c r="Y315" s="276"/>
      <c r="AA315" s="276"/>
      <c r="AC315" s="201" t="str">
        <f t="shared" si="25"/>
        <v/>
      </c>
      <c r="AD315" s="201" t="str">
        <f t="shared" si="26"/>
        <v/>
      </c>
      <c r="AF315" s="134"/>
      <c r="AG315" s="65"/>
      <c r="AH315" s="65"/>
      <c r="AI315" s="65"/>
      <c r="AJ315" s="65"/>
      <c r="AK315" s="65"/>
      <c r="AL315" s="65"/>
      <c r="AM315" s="65"/>
      <c r="AN315" s="65"/>
      <c r="AO315" s="65"/>
      <c r="AP315" s="65"/>
      <c r="AQ315" s="61"/>
      <c r="AR315" s="65"/>
      <c r="AS315" s="65"/>
      <c r="AT315" s="65"/>
      <c r="AU315" s="61"/>
      <c r="AV315" s="61"/>
      <c r="AW315" s="61"/>
      <c r="AX315" s="61"/>
      <c r="AY315" s="61"/>
      <c r="AZ315" s="61"/>
      <c r="BB315" s="61"/>
      <c r="BC315" s="24"/>
      <c r="BD315" s="24"/>
    </row>
    <row r="316" spans="22:56" ht="15" customHeight="1" x14ac:dyDescent="0.2">
      <c r="V316" s="276"/>
      <c r="Y316" s="276"/>
      <c r="AA316" s="276"/>
      <c r="AC316" s="201" t="str">
        <f t="shared" si="25"/>
        <v/>
      </c>
      <c r="AD316" s="201" t="str">
        <f t="shared" si="26"/>
        <v/>
      </c>
      <c r="AF316" s="134"/>
      <c r="AG316" s="65"/>
      <c r="AH316" s="65"/>
      <c r="AI316" s="65"/>
      <c r="AJ316" s="65"/>
      <c r="AK316" s="65"/>
      <c r="AL316" s="65"/>
      <c r="AM316" s="65"/>
      <c r="AN316" s="65"/>
      <c r="AO316" s="65"/>
      <c r="AP316" s="65"/>
      <c r="AQ316" s="61"/>
      <c r="AR316" s="65"/>
      <c r="AS316" s="65"/>
      <c r="AT316" s="65"/>
      <c r="AU316" s="61"/>
      <c r="AV316" s="61"/>
      <c r="AW316" s="61"/>
      <c r="AX316" s="61"/>
      <c r="AY316" s="61"/>
      <c r="AZ316" s="61"/>
      <c r="BB316" s="61"/>
      <c r="BC316" s="24"/>
      <c r="BD316" s="24"/>
    </row>
    <row r="317" spans="22:56" ht="15" customHeight="1" x14ac:dyDescent="0.2">
      <c r="V317" s="276"/>
      <c r="Y317" s="276"/>
      <c r="AA317" s="276"/>
      <c r="AC317" s="201" t="str">
        <f t="shared" si="25"/>
        <v/>
      </c>
      <c r="AD317" s="201" t="str">
        <f t="shared" si="26"/>
        <v/>
      </c>
      <c r="AF317" s="134"/>
      <c r="AG317" s="65"/>
      <c r="AH317" s="65"/>
      <c r="AI317" s="65"/>
      <c r="AJ317" s="65"/>
      <c r="AK317" s="65"/>
      <c r="AL317" s="65"/>
      <c r="AM317" s="65"/>
      <c r="AN317" s="65"/>
      <c r="AO317" s="65"/>
      <c r="AP317" s="65"/>
      <c r="AQ317" s="61"/>
      <c r="AR317" s="65"/>
      <c r="AS317" s="65"/>
      <c r="AT317" s="65"/>
      <c r="AU317" s="61"/>
      <c r="AV317" s="61"/>
      <c r="AW317" s="61"/>
      <c r="AX317" s="61"/>
      <c r="AY317" s="61"/>
      <c r="AZ317" s="61"/>
      <c r="BB317" s="61"/>
      <c r="BC317" s="24"/>
      <c r="BD317" s="24"/>
    </row>
    <row r="318" spans="22:56" ht="15" customHeight="1" x14ac:dyDescent="0.2">
      <c r="V318" s="276"/>
      <c r="Y318" s="276"/>
      <c r="AA318" s="276"/>
      <c r="AC318" s="201" t="str">
        <f t="shared" si="25"/>
        <v/>
      </c>
      <c r="AD318" s="201" t="str">
        <f t="shared" si="26"/>
        <v/>
      </c>
      <c r="AF318" s="134"/>
      <c r="AG318" s="65"/>
      <c r="AH318" s="65"/>
      <c r="AI318" s="65"/>
      <c r="AJ318" s="65"/>
      <c r="AK318" s="65"/>
      <c r="AL318" s="65"/>
      <c r="AM318" s="65"/>
      <c r="AN318" s="65"/>
      <c r="AO318" s="65"/>
      <c r="AP318" s="65"/>
      <c r="AQ318" s="61"/>
      <c r="AR318" s="65"/>
      <c r="AS318" s="65"/>
      <c r="AT318" s="65"/>
      <c r="AU318" s="61"/>
      <c r="AV318" s="61"/>
      <c r="AW318" s="61"/>
      <c r="AX318" s="61"/>
      <c r="AY318" s="61"/>
      <c r="AZ318" s="61"/>
      <c r="BB318" s="61"/>
      <c r="BC318" s="24"/>
      <c r="BD318" s="24"/>
    </row>
    <row r="319" spans="22:56" ht="15" customHeight="1" x14ac:dyDescent="0.2">
      <c r="V319" s="276"/>
      <c r="Y319" s="276"/>
      <c r="AA319" s="276"/>
      <c r="AC319" s="201" t="str">
        <f t="shared" si="25"/>
        <v/>
      </c>
      <c r="AD319" s="201" t="str">
        <f t="shared" si="26"/>
        <v/>
      </c>
      <c r="AF319" s="134"/>
      <c r="AG319" s="65"/>
      <c r="AH319" s="65"/>
      <c r="AI319" s="65"/>
      <c r="AJ319" s="65"/>
      <c r="AK319" s="65"/>
      <c r="AL319" s="65"/>
      <c r="AM319" s="65"/>
      <c r="AN319" s="65"/>
      <c r="AO319" s="65"/>
      <c r="AP319" s="65"/>
      <c r="AQ319" s="61"/>
      <c r="AR319" s="65"/>
      <c r="AS319" s="65"/>
      <c r="AT319" s="65"/>
      <c r="AU319" s="61"/>
      <c r="AV319" s="61"/>
      <c r="AW319" s="61"/>
      <c r="AX319" s="61"/>
      <c r="AY319" s="61"/>
      <c r="AZ319" s="61"/>
      <c r="BB319" s="61"/>
      <c r="BC319" s="24"/>
      <c r="BD319" s="24"/>
    </row>
    <row r="320" spans="22:56" ht="15" customHeight="1" x14ac:dyDescent="0.2">
      <c r="V320" s="276"/>
      <c r="Y320" s="276"/>
      <c r="AA320" s="276"/>
      <c r="AC320" s="201" t="str">
        <f t="shared" si="25"/>
        <v/>
      </c>
      <c r="AD320" s="201" t="str">
        <f t="shared" si="26"/>
        <v/>
      </c>
      <c r="AF320" s="134"/>
      <c r="AG320" s="65"/>
      <c r="AH320" s="65"/>
      <c r="AI320" s="65"/>
      <c r="AJ320" s="65"/>
      <c r="AK320" s="65"/>
      <c r="AL320" s="65"/>
      <c r="AM320" s="65"/>
      <c r="AN320" s="65"/>
      <c r="AO320" s="65"/>
      <c r="AP320" s="65"/>
      <c r="AQ320" s="61"/>
      <c r="AR320" s="65"/>
      <c r="AS320" s="65"/>
      <c r="AT320" s="65"/>
      <c r="AU320" s="61"/>
      <c r="AV320" s="61"/>
      <c r="AW320" s="61"/>
      <c r="AX320" s="61"/>
      <c r="AY320" s="61"/>
      <c r="AZ320" s="61"/>
      <c r="BB320" s="61"/>
      <c r="BC320" s="24"/>
      <c r="BD320" s="24"/>
    </row>
    <row r="321" spans="22:56" ht="15" customHeight="1" x14ac:dyDescent="0.2">
      <c r="V321" s="276"/>
      <c r="Y321" s="276"/>
      <c r="AA321" s="276"/>
      <c r="AC321" s="201" t="str">
        <f t="shared" si="25"/>
        <v/>
      </c>
      <c r="AD321" s="201" t="str">
        <f t="shared" si="26"/>
        <v/>
      </c>
      <c r="AF321" s="134"/>
      <c r="AG321" s="65"/>
      <c r="AH321" s="65"/>
      <c r="AI321" s="65"/>
      <c r="AJ321" s="65"/>
      <c r="AK321" s="65"/>
      <c r="AL321" s="65"/>
      <c r="AM321" s="65"/>
      <c r="AN321" s="65"/>
      <c r="AO321" s="65"/>
      <c r="AP321" s="65"/>
      <c r="AQ321" s="61"/>
      <c r="AR321" s="65"/>
      <c r="AS321" s="65"/>
      <c r="AT321" s="65"/>
      <c r="AU321" s="61"/>
      <c r="AV321" s="61"/>
      <c r="AW321" s="61"/>
      <c r="AX321" s="61"/>
      <c r="AY321" s="61"/>
      <c r="AZ321" s="61"/>
      <c r="BB321" s="61"/>
      <c r="BC321" s="24"/>
      <c r="BD321" s="24"/>
    </row>
    <row r="322" spans="22:56" ht="15" customHeight="1" x14ac:dyDescent="0.2">
      <c r="V322" s="276"/>
      <c r="Y322" s="276"/>
      <c r="AA322" s="276"/>
      <c r="AC322" s="201" t="str">
        <f t="shared" ref="AC322:AC385" si="27">IF(Q322="","",SQRT(($R322-$AT$68)^2+($S322-$AU$68)^2))</f>
        <v/>
      </c>
      <c r="AD322" s="201" t="str">
        <f t="shared" ref="AD322:AD385" si="28">IF(Q322="","",SQRT(($R322-$AR$68)^2+($S322-$AS$68)^2))</f>
        <v/>
      </c>
      <c r="AF322" s="134"/>
      <c r="AG322" s="65"/>
      <c r="AH322" s="65"/>
      <c r="AI322" s="65"/>
      <c r="AJ322" s="65"/>
      <c r="AK322" s="65"/>
      <c r="AL322" s="65"/>
      <c r="AM322" s="65"/>
      <c r="AN322" s="65"/>
      <c r="AO322" s="65"/>
      <c r="AP322" s="65"/>
      <c r="AQ322" s="61"/>
      <c r="AR322" s="65"/>
      <c r="AS322" s="65"/>
      <c r="AT322" s="65"/>
      <c r="AU322" s="61"/>
      <c r="AV322" s="61"/>
      <c r="AW322" s="61"/>
      <c r="AX322" s="61"/>
      <c r="AY322" s="61"/>
      <c r="AZ322" s="61"/>
      <c r="BB322" s="61"/>
      <c r="BC322" s="24"/>
      <c r="BD322" s="24"/>
    </row>
    <row r="323" spans="22:56" ht="15" customHeight="1" x14ac:dyDescent="0.2">
      <c r="V323" s="276"/>
      <c r="Y323" s="276"/>
      <c r="AA323" s="276"/>
      <c r="AC323" s="201" t="str">
        <f t="shared" si="27"/>
        <v/>
      </c>
      <c r="AD323" s="201" t="str">
        <f t="shared" si="28"/>
        <v/>
      </c>
      <c r="AF323" s="134"/>
      <c r="AG323" s="65"/>
      <c r="AH323" s="65"/>
      <c r="AI323" s="65"/>
      <c r="AJ323" s="65"/>
      <c r="AK323" s="65"/>
      <c r="AL323" s="65"/>
      <c r="AM323" s="65"/>
      <c r="AN323" s="65"/>
      <c r="AO323" s="65"/>
      <c r="AP323" s="65"/>
      <c r="AQ323" s="61"/>
      <c r="AR323" s="65"/>
      <c r="AS323" s="65"/>
      <c r="AT323" s="65"/>
      <c r="AU323" s="61"/>
      <c r="AV323" s="61"/>
      <c r="AW323" s="61"/>
      <c r="AX323" s="61"/>
      <c r="AY323" s="61"/>
      <c r="AZ323" s="61"/>
      <c r="BB323" s="61"/>
      <c r="BC323" s="24"/>
      <c r="BD323" s="24"/>
    </row>
    <row r="324" spans="22:56" ht="15" customHeight="1" x14ac:dyDescent="0.2">
      <c r="V324" s="276"/>
      <c r="Y324" s="276"/>
      <c r="AA324" s="276"/>
      <c r="AC324" s="201" t="str">
        <f t="shared" si="27"/>
        <v/>
      </c>
      <c r="AD324" s="201" t="str">
        <f t="shared" si="28"/>
        <v/>
      </c>
      <c r="AF324" s="134"/>
      <c r="AG324" s="65"/>
      <c r="AH324" s="65"/>
      <c r="AI324" s="65"/>
      <c r="AJ324" s="65"/>
      <c r="AK324" s="65"/>
      <c r="AL324" s="65"/>
      <c r="AM324" s="65"/>
      <c r="AN324" s="65"/>
      <c r="AO324" s="65"/>
      <c r="AP324" s="65"/>
      <c r="AQ324" s="61"/>
      <c r="AR324" s="65"/>
      <c r="AS324" s="65"/>
      <c r="AT324" s="65"/>
      <c r="AU324" s="61"/>
      <c r="AV324" s="61"/>
      <c r="AW324" s="61"/>
      <c r="AX324" s="61"/>
      <c r="AY324" s="61"/>
      <c r="AZ324" s="61"/>
      <c r="BB324" s="61"/>
      <c r="BC324" s="24"/>
      <c r="BD324" s="24"/>
    </row>
    <row r="325" spans="22:56" ht="15" customHeight="1" x14ac:dyDescent="0.2">
      <c r="V325" s="276"/>
      <c r="Y325" s="276"/>
      <c r="AA325" s="276"/>
      <c r="AC325" s="201" t="str">
        <f t="shared" si="27"/>
        <v/>
      </c>
      <c r="AD325" s="201" t="str">
        <f t="shared" si="28"/>
        <v/>
      </c>
      <c r="AF325" s="134"/>
      <c r="AG325" s="65"/>
      <c r="AH325" s="65"/>
      <c r="AI325" s="65"/>
      <c r="AJ325" s="65"/>
      <c r="AK325" s="65"/>
      <c r="AL325" s="65"/>
      <c r="AM325" s="65"/>
      <c r="AN325" s="65"/>
      <c r="AO325" s="65"/>
      <c r="AP325" s="65"/>
      <c r="AQ325" s="61"/>
      <c r="AR325" s="65"/>
      <c r="AS325" s="65"/>
      <c r="AT325" s="65"/>
      <c r="AU325" s="61"/>
      <c r="AV325" s="61"/>
      <c r="AW325" s="61"/>
      <c r="AX325" s="61"/>
      <c r="AY325" s="61"/>
      <c r="AZ325" s="61"/>
      <c r="BB325" s="61"/>
      <c r="BC325" s="24"/>
      <c r="BD325" s="24"/>
    </row>
    <row r="326" spans="22:56" ht="15" customHeight="1" x14ac:dyDescent="0.2">
      <c r="V326" s="276"/>
      <c r="Y326" s="276"/>
      <c r="AA326" s="276"/>
      <c r="AC326" s="201" t="str">
        <f t="shared" si="27"/>
        <v/>
      </c>
      <c r="AD326" s="201" t="str">
        <f t="shared" si="28"/>
        <v/>
      </c>
      <c r="AF326" s="134"/>
      <c r="AG326" s="65"/>
      <c r="AH326" s="65"/>
      <c r="AI326" s="65"/>
      <c r="AJ326" s="65"/>
      <c r="AK326" s="65"/>
      <c r="AL326" s="65"/>
      <c r="AM326" s="65"/>
      <c r="AN326" s="65"/>
      <c r="AO326" s="65"/>
      <c r="AP326" s="65"/>
      <c r="AQ326" s="61"/>
      <c r="AR326" s="65"/>
      <c r="AS326" s="65"/>
      <c r="AT326" s="65"/>
      <c r="AU326" s="61"/>
      <c r="AV326" s="61"/>
      <c r="AW326" s="61"/>
      <c r="AX326" s="61"/>
      <c r="AY326" s="61"/>
      <c r="AZ326" s="61"/>
      <c r="BB326" s="61"/>
      <c r="BC326" s="24"/>
      <c r="BD326" s="24"/>
    </row>
    <row r="327" spans="22:56" ht="15" customHeight="1" x14ac:dyDescent="0.2">
      <c r="V327" s="276"/>
      <c r="Y327" s="276"/>
      <c r="AA327" s="276"/>
      <c r="AC327" s="201" t="str">
        <f t="shared" si="27"/>
        <v/>
      </c>
      <c r="AD327" s="201" t="str">
        <f t="shared" si="28"/>
        <v/>
      </c>
      <c r="AF327" s="134"/>
      <c r="AG327" s="65"/>
      <c r="AH327" s="65"/>
      <c r="AI327" s="65"/>
      <c r="AJ327" s="65"/>
      <c r="AK327" s="65"/>
      <c r="AL327" s="65"/>
      <c r="AM327" s="65"/>
      <c r="AN327" s="65"/>
      <c r="AO327" s="65"/>
      <c r="AP327" s="65"/>
      <c r="AQ327" s="61"/>
      <c r="AR327" s="65"/>
      <c r="AS327" s="65"/>
      <c r="AT327" s="65"/>
      <c r="AU327" s="61"/>
      <c r="AV327" s="61"/>
      <c r="AW327" s="61"/>
      <c r="AX327" s="61"/>
      <c r="AY327" s="61"/>
      <c r="AZ327" s="61"/>
      <c r="BB327" s="61"/>
      <c r="BC327" s="24"/>
      <c r="BD327" s="24"/>
    </row>
    <row r="328" spans="22:56" ht="15" customHeight="1" x14ac:dyDescent="0.2">
      <c r="V328" s="276"/>
      <c r="Y328" s="276"/>
      <c r="AA328" s="276"/>
      <c r="AC328" s="201" t="str">
        <f t="shared" si="27"/>
        <v/>
      </c>
      <c r="AD328" s="201" t="str">
        <f t="shared" si="28"/>
        <v/>
      </c>
      <c r="AF328" s="134"/>
      <c r="AG328" s="65"/>
      <c r="AH328" s="65"/>
      <c r="AI328" s="65"/>
      <c r="AJ328" s="65"/>
      <c r="AK328" s="65"/>
      <c r="AL328" s="65"/>
      <c r="AM328" s="65"/>
      <c r="AN328" s="65"/>
      <c r="AO328" s="65"/>
      <c r="AP328" s="65"/>
      <c r="AQ328" s="61"/>
      <c r="AR328" s="65"/>
      <c r="AS328" s="65"/>
      <c r="AT328" s="65"/>
      <c r="AU328" s="61"/>
      <c r="AV328" s="61"/>
      <c r="AW328" s="61"/>
      <c r="AX328" s="61"/>
      <c r="AY328" s="61"/>
      <c r="AZ328" s="61"/>
      <c r="BB328" s="61"/>
      <c r="BC328" s="24"/>
      <c r="BD328" s="24"/>
    </row>
    <row r="329" spans="22:56" ht="15" customHeight="1" x14ac:dyDescent="0.2">
      <c r="V329" s="276"/>
      <c r="Y329" s="276"/>
      <c r="AA329" s="276"/>
      <c r="AC329" s="201" t="str">
        <f t="shared" si="27"/>
        <v/>
      </c>
      <c r="AD329" s="201" t="str">
        <f t="shared" si="28"/>
        <v/>
      </c>
      <c r="AF329" s="134"/>
      <c r="AG329" s="65"/>
      <c r="AH329" s="65"/>
      <c r="AI329" s="65"/>
      <c r="AJ329" s="65"/>
      <c r="AK329" s="65"/>
      <c r="AL329" s="65"/>
      <c r="AM329" s="65"/>
      <c r="AN329" s="65"/>
      <c r="AO329" s="65"/>
      <c r="AP329" s="65"/>
      <c r="AQ329" s="61"/>
      <c r="AR329" s="65"/>
      <c r="AS329" s="65"/>
      <c r="AT329" s="65"/>
      <c r="AU329" s="61"/>
      <c r="AV329" s="61"/>
      <c r="AW329" s="61"/>
      <c r="AX329" s="61"/>
      <c r="AY329" s="61"/>
      <c r="AZ329" s="61"/>
      <c r="BB329" s="61"/>
      <c r="BC329" s="24"/>
      <c r="BD329" s="24"/>
    </row>
    <row r="330" spans="22:56" ht="15" customHeight="1" x14ac:dyDescent="0.2">
      <c r="V330" s="276"/>
      <c r="Y330" s="276"/>
      <c r="AA330" s="276"/>
      <c r="AC330" s="201" t="str">
        <f t="shared" si="27"/>
        <v/>
      </c>
      <c r="AD330" s="201" t="str">
        <f t="shared" si="28"/>
        <v/>
      </c>
      <c r="AF330" s="134"/>
      <c r="AG330" s="65"/>
      <c r="AH330" s="65"/>
      <c r="AI330" s="65"/>
      <c r="AJ330" s="65"/>
      <c r="AK330" s="65"/>
      <c r="AL330" s="65"/>
      <c r="AM330" s="65"/>
      <c r="AN330" s="65"/>
      <c r="AO330" s="65"/>
      <c r="AP330" s="65"/>
      <c r="AQ330" s="61"/>
      <c r="AR330" s="65"/>
      <c r="AS330" s="65"/>
      <c r="AT330" s="65"/>
      <c r="AU330" s="61"/>
      <c r="AV330" s="61"/>
      <c r="AW330" s="61"/>
      <c r="AX330" s="61"/>
      <c r="AY330" s="61"/>
      <c r="AZ330" s="61"/>
      <c r="BB330" s="61"/>
      <c r="BC330" s="24"/>
      <c r="BD330" s="24"/>
    </row>
    <row r="331" spans="22:56" ht="15" customHeight="1" x14ac:dyDescent="0.2">
      <c r="V331" s="276"/>
      <c r="Y331" s="276"/>
      <c r="AA331" s="276"/>
      <c r="AC331" s="201" t="str">
        <f t="shared" si="27"/>
        <v/>
      </c>
      <c r="AD331" s="201" t="str">
        <f t="shared" si="28"/>
        <v/>
      </c>
      <c r="AF331" s="134"/>
      <c r="AG331" s="65"/>
      <c r="AH331" s="65"/>
      <c r="AI331" s="65"/>
      <c r="AJ331" s="65"/>
      <c r="AK331" s="65"/>
      <c r="AL331" s="65"/>
      <c r="AM331" s="65"/>
      <c r="AN331" s="65"/>
      <c r="AO331" s="65"/>
      <c r="AP331" s="65"/>
      <c r="AQ331" s="61"/>
      <c r="AR331" s="65"/>
      <c r="AS331" s="65"/>
      <c r="AT331" s="65"/>
      <c r="AU331" s="61"/>
      <c r="AV331" s="61"/>
      <c r="AW331" s="61"/>
      <c r="AX331" s="61"/>
      <c r="AY331" s="61"/>
      <c r="AZ331" s="61"/>
      <c r="BB331" s="61"/>
      <c r="BC331" s="24"/>
      <c r="BD331" s="24"/>
    </row>
    <row r="332" spans="22:56" ht="15" customHeight="1" x14ac:dyDescent="0.2">
      <c r="V332" s="276"/>
      <c r="Y332" s="276"/>
      <c r="AA332" s="276"/>
      <c r="AC332" s="201" t="str">
        <f t="shared" si="27"/>
        <v/>
      </c>
      <c r="AD332" s="201" t="str">
        <f t="shared" si="28"/>
        <v/>
      </c>
      <c r="AF332" s="134"/>
      <c r="AG332" s="65"/>
      <c r="AH332" s="65"/>
      <c r="AI332" s="65"/>
      <c r="AJ332" s="65"/>
      <c r="AK332" s="65"/>
      <c r="AL332" s="65"/>
      <c r="AM332" s="65"/>
      <c r="AN332" s="65"/>
      <c r="AO332" s="65"/>
      <c r="AP332" s="65"/>
      <c r="AQ332" s="61"/>
      <c r="AR332" s="65"/>
      <c r="AS332" s="65"/>
      <c r="AT332" s="65"/>
      <c r="AU332" s="61"/>
      <c r="AV332" s="61"/>
      <c r="AW332" s="61"/>
      <c r="AX332" s="61"/>
      <c r="AY332" s="61"/>
      <c r="AZ332" s="61"/>
      <c r="BB332" s="61"/>
      <c r="BC332" s="24"/>
      <c r="BD332" s="24"/>
    </row>
    <row r="333" spans="22:56" ht="15" customHeight="1" x14ac:dyDescent="0.2">
      <c r="V333" s="276"/>
      <c r="Y333" s="276"/>
      <c r="AA333" s="276"/>
      <c r="AC333" s="201" t="str">
        <f t="shared" si="27"/>
        <v/>
      </c>
      <c r="AD333" s="201" t="str">
        <f t="shared" si="28"/>
        <v/>
      </c>
      <c r="AF333" s="134"/>
      <c r="AG333" s="65"/>
      <c r="AH333" s="65"/>
      <c r="AI333" s="65"/>
      <c r="AJ333" s="65"/>
      <c r="AK333" s="65"/>
      <c r="AL333" s="65"/>
      <c r="AM333" s="65"/>
      <c r="AN333" s="65"/>
      <c r="AO333" s="65"/>
      <c r="AP333" s="65"/>
      <c r="AQ333" s="61"/>
      <c r="AR333" s="65"/>
      <c r="AS333" s="65"/>
      <c r="AT333" s="65"/>
      <c r="AU333" s="61"/>
      <c r="AV333" s="61"/>
      <c r="AW333" s="61"/>
      <c r="AX333" s="61"/>
      <c r="AY333" s="61"/>
      <c r="AZ333" s="61"/>
      <c r="BB333" s="61"/>
      <c r="BC333" s="24"/>
      <c r="BD333" s="24"/>
    </row>
    <row r="334" spans="22:56" ht="15" customHeight="1" x14ac:dyDescent="0.2">
      <c r="V334" s="276"/>
      <c r="Y334" s="276"/>
      <c r="AA334" s="276"/>
      <c r="AC334" s="201" t="str">
        <f t="shared" si="27"/>
        <v/>
      </c>
      <c r="AD334" s="201" t="str">
        <f t="shared" si="28"/>
        <v/>
      </c>
      <c r="AF334" s="134"/>
      <c r="AG334" s="65"/>
      <c r="AH334" s="65"/>
      <c r="AI334" s="65"/>
      <c r="AJ334" s="65"/>
      <c r="AK334" s="65"/>
      <c r="AL334" s="65"/>
      <c r="AM334" s="65"/>
      <c r="AN334" s="65"/>
      <c r="AO334" s="65"/>
      <c r="AP334" s="65"/>
      <c r="AQ334" s="61"/>
      <c r="AR334" s="65"/>
      <c r="AS334" s="65"/>
      <c r="AT334" s="65"/>
      <c r="AU334" s="61"/>
      <c r="AV334" s="61"/>
      <c r="AW334" s="61"/>
      <c r="AX334" s="61"/>
      <c r="AY334" s="61"/>
      <c r="AZ334" s="61"/>
      <c r="BB334" s="61"/>
      <c r="BC334" s="24"/>
      <c r="BD334" s="24"/>
    </row>
    <row r="335" spans="22:56" ht="15" customHeight="1" x14ac:dyDescent="0.2">
      <c r="V335" s="276"/>
      <c r="Y335" s="276"/>
      <c r="AA335" s="276"/>
      <c r="AC335" s="201" t="str">
        <f t="shared" si="27"/>
        <v/>
      </c>
      <c r="AD335" s="201" t="str">
        <f t="shared" si="28"/>
        <v/>
      </c>
      <c r="AF335" s="134"/>
      <c r="AG335" s="65"/>
      <c r="AH335" s="65"/>
      <c r="AI335" s="65"/>
      <c r="AJ335" s="65"/>
      <c r="AK335" s="65"/>
      <c r="AL335" s="65"/>
      <c r="AM335" s="65"/>
      <c r="AN335" s="65"/>
      <c r="AO335" s="65"/>
      <c r="AP335" s="65"/>
      <c r="AQ335" s="61"/>
      <c r="AR335" s="65"/>
      <c r="AS335" s="65"/>
      <c r="AT335" s="65"/>
      <c r="AU335" s="61"/>
      <c r="AV335" s="61"/>
      <c r="AW335" s="61"/>
      <c r="AX335" s="61"/>
      <c r="AY335" s="61"/>
      <c r="AZ335" s="61"/>
      <c r="BB335" s="61"/>
      <c r="BC335" s="24"/>
      <c r="BD335" s="24"/>
    </row>
    <row r="336" spans="22:56" ht="15" customHeight="1" x14ac:dyDescent="0.2">
      <c r="V336" s="276"/>
      <c r="Y336" s="276"/>
      <c r="AA336" s="276"/>
      <c r="AC336" s="201" t="str">
        <f t="shared" si="27"/>
        <v/>
      </c>
      <c r="AD336" s="201" t="str">
        <f t="shared" si="28"/>
        <v/>
      </c>
      <c r="AF336" s="134"/>
      <c r="AG336" s="65"/>
      <c r="AH336" s="65"/>
      <c r="AI336" s="65"/>
      <c r="AJ336" s="65"/>
      <c r="AK336" s="65"/>
      <c r="AL336" s="65"/>
      <c r="AM336" s="65"/>
      <c r="AN336" s="65"/>
      <c r="AO336" s="65"/>
      <c r="AP336" s="65"/>
      <c r="AQ336" s="61"/>
      <c r="AR336" s="65"/>
      <c r="AS336" s="65"/>
      <c r="AT336" s="65"/>
      <c r="AU336" s="61"/>
      <c r="AV336" s="61"/>
      <c r="AW336" s="61"/>
      <c r="AX336" s="61"/>
      <c r="AY336" s="61"/>
      <c r="AZ336" s="61"/>
      <c r="BB336" s="61"/>
      <c r="BC336" s="24"/>
      <c r="BD336" s="24"/>
    </row>
    <row r="337" spans="22:56" ht="15" customHeight="1" x14ac:dyDescent="0.2">
      <c r="V337" s="276"/>
      <c r="Y337" s="276"/>
      <c r="AA337" s="276"/>
      <c r="AC337" s="201" t="str">
        <f t="shared" si="27"/>
        <v/>
      </c>
      <c r="AD337" s="201" t="str">
        <f t="shared" si="28"/>
        <v/>
      </c>
      <c r="AF337" s="134"/>
      <c r="AG337" s="65"/>
      <c r="AH337" s="65"/>
      <c r="AI337" s="65"/>
      <c r="AJ337" s="65"/>
      <c r="AK337" s="65"/>
      <c r="AL337" s="65"/>
      <c r="AM337" s="65"/>
      <c r="AN337" s="65"/>
      <c r="AO337" s="65"/>
      <c r="AP337" s="65"/>
      <c r="AQ337" s="61"/>
      <c r="AR337" s="65"/>
      <c r="AS337" s="65"/>
      <c r="AT337" s="65"/>
      <c r="AU337" s="61"/>
      <c r="AV337" s="61"/>
      <c r="AW337" s="61"/>
      <c r="AX337" s="61"/>
      <c r="AY337" s="61"/>
      <c r="AZ337" s="61"/>
      <c r="BB337" s="61"/>
      <c r="BC337" s="24"/>
      <c r="BD337" s="24"/>
    </row>
    <row r="338" spans="22:56" ht="15" customHeight="1" x14ac:dyDescent="0.2">
      <c r="V338" s="276"/>
      <c r="Y338" s="276"/>
      <c r="AA338" s="276"/>
      <c r="AC338" s="201" t="str">
        <f t="shared" si="27"/>
        <v/>
      </c>
      <c r="AD338" s="201" t="str">
        <f t="shared" si="28"/>
        <v/>
      </c>
      <c r="AF338" s="134"/>
      <c r="AG338" s="65"/>
      <c r="AH338" s="65"/>
      <c r="AI338" s="65"/>
      <c r="AJ338" s="65"/>
      <c r="AK338" s="65"/>
      <c r="AL338" s="65"/>
      <c r="AM338" s="65"/>
      <c r="AN338" s="65"/>
      <c r="AO338" s="65"/>
      <c r="AP338" s="65"/>
      <c r="AQ338" s="61"/>
      <c r="AR338" s="65"/>
      <c r="AS338" s="65"/>
      <c r="AT338" s="65"/>
      <c r="AU338" s="61"/>
      <c r="AV338" s="61"/>
      <c r="AW338" s="61"/>
      <c r="AX338" s="61"/>
      <c r="AY338" s="61"/>
      <c r="AZ338" s="61"/>
      <c r="BB338" s="61"/>
      <c r="BC338" s="24"/>
      <c r="BD338" s="24"/>
    </row>
    <row r="339" spans="22:56" ht="15" customHeight="1" x14ac:dyDescent="0.2">
      <c r="V339" s="276"/>
      <c r="Y339" s="276"/>
      <c r="AA339" s="276"/>
      <c r="AC339" s="201" t="str">
        <f t="shared" si="27"/>
        <v/>
      </c>
      <c r="AD339" s="201" t="str">
        <f t="shared" si="28"/>
        <v/>
      </c>
      <c r="AF339" s="134"/>
      <c r="AG339" s="65"/>
      <c r="AH339" s="65"/>
      <c r="AI339" s="65"/>
      <c r="AJ339" s="65"/>
      <c r="AK339" s="65"/>
      <c r="AL339" s="65"/>
      <c r="AM339" s="65"/>
      <c r="AN339" s="65"/>
      <c r="AO339" s="65"/>
      <c r="AP339" s="65"/>
      <c r="AQ339" s="61"/>
      <c r="AR339" s="65"/>
      <c r="AS339" s="65"/>
      <c r="AT339" s="65"/>
      <c r="AU339" s="61"/>
      <c r="AV339" s="61"/>
      <c r="AW339" s="61"/>
      <c r="AX339" s="61"/>
      <c r="AY339" s="61"/>
      <c r="AZ339" s="61"/>
      <c r="BB339" s="61"/>
      <c r="BC339" s="24"/>
      <c r="BD339" s="24"/>
    </row>
    <row r="340" spans="22:56" ht="15" customHeight="1" x14ac:dyDescent="0.2">
      <c r="V340" s="276"/>
      <c r="Y340" s="276"/>
      <c r="AA340" s="276"/>
      <c r="AC340" s="201" t="str">
        <f t="shared" si="27"/>
        <v/>
      </c>
      <c r="AD340" s="201" t="str">
        <f t="shared" si="28"/>
        <v/>
      </c>
      <c r="AF340" s="134"/>
      <c r="AG340" s="65"/>
      <c r="AH340" s="65"/>
      <c r="AI340" s="65"/>
      <c r="AJ340" s="65"/>
      <c r="AK340" s="65"/>
      <c r="AL340" s="65"/>
      <c r="AM340" s="65"/>
      <c r="AN340" s="65"/>
      <c r="AO340" s="65"/>
      <c r="AP340" s="65"/>
      <c r="AQ340" s="61"/>
      <c r="AR340" s="65"/>
      <c r="AS340" s="65"/>
      <c r="AT340" s="65"/>
      <c r="AU340" s="61"/>
      <c r="AV340" s="61"/>
      <c r="AW340" s="61"/>
      <c r="AX340" s="61"/>
      <c r="AY340" s="61"/>
      <c r="AZ340" s="61"/>
      <c r="BB340" s="61"/>
      <c r="BC340" s="24"/>
      <c r="BD340" s="24"/>
    </row>
    <row r="341" spans="22:56" ht="15" customHeight="1" x14ac:dyDescent="0.2">
      <c r="V341" s="276"/>
      <c r="Y341" s="276"/>
      <c r="AA341" s="276"/>
      <c r="AC341" s="201" t="str">
        <f t="shared" si="27"/>
        <v/>
      </c>
      <c r="AD341" s="201" t="str">
        <f t="shared" si="28"/>
        <v/>
      </c>
      <c r="AF341" s="134"/>
      <c r="AG341" s="65"/>
      <c r="AH341" s="65"/>
      <c r="AI341" s="65"/>
      <c r="AJ341" s="65"/>
      <c r="AK341" s="65"/>
      <c r="AL341" s="65"/>
      <c r="AM341" s="65"/>
      <c r="AN341" s="65"/>
      <c r="AO341" s="65"/>
      <c r="AP341" s="65"/>
      <c r="AQ341" s="61"/>
      <c r="AR341" s="65"/>
      <c r="AS341" s="65"/>
      <c r="AT341" s="65"/>
      <c r="AU341" s="61"/>
      <c r="AV341" s="61"/>
      <c r="AW341" s="61"/>
      <c r="AX341" s="61"/>
      <c r="AY341" s="61"/>
      <c r="AZ341" s="61"/>
      <c r="BB341" s="61"/>
      <c r="BC341" s="24"/>
      <c r="BD341" s="24"/>
    </row>
    <row r="342" spans="22:56" ht="15" customHeight="1" x14ac:dyDescent="0.2">
      <c r="V342" s="276"/>
      <c r="Y342" s="276"/>
      <c r="AA342" s="276"/>
      <c r="AC342" s="201" t="str">
        <f t="shared" si="27"/>
        <v/>
      </c>
      <c r="AD342" s="201" t="str">
        <f t="shared" si="28"/>
        <v/>
      </c>
      <c r="AF342" s="134"/>
      <c r="AG342" s="65"/>
      <c r="AH342" s="65"/>
      <c r="AI342" s="65"/>
      <c r="AJ342" s="65"/>
      <c r="AK342" s="65"/>
      <c r="AL342" s="65"/>
      <c r="AM342" s="65"/>
      <c r="AN342" s="65"/>
      <c r="AO342" s="65"/>
      <c r="AP342" s="65"/>
      <c r="AQ342" s="61"/>
      <c r="AR342" s="65"/>
      <c r="AS342" s="65"/>
      <c r="AT342" s="65"/>
      <c r="AU342" s="61"/>
      <c r="AV342" s="61"/>
      <c r="AW342" s="61"/>
      <c r="AX342" s="61"/>
      <c r="AY342" s="61"/>
      <c r="AZ342" s="61"/>
      <c r="BB342" s="61"/>
      <c r="BC342" s="24"/>
      <c r="BD342" s="24"/>
    </row>
    <row r="343" spans="22:56" ht="15" customHeight="1" x14ac:dyDescent="0.2">
      <c r="V343" s="276"/>
      <c r="Y343" s="276"/>
      <c r="AA343" s="276"/>
      <c r="AC343" s="201" t="str">
        <f t="shared" si="27"/>
        <v/>
      </c>
      <c r="AD343" s="201" t="str">
        <f t="shared" si="28"/>
        <v/>
      </c>
      <c r="AF343" s="134"/>
      <c r="AG343" s="65"/>
      <c r="AH343" s="65"/>
      <c r="AI343" s="65"/>
      <c r="AJ343" s="65"/>
      <c r="AK343" s="65"/>
      <c r="AL343" s="65"/>
      <c r="AM343" s="65"/>
      <c r="AN343" s="65"/>
      <c r="AO343" s="65"/>
      <c r="AP343" s="65"/>
      <c r="AQ343" s="61"/>
      <c r="AR343" s="65"/>
      <c r="AS343" s="65"/>
      <c r="AT343" s="65"/>
      <c r="AU343" s="61"/>
      <c r="AV343" s="61"/>
      <c r="AW343" s="61"/>
      <c r="AX343" s="61"/>
      <c r="AY343" s="61"/>
      <c r="AZ343" s="61"/>
      <c r="BB343" s="61"/>
      <c r="BC343" s="24"/>
      <c r="BD343" s="24"/>
    </row>
    <row r="344" spans="22:56" ht="15" customHeight="1" x14ac:dyDescent="0.2">
      <c r="V344" s="276"/>
      <c r="Y344" s="276"/>
      <c r="AA344" s="276"/>
      <c r="AC344" s="201" t="str">
        <f t="shared" si="27"/>
        <v/>
      </c>
      <c r="AD344" s="201" t="str">
        <f t="shared" si="28"/>
        <v/>
      </c>
      <c r="AF344" s="134"/>
      <c r="AG344" s="65"/>
      <c r="AH344" s="65"/>
      <c r="AI344" s="65"/>
      <c r="AJ344" s="65"/>
      <c r="AK344" s="65"/>
      <c r="AL344" s="65"/>
      <c r="AM344" s="65"/>
      <c r="AN344" s="65"/>
      <c r="AO344" s="65"/>
      <c r="AP344" s="65"/>
      <c r="AQ344" s="61"/>
      <c r="AR344" s="65"/>
      <c r="AS344" s="65"/>
      <c r="AT344" s="65"/>
      <c r="AU344" s="61"/>
      <c r="AV344" s="61"/>
      <c r="AW344" s="61"/>
      <c r="AX344" s="61"/>
      <c r="AY344" s="61"/>
      <c r="AZ344" s="61"/>
      <c r="BB344" s="61"/>
      <c r="BC344" s="24"/>
      <c r="BD344" s="24"/>
    </row>
    <row r="345" spans="22:56" ht="15" customHeight="1" x14ac:dyDescent="0.2">
      <c r="V345" s="276"/>
      <c r="Y345" s="276"/>
      <c r="AA345" s="276"/>
      <c r="AC345" s="201" t="str">
        <f t="shared" si="27"/>
        <v/>
      </c>
      <c r="AD345" s="201" t="str">
        <f t="shared" si="28"/>
        <v/>
      </c>
      <c r="AF345" s="134"/>
      <c r="AG345" s="65"/>
      <c r="AH345" s="65"/>
      <c r="AI345" s="65"/>
      <c r="AJ345" s="65"/>
      <c r="AK345" s="65"/>
      <c r="AL345" s="65"/>
      <c r="AM345" s="65"/>
      <c r="AN345" s="65"/>
      <c r="AO345" s="65"/>
      <c r="AP345" s="65"/>
      <c r="AQ345" s="61"/>
      <c r="AR345" s="65"/>
      <c r="AS345" s="65"/>
      <c r="AT345" s="65"/>
      <c r="AU345" s="61"/>
      <c r="AV345" s="61"/>
      <c r="AW345" s="61"/>
      <c r="AX345" s="61"/>
      <c r="AY345" s="61"/>
      <c r="AZ345" s="61"/>
      <c r="BB345" s="61"/>
      <c r="BC345" s="24"/>
      <c r="BD345" s="24"/>
    </row>
    <row r="346" spans="22:56" ht="15" customHeight="1" x14ac:dyDescent="0.2">
      <c r="V346" s="276"/>
      <c r="Y346" s="276"/>
      <c r="AA346" s="276"/>
      <c r="AC346" s="201" t="str">
        <f t="shared" si="27"/>
        <v/>
      </c>
      <c r="AD346" s="201" t="str">
        <f t="shared" si="28"/>
        <v/>
      </c>
      <c r="AF346" s="134"/>
      <c r="AG346" s="65"/>
      <c r="AH346" s="65"/>
      <c r="AI346" s="65"/>
      <c r="AJ346" s="65"/>
      <c r="AK346" s="65"/>
      <c r="AL346" s="65"/>
      <c r="AM346" s="65"/>
      <c r="AN346" s="65"/>
      <c r="AO346" s="65"/>
      <c r="AP346" s="65"/>
      <c r="AQ346" s="61"/>
      <c r="AR346" s="65"/>
      <c r="AS346" s="65"/>
      <c r="AT346" s="65"/>
      <c r="AU346" s="61"/>
      <c r="AV346" s="61"/>
      <c r="AW346" s="61"/>
      <c r="AX346" s="61"/>
      <c r="AY346" s="61"/>
      <c r="AZ346" s="61"/>
      <c r="BB346" s="61"/>
      <c r="BC346" s="24"/>
      <c r="BD346" s="24"/>
    </row>
    <row r="347" spans="22:56" ht="15" customHeight="1" x14ac:dyDescent="0.2">
      <c r="V347" s="276"/>
      <c r="Y347" s="276"/>
      <c r="AA347" s="276"/>
      <c r="AC347" s="201" t="str">
        <f t="shared" si="27"/>
        <v/>
      </c>
      <c r="AD347" s="201" t="str">
        <f t="shared" si="28"/>
        <v/>
      </c>
      <c r="AF347" s="134"/>
      <c r="AG347" s="65"/>
      <c r="AH347" s="65"/>
      <c r="AI347" s="65"/>
      <c r="AJ347" s="65"/>
      <c r="AK347" s="65"/>
      <c r="AL347" s="65"/>
      <c r="AM347" s="65"/>
      <c r="AN347" s="65"/>
      <c r="AO347" s="65"/>
      <c r="AP347" s="65"/>
      <c r="AQ347" s="61"/>
      <c r="AR347" s="65"/>
      <c r="AS347" s="65"/>
      <c r="AT347" s="65"/>
      <c r="AU347" s="61"/>
      <c r="AV347" s="61"/>
      <c r="AW347" s="61"/>
      <c r="AX347" s="61"/>
      <c r="AY347" s="61"/>
      <c r="AZ347" s="61"/>
      <c r="BB347" s="61"/>
      <c r="BC347" s="24"/>
      <c r="BD347" s="24"/>
    </row>
    <row r="348" spans="22:56" ht="15" customHeight="1" x14ac:dyDescent="0.2">
      <c r="V348" s="276"/>
      <c r="Y348" s="276"/>
      <c r="AA348" s="276"/>
      <c r="AC348" s="201" t="str">
        <f t="shared" si="27"/>
        <v/>
      </c>
      <c r="AD348" s="201" t="str">
        <f t="shared" si="28"/>
        <v/>
      </c>
      <c r="AF348" s="134"/>
      <c r="AG348" s="65"/>
      <c r="AH348" s="65"/>
      <c r="AI348" s="65"/>
      <c r="AJ348" s="65"/>
      <c r="AK348" s="65"/>
      <c r="AL348" s="65"/>
      <c r="AM348" s="65"/>
      <c r="AN348" s="65"/>
      <c r="AO348" s="65"/>
      <c r="AP348" s="65"/>
      <c r="AQ348" s="61"/>
      <c r="AR348" s="65"/>
      <c r="AS348" s="65"/>
      <c r="AT348" s="65"/>
      <c r="AU348" s="61"/>
      <c r="AV348" s="61"/>
      <c r="AW348" s="61"/>
      <c r="AX348" s="61"/>
      <c r="AY348" s="61"/>
      <c r="AZ348" s="61"/>
      <c r="BB348" s="61"/>
      <c r="BC348" s="24"/>
      <c r="BD348" s="24"/>
    </row>
    <row r="349" spans="22:56" ht="15" customHeight="1" x14ac:dyDescent="0.2">
      <c r="V349" s="276"/>
      <c r="Y349" s="276"/>
      <c r="AA349" s="276"/>
      <c r="AC349" s="201" t="str">
        <f t="shared" si="27"/>
        <v/>
      </c>
      <c r="AD349" s="201" t="str">
        <f t="shared" si="28"/>
        <v/>
      </c>
      <c r="AF349" s="134"/>
      <c r="AG349" s="65"/>
      <c r="AH349" s="65"/>
      <c r="AI349" s="65"/>
      <c r="AJ349" s="65"/>
      <c r="AK349" s="65"/>
      <c r="AL349" s="65"/>
      <c r="AM349" s="65"/>
      <c r="AN349" s="65"/>
      <c r="AO349" s="65"/>
      <c r="AP349" s="65"/>
      <c r="AQ349" s="61"/>
      <c r="AR349" s="65"/>
      <c r="AS349" s="65"/>
      <c r="AT349" s="65"/>
      <c r="AU349" s="61"/>
      <c r="AV349" s="61"/>
      <c r="AW349" s="61"/>
      <c r="AX349" s="61"/>
      <c r="AY349" s="61"/>
      <c r="AZ349" s="61"/>
      <c r="BB349" s="61"/>
      <c r="BC349" s="24"/>
      <c r="BD349" s="24"/>
    </row>
    <row r="350" spans="22:56" ht="15" customHeight="1" x14ac:dyDescent="0.2">
      <c r="V350" s="276"/>
      <c r="Y350" s="276"/>
      <c r="AA350" s="276"/>
      <c r="AC350" s="201" t="str">
        <f t="shared" si="27"/>
        <v/>
      </c>
      <c r="AD350" s="201" t="str">
        <f t="shared" si="28"/>
        <v/>
      </c>
      <c r="AF350" s="134"/>
      <c r="AG350" s="65"/>
      <c r="AH350" s="65"/>
      <c r="AI350" s="65"/>
      <c r="AJ350" s="65"/>
      <c r="AK350" s="65"/>
      <c r="AL350" s="65"/>
      <c r="AM350" s="65"/>
      <c r="AN350" s="65"/>
      <c r="AO350" s="65"/>
      <c r="AP350" s="65"/>
      <c r="AQ350" s="61"/>
      <c r="AR350" s="65"/>
      <c r="AS350" s="65"/>
      <c r="AT350" s="65"/>
      <c r="AU350" s="61"/>
      <c r="AV350" s="61"/>
      <c r="AW350" s="61"/>
      <c r="AX350" s="61"/>
      <c r="AY350" s="61"/>
      <c r="AZ350" s="61"/>
      <c r="BB350" s="61"/>
      <c r="BC350" s="24"/>
      <c r="BD350" s="24"/>
    </row>
    <row r="351" spans="22:56" ht="15" customHeight="1" x14ac:dyDescent="0.2">
      <c r="V351" s="276"/>
      <c r="Y351" s="276"/>
      <c r="AA351" s="276"/>
      <c r="AC351" s="201" t="str">
        <f t="shared" si="27"/>
        <v/>
      </c>
      <c r="AD351" s="201" t="str">
        <f t="shared" si="28"/>
        <v/>
      </c>
      <c r="AF351" s="134"/>
      <c r="AG351" s="65"/>
      <c r="AH351" s="65"/>
      <c r="AI351" s="65"/>
      <c r="AJ351" s="65"/>
      <c r="AK351" s="65"/>
      <c r="AL351" s="65"/>
      <c r="AM351" s="65"/>
      <c r="AN351" s="65"/>
      <c r="AO351" s="65"/>
      <c r="AP351" s="65"/>
      <c r="AQ351" s="61"/>
      <c r="AR351" s="65"/>
      <c r="AS351" s="65"/>
      <c r="AT351" s="65"/>
      <c r="AU351" s="61"/>
      <c r="AV351" s="61"/>
      <c r="AW351" s="61"/>
      <c r="AX351" s="61"/>
      <c r="AY351" s="61"/>
      <c r="AZ351" s="61"/>
      <c r="BB351" s="61"/>
      <c r="BC351" s="24"/>
      <c r="BD351" s="24"/>
    </row>
    <row r="352" spans="22:56" ht="15" customHeight="1" x14ac:dyDescent="0.2">
      <c r="V352" s="276"/>
      <c r="Y352" s="276"/>
      <c r="AA352" s="276"/>
      <c r="AC352" s="201" t="str">
        <f t="shared" si="27"/>
        <v/>
      </c>
      <c r="AD352" s="201" t="str">
        <f t="shared" si="28"/>
        <v/>
      </c>
      <c r="AF352" s="134"/>
      <c r="AG352" s="65"/>
      <c r="AH352" s="65"/>
      <c r="AI352" s="65"/>
      <c r="AJ352" s="65"/>
      <c r="AK352" s="65"/>
      <c r="AL352" s="65"/>
      <c r="AM352" s="65"/>
      <c r="AN352" s="65"/>
      <c r="AO352" s="65"/>
      <c r="AP352" s="65"/>
      <c r="AQ352" s="61"/>
      <c r="AR352" s="65"/>
      <c r="AS352" s="65"/>
      <c r="AT352" s="65"/>
      <c r="AU352" s="61"/>
      <c r="AV352" s="61"/>
      <c r="AW352" s="61"/>
      <c r="AX352" s="61"/>
      <c r="AY352" s="61"/>
      <c r="AZ352" s="61"/>
      <c r="BB352" s="61"/>
      <c r="BC352" s="24"/>
      <c r="BD352" s="24"/>
    </row>
    <row r="353" spans="22:56" ht="15" customHeight="1" x14ac:dyDescent="0.2">
      <c r="V353" s="276"/>
      <c r="Y353" s="276"/>
      <c r="AA353" s="276"/>
      <c r="AC353" s="201" t="str">
        <f t="shared" si="27"/>
        <v/>
      </c>
      <c r="AD353" s="201" t="str">
        <f t="shared" si="28"/>
        <v/>
      </c>
      <c r="AF353" s="134"/>
      <c r="AG353" s="65"/>
      <c r="AH353" s="65"/>
      <c r="AI353" s="65"/>
      <c r="AJ353" s="65"/>
      <c r="AK353" s="65"/>
      <c r="AL353" s="65"/>
      <c r="AM353" s="65"/>
      <c r="AN353" s="65"/>
      <c r="AO353" s="65"/>
      <c r="AP353" s="65"/>
      <c r="AQ353" s="61"/>
      <c r="AR353" s="65"/>
      <c r="AS353" s="65"/>
      <c r="AT353" s="65"/>
      <c r="AU353" s="61"/>
      <c r="AV353" s="61"/>
      <c r="AW353" s="61"/>
      <c r="AX353" s="61"/>
      <c r="AY353" s="61"/>
      <c r="AZ353" s="61"/>
      <c r="BB353" s="61"/>
      <c r="BC353" s="24"/>
      <c r="BD353" s="24"/>
    </row>
    <row r="354" spans="22:56" ht="15" customHeight="1" x14ac:dyDescent="0.2">
      <c r="V354" s="276"/>
      <c r="Y354" s="276"/>
      <c r="AA354" s="276"/>
      <c r="AC354" s="201" t="str">
        <f t="shared" si="27"/>
        <v/>
      </c>
      <c r="AD354" s="201" t="str">
        <f t="shared" si="28"/>
        <v/>
      </c>
      <c r="AF354" s="134"/>
      <c r="AG354" s="65"/>
      <c r="AH354" s="65"/>
      <c r="AI354" s="65"/>
      <c r="AJ354" s="65"/>
      <c r="AK354" s="65"/>
      <c r="AL354" s="65"/>
      <c r="AM354" s="65"/>
      <c r="AN354" s="65"/>
      <c r="AO354" s="65"/>
      <c r="AP354" s="65"/>
      <c r="AQ354" s="61"/>
      <c r="AR354" s="65"/>
      <c r="AS354" s="65"/>
      <c r="AT354" s="65"/>
      <c r="AU354" s="61"/>
      <c r="AV354" s="61"/>
      <c r="AW354" s="61"/>
      <c r="AX354" s="61"/>
      <c r="AY354" s="61"/>
      <c r="AZ354" s="61"/>
      <c r="BB354" s="61"/>
      <c r="BC354" s="24"/>
      <c r="BD354" s="24"/>
    </row>
    <row r="355" spans="22:56" ht="15" customHeight="1" x14ac:dyDescent="0.2">
      <c r="V355" s="276"/>
      <c r="Y355" s="276"/>
      <c r="AA355" s="276"/>
      <c r="AC355" s="201" t="str">
        <f t="shared" si="27"/>
        <v/>
      </c>
      <c r="AD355" s="201" t="str">
        <f t="shared" si="28"/>
        <v/>
      </c>
      <c r="AF355" s="134"/>
      <c r="AG355" s="65"/>
      <c r="AH355" s="65"/>
      <c r="AI355" s="65"/>
      <c r="AJ355" s="65"/>
      <c r="AK355" s="65"/>
      <c r="AL355" s="65"/>
      <c r="AM355" s="65"/>
      <c r="AN355" s="65"/>
      <c r="AO355" s="65"/>
      <c r="AP355" s="65"/>
      <c r="AQ355" s="61"/>
      <c r="AR355" s="65"/>
      <c r="AS355" s="65"/>
      <c r="AT355" s="65"/>
      <c r="AU355" s="61"/>
      <c r="AV355" s="61"/>
      <c r="AW355" s="61"/>
      <c r="AX355" s="61"/>
      <c r="AY355" s="61"/>
      <c r="AZ355" s="61"/>
      <c r="BB355" s="61"/>
      <c r="BC355" s="24"/>
      <c r="BD355" s="24"/>
    </row>
    <row r="356" spans="22:56" ht="15" customHeight="1" x14ac:dyDescent="0.2">
      <c r="V356" s="276"/>
      <c r="Y356" s="276"/>
      <c r="AA356" s="276"/>
      <c r="AC356" s="201" t="str">
        <f t="shared" si="27"/>
        <v/>
      </c>
      <c r="AD356" s="201" t="str">
        <f t="shared" si="28"/>
        <v/>
      </c>
      <c r="AF356" s="134"/>
      <c r="AG356" s="65"/>
      <c r="AH356" s="65"/>
      <c r="AI356" s="65"/>
      <c r="AJ356" s="65"/>
      <c r="AK356" s="65"/>
      <c r="AL356" s="65"/>
      <c r="AM356" s="65"/>
      <c r="AN356" s="65"/>
      <c r="AO356" s="65"/>
      <c r="AP356" s="65"/>
      <c r="AQ356" s="61"/>
      <c r="AR356" s="65"/>
      <c r="AS356" s="65"/>
      <c r="AT356" s="65"/>
      <c r="AU356" s="61"/>
      <c r="AV356" s="61"/>
      <c r="AW356" s="61"/>
      <c r="AX356" s="61"/>
      <c r="AY356" s="61"/>
      <c r="AZ356" s="61"/>
      <c r="BB356" s="61"/>
      <c r="BC356" s="24"/>
      <c r="BD356" s="24"/>
    </row>
    <row r="357" spans="22:56" ht="15" customHeight="1" x14ac:dyDescent="0.2">
      <c r="V357" s="276"/>
      <c r="Y357" s="276"/>
      <c r="AA357" s="276"/>
      <c r="AC357" s="201" t="str">
        <f t="shared" si="27"/>
        <v/>
      </c>
      <c r="AD357" s="201" t="str">
        <f t="shared" si="28"/>
        <v/>
      </c>
      <c r="AF357" s="134"/>
      <c r="AG357" s="65"/>
      <c r="AH357" s="65"/>
      <c r="AI357" s="65"/>
      <c r="AJ357" s="65"/>
      <c r="AK357" s="65"/>
      <c r="AL357" s="65"/>
      <c r="AM357" s="65"/>
      <c r="AN357" s="65"/>
      <c r="AO357" s="65"/>
      <c r="AP357" s="65"/>
      <c r="AQ357" s="61"/>
      <c r="AR357" s="65"/>
      <c r="AS357" s="65"/>
      <c r="AT357" s="65"/>
      <c r="AU357" s="61"/>
      <c r="AV357" s="61"/>
      <c r="AW357" s="61"/>
      <c r="AX357" s="61"/>
      <c r="AY357" s="61"/>
      <c r="AZ357" s="61"/>
      <c r="BB357" s="61"/>
      <c r="BC357" s="24"/>
      <c r="BD357" s="24"/>
    </row>
    <row r="358" spans="22:56" ht="15" customHeight="1" x14ac:dyDescent="0.2">
      <c r="V358" s="276"/>
      <c r="Y358" s="276"/>
      <c r="AA358" s="276"/>
      <c r="AC358" s="201" t="str">
        <f t="shared" si="27"/>
        <v/>
      </c>
      <c r="AD358" s="201" t="str">
        <f t="shared" si="28"/>
        <v/>
      </c>
      <c r="AF358" s="134"/>
      <c r="AG358" s="65"/>
      <c r="AH358" s="65"/>
      <c r="AI358" s="65"/>
      <c r="AJ358" s="65"/>
      <c r="AK358" s="65"/>
      <c r="AL358" s="65"/>
      <c r="AM358" s="65"/>
      <c r="AN358" s="65"/>
      <c r="AO358" s="65"/>
      <c r="AP358" s="65"/>
      <c r="AQ358" s="61"/>
      <c r="AR358" s="65"/>
      <c r="AS358" s="65"/>
      <c r="AT358" s="65"/>
      <c r="AU358" s="61"/>
      <c r="AV358" s="61"/>
      <c r="AW358" s="61"/>
      <c r="AX358" s="61"/>
      <c r="AY358" s="61"/>
      <c r="AZ358" s="61"/>
      <c r="BB358" s="61"/>
      <c r="BC358" s="24"/>
      <c r="BD358" s="24"/>
    </row>
    <row r="359" spans="22:56" ht="15" customHeight="1" x14ac:dyDescent="0.2">
      <c r="V359" s="276"/>
      <c r="Y359" s="276"/>
      <c r="AA359" s="276"/>
      <c r="AC359" s="201" t="str">
        <f t="shared" si="27"/>
        <v/>
      </c>
      <c r="AD359" s="201" t="str">
        <f t="shared" si="28"/>
        <v/>
      </c>
      <c r="AF359" s="134"/>
      <c r="AG359" s="65"/>
      <c r="AH359" s="65"/>
      <c r="AI359" s="65"/>
      <c r="AJ359" s="65"/>
      <c r="AK359" s="65"/>
      <c r="AL359" s="65"/>
      <c r="AM359" s="65"/>
      <c r="AN359" s="65"/>
      <c r="AO359" s="65"/>
      <c r="AP359" s="65"/>
      <c r="AQ359" s="61"/>
      <c r="AR359" s="65"/>
      <c r="AS359" s="65"/>
      <c r="AT359" s="65"/>
      <c r="AU359" s="61"/>
      <c r="AV359" s="61"/>
      <c r="AW359" s="61"/>
      <c r="AX359" s="61"/>
      <c r="AY359" s="61"/>
      <c r="AZ359" s="61"/>
      <c r="BB359" s="61"/>
      <c r="BC359" s="24"/>
      <c r="BD359" s="24"/>
    </row>
    <row r="360" spans="22:56" ht="15" customHeight="1" x14ac:dyDescent="0.2">
      <c r="V360" s="276"/>
      <c r="Y360" s="276"/>
      <c r="AA360" s="276"/>
      <c r="AC360" s="201" t="str">
        <f t="shared" si="27"/>
        <v/>
      </c>
      <c r="AD360" s="201" t="str">
        <f t="shared" si="28"/>
        <v/>
      </c>
      <c r="AF360" s="134"/>
      <c r="AG360" s="65"/>
      <c r="AH360" s="65"/>
      <c r="AI360" s="65"/>
      <c r="AJ360" s="65"/>
      <c r="AK360" s="65"/>
      <c r="AL360" s="65"/>
      <c r="AM360" s="65"/>
      <c r="AN360" s="65"/>
      <c r="AO360" s="65"/>
      <c r="AP360" s="65"/>
      <c r="AQ360" s="61"/>
      <c r="AR360" s="65"/>
      <c r="AS360" s="65"/>
      <c r="AT360" s="65"/>
      <c r="AU360" s="61"/>
      <c r="AV360" s="61"/>
      <c r="AW360" s="61"/>
      <c r="AX360" s="61"/>
      <c r="AY360" s="61"/>
      <c r="AZ360" s="61"/>
      <c r="BB360" s="61"/>
      <c r="BC360" s="24"/>
      <c r="BD360" s="24"/>
    </row>
    <row r="361" spans="22:56" ht="15" customHeight="1" x14ac:dyDescent="0.2">
      <c r="V361" s="276"/>
      <c r="Y361" s="276"/>
      <c r="AA361" s="276"/>
      <c r="AC361" s="201" t="str">
        <f t="shared" si="27"/>
        <v/>
      </c>
      <c r="AD361" s="201" t="str">
        <f t="shared" si="28"/>
        <v/>
      </c>
      <c r="AF361" s="134"/>
      <c r="AG361" s="65"/>
      <c r="AH361" s="65"/>
      <c r="AI361" s="65"/>
      <c r="AJ361" s="65"/>
      <c r="AK361" s="65"/>
      <c r="AL361" s="65"/>
      <c r="AM361" s="65"/>
      <c r="AN361" s="65"/>
      <c r="AO361" s="65"/>
      <c r="AP361" s="65"/>
      <c r="AQ361" s="61"/>
      <c r="AR361" s="65"/>
      <c r="AS361" s="65"/>
      <c r="AT361" s="65"/>
      <c r="AU361" s="61"/>
      <c r="AV361" s="61"/>
      <c r="AW361" s="61"/>
      <c r="AX361" s="61"/>
      <c r="AY361" s="61"/>
      <c r="AZ361" s="61"/>
      <c r="BB361" s="61"/>
      <c r="BC361" s="24"/>
      <c r="BD361" s="24"/>
    </row>
    <row r="362" spans="22:56" ht="15" customHeight="1" x14ac:dyDescent="0.2">
      <c r="V362" s="276"/>
      <c r="Y362" s="276"/>
      <c r="AA362" s="276"/>
      <c r="AC362" s="201" t="str">
        <f t="shared" si="27"/>
        <v/>
      </c>
      <c r="AD362" s="201" t="str">
        <f t="shared" si="28"/>
        <v/>
      </c>
      <c r="AF362" s="134"/>
      <c r="AG362" s="65"/>
      <c r="AH362" s="65"/>
      <c r="AI362" s="65"/>
      <c r="AJ362" s="65"/>
      <c r="AK362" s="65"/>
      <c r="AL362" s="65"/>
      <c r="AM362" s="65"/>
      <c r="AN362" s="65"/>
      <c r="AO362" s="65"/>
      <c r="AP362" s="65"/>
      <c r="AQ362" s="61"/>
      <c r="AR362" s="65"/>
      <c r="AS362" s="65"/>
      <c r="AT362" s="65"/>
      <c r="AU362" s="61"/>
      <c r="AV362" s="61"/>
      <c r="AW362" s="61"/>
      <c r="AX362" s="61"/>
      <c r="AY362" s="61"/>
      <c r="AZ362" s="61"/>
      <c r="BB362" s="61"/>
      <c r="BC362" s="24"/>
      <c r="BD362" s="24"/>
    </row>
    <row r="363" spans="22:56" ht="15" customHeight="1" x14ac:dyDescent="0.2">
      <c r="V363" s="276"/>
      <c r="Y363" s="276"/>
      <c r="AA363" s="276"/>
      <c r="AC363" s="201" t="str">
        <f t="shared" si="27"/>
        <v/>
      </c>
      <c r="AD363" s="201" t="str">
        <f t="shared" si="28"/>
        <v/>
      </c>
      <c r="AF363" s="134"/>
      <c r="AG363" s="65"/>
      <c r="AH363" s="65"/>
      <c r="AI363" s="65"/>
      <c r="AJ363" s="65"/>
      <c r="AK363" s="65"/>
      <c r="AL363" s="65"/>
      <c r="AM363" s="65"/>
      <c r="AN363" s="65"/>
      <c r="AO363" s="65"/>
      <c r="AP363" s="65"/>
      <c r="AQ363" s="61"/>
      <c r="AR363" s="65"/>
      <c r="AS363" s="65"/>
      <c r="AT363" s="65"/>
      <c r="AU363" s="61"/>
      <c r="AV363" s="61"/>
      <c r="AW363" s="61"/>
      <c r="AX363" s="61"/>
      <c r="AY363" s="61"/>
      <c r="AZ363" s="61"/>
      <c r="BB363" s="61"/>
      <c r="BC363" s="24"/>
      <c r="BD363" s="24"/>
    </row>
    <row r="364" spans="22:56" ht="15" customHeight="1" x14ac:dyDescent="0.2">
      <c r="V364" s="276"/>
      <c r="Y364" s="276"/>
      <c r="AA364" s="276"/>
      <c r="AC364" s="201" t="str">
        <f t="shared" si="27"/>
        <v/>
      </c>
      <c r="AD364" s="201" t="str">
        <f t="shared" si="28"/>
        <v/>
      </c>
      <c r="AF364" s="134"/>
      <c r="AG364" s="65"/>
      <c r="AH364" s="65"/>
      <c r="AI364" s="65"/>
      <c r="AJ364" s="65"/>
      <c r="AK364" s="65"/>
      <c r="AL364" s="65"/>
      <c r="AM364" s="65"/>
      <c r="AN364" s="65"/>
      <c r="AO364" s="65"/>
      <c r="AP364" s="65"/>
      <c r="AQ364" s="61"/>
      <c r="AR364" s="65"/>
      <c r="AS364" s="65"/>
      <c r="AT364" s="65"/>
      <c r="AU364" s="61"/>
      <c r="AV364" s="61"/>
      <c r="AW364" s="61"/>
      <c r="AX364" s="61"/>
      <c r="AY364" s="61"/>
      <c r="AZ364" s="61"/>
      <c r="BB364" s="61"/>
      <c r="BC364" s="24"/>
      <c r="BD364" s="24"/>
    </row>
    <row r="365" spans="22:56" ht="15" customHeight="1" x14ac:dyDescent="0.2">
      <c r="V365" s="276"/>
      <c r="Y365" s="276"/>
      <c r="AA365" s="276"/>
      <c r="AC365" s="201" t="str">
        <f t="shared" si="27"/>
        <v/>
      </c>
      <c r="AD365" s="201" t="str">
        <f t="shared" si="28"/>
        <v/>
      </c>
      <c r="AF365" s="134"/>
      <c r="AG365" s="65"/>
      <c r="AH365" s="65"/>
      <c r="AI365" s="65"/>
      <c r="AJ365" s="65"/>
      <c r="AK365" s="65"/>
      <c r="AL365" s="65"/>
      <c r="AM365" s="65"/>
      <c r="AN365" s="65"/>
      <c r="AO365" s="65"/>
      <c r="AP365" s="65"/>
      <c r="AQ365" s="61"/>
      <c r="AR365" s="65"/>
      <c r="AS365" s="65"/>
      <c r="AT365" s="65"/>
      <c r="AU365" s="61"/>
      <c r="AV365" s="61"/>
      <c r="AW365" s="61"/>
      <c r="AX365" s="61"/>
      <c r="AY365" s="61"/>
      <c r="AZ365" s="61"/>
      <c r="BB365" s="61"/>
      <c r="BC365" s="24"/>
      <c r="BD365" s="24"/>
    </row>
    <row r="366" spans="22:56" ht="15" customHeight="1" x14ac:dyDescent="0.2">
      <c r="AC366" s="201" t="str">
        <f t="shared" si="27"/>
        <v/>
      </c>
      <c r="AD366" s="201" t="str">
        <f t="shared" si="28"/>
        <v/>
      </c>
      <c r="AF366" s="134"/>
      <c r="AG366" s="65"/>
      <c r="AH366" s="65"/>
      <c r="AI366" s="65"/>
      <c r="AJ366" s="65"/>
      <c r="AK366" s="65"/>
      <c r="AL366" s="65"/>
      <c r="AM366" s="65"/>
      <c r="AN366" s="65"/>
      <c r="AO366" s="65"/>
      <c r="AP366" s="65"/>
      <c r="AQ366" s="61"/>
      <c r="AR366" s="65"/>
      <c r="AS366" s="65"/>
      <c r="AT366" s="65"/>
      <c r="AU366" s="61"/>
      <c r="AV366" s="61"/>
      <c r="AW366" s="61"/>
      <c r="AX366" s="61"/>
      <c r="AY366" s="61"/>
      <c r="AZ366" s="61"/>
      <c r="BB366" s="61"/>
      <c r="BC366" s="24"/>
      <c r="BD366" s="24"/>
    </row>
    <row r="367" spans="22:56" ht="15" customHeight="1" x14ac:dyDescent="0.2">
      <c r="AC367" s="201" t="str">
        <f t="shared" si="27"/>
        <v/>
      </c>
      <c r="AD367" s="201" t="str">
        <f t="shared" si="28"/>
        <v/>
      </c>
      <c r="AF367" s="134"/>
      <c r="AG367" s="65"/>
      <c r="AH367" s="65"/>
      <c r="AI367" s="65"/>
      <c r="AJ367" s="65"/>
      <c r="AK367" s="65"/>
      <c r="AL367" s="65"/>
      <c r="AM367" s="65"/>
      <c r="AN367" s="65"/>
      <c r="AO367" s="65"/>
      <c r="AP367" s="65"/>
      <c r="AQ367" s="61"/>
      <c r="AR367" s="65"/>
      <c r="AS367" s="65"/>
      <c r="AT367" s="65"/>
      <c r="AU367" s="61"/>
      <c r="AV367" s="61"/>
      <c r="AW367" s="61"/>
      <c r="AX367" s="61"/>
      <c r="AY367" s="61"/>
      <c r="AZ367" s="61"/>
      <c r="BB367" s="61"/>
      <c r="BC367" s="24"/>
      <c r="BD367" s="24"/>
    </row>
    <row r="368" spans="22:56" ht="15" customHeight="1" x14ac:dyDescent="0.2">
      <c r="AC368" s="201" t="str">
        <f t="shared" si="27"/>
        <v/>
      </c>
      <c r="AD368" s="201" t="str">
        <f t="shared" si="28"/>
        <v/>
      </c>
      <c r="AF368" s="134"/>
      <c r="AG368" s="65"/>
      <c r="AH368" s="65"/>
      <c r="AI368" s="65"/>
      <c r="AJ368" s="65"/>
      <c r="AK368" s="65"/>
      <c r="AL368" s="65"/>
      <c r="AM368" s="65"/>
      <c r="AN368" s="65"/>
      <c r="AO368" s="65"/>
      <c r="AP368" s="65"/>
      <c r="AQ368" s="61"/>
      <c r="AR368" s="65"/>
      <c r="AS368" s="65"/>
      <c r="AT368" s="65"/>
      <c r="AU368" s="61"/>
      <c r="AV368" s="61"/>
      <c r="AW368" s="61"/>
      <c r="AX368" s="61"/>
      <c r="AY368" s="61"/>
      <c r="AZ368" s="61"/>
      <c r="BB368" s="61"/>
      <c r="BC368" s="24"/>
      <c r="BD368" s="24"/>
    </row>
    <row r="369" spans="29:56" ht="15" customHeight="1" x14ac:dyDescent="0.2">
      <c r="AC369" s="201" t="str">
        <f t="shared" si="27"/>
        <v/>
      </c>
      <c r="AD369" s="201" t="str">
        <f t="shared" si="28"/>
        <v/>
      </c>
      <c r="AF369" s="134"/>
      <c r="AG369" s="65"/>
      <c r="AH369" s="65"/>
      <c r="AI369" s="65"/>
      <c r="AJ369" s="65"/>
      <c r="AK369" s="65"/>
      <c r="AL369" s="65"/>
      <c r="AM369" s="65"/>
      <c r="AN369" s="65"/>
      <c r="AO369" s="65"/>
      <c r="AP369" s="65"/>
      <c r="AQ369" s="61"/>
      <c r="AR369" s="65"/>
      <c r="AS369" s="65"/>
      <c r="AT369" s="65"/>
      <c r="AU369" s="61"/>
      <c r="AV369" s="61"/>
      <c r="AW369" s="61"/>
      <c r="AX369" s="61"/>
      <c r="AY369" s="61"/>
      <c r="AZ369" s="61"/>
      <c r="BB369" s="61"/>
      <c r="BC369" s="24"/>
      <c r="BD369" s="24"/>
    </row>
    <row r="370" spans="29:56" ht="15" customHeight="1" x14ac:dyDescent="0.2">
      <c r="AC370" s="201" t="str">
        <f t="shared" si="27"/>
        <v/>
      </c>
      <c r="AD370" s="201" t="str">
        <f t="shared" si="28"/>
        <v/>
      </c>
      <c r="AF370" s="134"/>
      <c r="AG370" s="65"/>
      <c r="AH370" s="65"/>
      <c r="AI370" s="65"/>
      <c r="AJ370" s="65"/>
      <c r="AK370" s="65"/>
      <c r="AL370" s="65"/>
      <c r="AM370" s="65"/>
      <c r="AN370" s="65"/>
      <c r="AO370" s="65"/>
      <c r="AP370" s="65"/>
      <c r="AQ370" s="61"/>
      <c r="AR370" s="65"/>
      <c r="AS370" s="65"/>
      <c r="AT370" s="65"/>
      <c r="AU370" s="61"/>
      <c r="AV370" s="61"/>
      <c r="AW370" s="61"/>
      <c r="AX370" s="61"/>
      <c r="AY370" s="61"/>
      <c r="AZ370" s="61"/>
      <c r="BB370" s="61"/>
      <c r="BC370" s="24"/>
      <c r="BD370" s="24"/>
    </row>
    <row r="371" spans="29:56" ht="15" customHeight="1" x14ac:dyDescent="0.2">
      <c r="AC371" s="201" t="str">
        <f t="shared" si="27"/>
        <v/>
      </c>
      <c r="AD371" s="201" t="str">
        <f t="shared" si="28"/>
        <v/>
      </c>
      <c r="AF371" s="134"/>
      <c r="AG371" s="65"/>
      <c r="AH371" s="65"/>
      <c r="AI371" s="65"/>
      <c r="AJ371" s="65"/>
      <c r="AK371" s="65"/>
      <c r="AL371" s="65"/>
      <c r="AM371" s="65"/>
      <c r="AN371" s="65"/>
      <c r="AO371" s="65"/>
      <c r="AP371" s="65"/>
      <c r="AQ371" s="61"/>
      <c r="AR371" s="65"/>
      <c r="AS371" s="65"/>
      <c r="AT371" s="65"/>
      <c r="AU371" s="61"/>
      <c r="AV371" s="61"/>
      <c r="AW371" s="61"/>
      <c r="AX371" s="61"/>
      <c r="AY371" s="61"/>
      <c r="AZ371" s="61"/>
      <c r="BB371" s="61"/>
      <c r="BC371" s="24"/>
      <c r="BD371" s="24"/>
    </row>
    <row r="372" spans="29:56" ht="15" customHeight="1" x14ac:dyDescent="0.2">
      <c r="AC372" s="201" t="str">
        <f t="shared" si="27"/>
        <v/>
      </c>
      <c r="AD372" s="201" t="str">
        <f t="shared" si="28"/>
        <v/>
      </c>
      <c r="AF372" s="134"/>
      <c r="AG372" s="65"/>
      <c r="AH372" s="65"/>
      <c r="AI372" s="65"/>
      <c r="AJ372" s="65"/>
      <c r="AK372" s="65"/>
      <c r="AL372" s="65"/>
      <c r="AM372" s="65"/>
      <c r="AN372" s="65"/>
      <c r="AO372" s="65"/>
      <c r="AP372" s="65"/>
      <c r="AQ372" s="61"/>
      <c r="AR372" s="65"/>
      <c r="AS372" s="65"/>
      <c r="AT372" s="65"/>
      <c r="AU372" s="61"/>
      <c r="AV372" s="61"/>
      <c r="AW372" s="61"/>
      <c r="AX372" s="61"/>
      <c r="AY372" s="61"/>
      <c r="AZ372" s="61"/>
      <c r="BB372" s="61"/>
      <c r="BC372" s="24"/>
      <c r="BD372" s="24"/>
    </row>
    <row r="373" spans="29:56" ht="15" customHeight="1" x14ac:dyDescent="0.2">
      <c r="AC373" s="201" t="str">
        <f t="shared" si="27"/>
        <v/>
      </c>
      <c r="AD373" s="201" t="str">
        <f t="shared" si="28"/>
        <v/>
      </c>
      <c r="AF373" s="134"/>
      <c r="AG373" s="65"/>
      <c r="AH373" s="65"/>
      <c r="AI373" s="65"/>
      <c r="AJ373" s="65"/>
      <c r="AK373" s="65"/>
      <c r="AL373" s="65"/>
      <c r="AM373" s="65"/>
      <c r="AN373" s="65"/>
      <c r="AO373" s="65"/>
      <c r="AP373" s="65"/>
      <c r="AQ373" s="61"/>
      <c r="AR373" s="65"/>
      <c r="AS373" s="65"/>
      <c r="AT373" s="65"/>
      <c r="AU373" s="61"/>
      <c r="AV373" s="61"/>
      <c r="AW373" s="61"/>
      <c r="AX373" s="61"/>
      <c r="AY373" s="61"/>
      <c r="AZ373" s="61"/>
      <c r="BB373" s="61"/>
      <c r="BC373" s="24"/>
      <c r="BD373" s="24"/>
    </row>
    <row r="374" spans="29:56" ht="15" customHeight="1" x14ac:dyDescent="0.2">
      <c r="AC374" s="201" t="str">
        <f t="shared" si="27"/>
        <v/>
      </c>
      <c r="AD374" s="201" t="str">
        <f t="shared" si="28"/>
        <v/>
      </c>
      <c r="AF374" s="134"/>
      <c r="AG374" s="65"/>
      <c r="AH374" s="65"/>
      <c r="AI374" s="65"/>
      <c r="AJ374" s="65"/>
      <c r="AK374" s="65"/>
      <c r="AL374" s="65"/>
      <c r="AM374" s="65"/>
      <c r="AN374" s="65"/>
      <c r="AO374" s="65"/>
      <c r="AP374" s="65"/>
      <c r="AQ374" s="61"/>
      <c r="AR374" s="65"/>
      <c r="AS374" s="65"/>
      <c r="AT374" s="65"/>
      <c r="AU374" s="61"/>
      <c r="AV374" s="61"/>
      <c r="AW374" s="61"/>
      <c r="AX374" s="61"/>
      <c r="AY374" s="61"/>
      <c r="AZ374" s="61"/>
      <c r="BB374" s="61"/>
      <c r="BC374" s="24"/>
      <c r="BD374" s="24"/>
    </row>
    <row r="375" spans="29:56" ht="15" customHeight="1" x14ac:dyDescent="0.2">
      <c r="AC375" s="201" t="str">
        <f t="shared" si="27"/>
        <v/>
      </c>
      <c r="AD375" s="201" t="str">
        <f t="shared" si="28"/>
        <v/>
      </c>
      <c r="AF375" s="134"/>
      <c r="AG375" s="65"/>
      <c r="AH375" s="65"/>
      <c r="AI375" s="65"/>
      <c r="AJ375" s="65"/>
      <c r="AK375" s="65"/>
      <c r="AL375" s="65"/>
      <c r="AM375" s="65"/>
      <c r="AN375" s="65"/>
      <c r="AO375" s="65"/>
      <c r="AP375" s="65"/>
      <c r="AQ375" s="61"/>
      <c r="AR375" s="65"/>
      <c r="AS375" s="65"/>
      <c r="AT375" s="65"/>
      <c r="AU375" s="61"/>
      <c r="AV375" s="61"/>
      <c r="AW375" s="61"/>
      <c r="AX375" s="61"/>
      <c r="AY375" s="61"/>
      <c r="AZ375" s="61"/>
      <c r="BB375" s="61"/>
      <c r="BC375" s="24"/>
      <c r="BD375" s="24"/>
    </row>
    <row r="376" spans="29:56" ht="15" customHeight="1" x14ac:dyDescent="0.2">
      <c r="AC376" s="201" t="str">
        <f t="shared" si="27"/>
        <v/>
      </c>
      <c r="AD376" s="201" t="str">
        <f t="shared" si="28"/>
        <v/>
      </c>
      <c r="AF376" s="134"/>
      <c r="AG376" s="65"/>
      <c r="AH376" s="65"/>
      <c r="AI376" s="65"/>
      <c r="AJ376" s="65"/>
      <c r="AK376" s="65"/>
      <c r="AL376" s="65"/>
      <c r="AM376" s="65"/>
      <c r="AN376" s="65"/>
      <c r="AO376" s="65"/>
      <c r="AP376" s="65"/>
      <c r="AQ376" s="61"/>
      <c r="AR376" s="65"/>
      <c r="AS376" s="65"/>
      <c r="AT376" s="65"/>
      <c r="AU376" s="61"/>
      <c r="AV376" s="61"/>
      <c r="AW376" s="61"/>
      <c r="AX376" s="61"/>
      <c r="AY376" s="61"/>
      <c r="AZ376" s="61"/>
      <c r="BB376" s="61"/>
      <c r="BC376" s="24"/>
      <c r="BD376" s="24"/>
    </row>
    <row r="377" spans="29:56" ht="15" customHeight="1" x14ac:dyDescent="0.2">
      <c r="AC377" s="201" t="str">
        <f t="shared" si="27"/>
        <v/>
      </c>
      <c r="AD377" s="201" t="str">
        <f t="shared" si="28"/>
        <v/>
      </c>
      <c r="AF377" s="134"/>
      <c r="AG377" s="65"/>
      <c r="AH377" s="65"/>
      <c r="AI377" s="65"/>
      <c r="AJ377" s="65"/>
      <c r="AK377" s="65"/>
      <c r="AL377" s="65"/>
      <c r="AM377" s="65"/>
      <c r="AN377" s="65"/>
      <c r="AO377" s="65"/>
      <c r="AP377" s="65"/>
      <c r="AQ377" s="61"/>
      <c r="AR377" s="65"/>
      <c r="AS377" s="65"/>
      <c r="AT377" s="65"/>
      <c r="AU377" s="61"/>
      <c r="AV377" s="61"/>
      <c r="AW377" s="61"/>
      <c r="AX377" s="61"/>
      <c r="AY377" s="61"/>
      <c r="AZ377" s="61"/>
      <c r="BB377" s="61"/>
      <c r="BC377" s="24"/>
      <c r="BD377" s="24"/>
    </row>
    <row r="378" spans="29:56" ht="15" customHeight="1" x14ac:dyDescent="0.2">
      <c r="AC378" s="201" t="str">
        <f t="shared" si="27"/>
        <v/>
      </c>
      <c r="AD378" s="201" t="str">
        <f t="shared" si="28"/>
        <v/>
      </c>
      <c r="AF378" s="134"/>
      <c r="AG378" s="65"/>
      <c r="AH378" s="65"/>
      <c r="AI378" s="65"/>
      <c r="AJ378" s="65"/>
      <c r="AK378" s="65"/>
      <c r="AL378" s="65"/>
      <c r="AM378" s="65"/>
      <c r="AN378" s="65"/>
      <c r="AO378" s="65"/>
      <c r="AP378" s="65"/>
      <c r="AQ378" s="61"/>
      <c r="AR378" s="65"/>
      <c r="AS378" s="65"/>
      <c r="AT378" s="65"/>
      <c r="AU378" s="61"/>
      <c r="AV378" s="61"/>
      <c r="AW378" s="61"/>
      <c r="AX378" s="61"/>
      <c r="AY378" s="61"/>
      <c r="AZ378" s="61"/>
      <c r="BB378" s="61"/>
      <c r="BC378" s="24"/>
      <c r="BD378" s="24"/>
    </row>
    <row r="379" spans="29:56" ht="15" customHeight="1" x14ac:dyDescent="0.2">
      <c r="AC379" s="201" t="str">
        <f t="shared" si="27"/>
        <v/>
      </c>
      <c r="AD379" s="201" t="str">
        <f t="shared" si="28"/>
        <v/>
      </c>
      <c r="AF379" s="134"/>
      <c r="AG379" s="65"/>
      <c r="AH379" s="65"/>
      <c r="AI379" s="65"/>
      <c r="AJ379" s="65"/>
      <c r="AK379" s="65"/>
      <c r="AL379" s="65"/>
      <c r="AM379" s="65"/>
      <c r="AN379" s="65"/>
      <c r="AO379" s="65"/>
      <c r="AP379" s="65"/>
      <c r="AQ379" s="61"/>
      <c r="AR379" s="65"/>
      <c r="AS379" s="65"/>
      <c r="AT379" s="65"/>
      <c r="AU379" s="61"/>
      <c r="AV379" s="61"/>
      <c r="AW379" s="61"/>
      <c r="AX379" s="61"/>
      <c r="AY379" s="61"/>
      <c r="AZ379" s="61"/>
      <c r="BB379" s="61"/>
      <c r="BC379" s="24"/>
      <c r="BD379" s="24"/>
    </row>
    <row r="380" spans="29:56" ht="15" customHeight="1" x14ac:dyDescent="0.2">
      <c r="AC380" s="201" t="str">
        <f t="shared" si="27"/>
        <v/>
      </c>
      <c r="AD380" s="201" t="str">
        <f t="shared" si="28"/>
        <v/>
      </c>
      <c r="AF380" s="134"/>
      <c r="AG380" s="65"/>
      <c r="AH380" s="65"/>
      <c r="AI380" s="65"/>
      <c r="AJ380" s="65"/>
      <c r="AK380" s="65"/>
      <c r="AL380" s="65"/>
      <c r="AM380" s="65"/>
      <c r="AN380" s="65"/>
      <c r="AO380" s="65"/>
      <c r="AP380" s="65"/>
      <c r="AQ380" s="61"/>
      <c r="AR380" s="65"/>
      <c r="AS380" s="65"/>
      <c r="AT380" s="65"/>
      <c r="AU380" s="61"/>
      <c r="AV380" s="61"/>
      <c r="AW380" s="61"/>
      <c r="AX380" s="61"/>
      <c r="AY380" s="61"/>
      <c r="AZ380" s="61"/>
      <c r="BB380" s="61"/>
      <c r="BC380" s="24"/>
      <c r="BD380" s="24"/>
    </row>
    <row r="381" spans="29:56" ht="15" customHeight="1" x14ac:dyDescent="0.2">
      <c r="AC381" s="201" t="str">
        <f t="shared" si="27"/>
        <v/>
      </c>
      <c r="AD381" s="201" t="str">
        <f t="shared" si="28"/>
        <v/>
      </c>
      <c r="AF381" s="134"/>
      <c r="AG381" s="65"/>
      <c r="AH381" s="65"/>
      <c r="AI381" s="65"/>
      <c r="AJ381" s="65"/>
      <c r="AK381" s="65"/>
      <c r="AL381" s="65"/>
      <c r="AM381" s="65"/>
      <c r="AN381" s="65"/>
      <c r="AO381" s="65"/>
      <c r="AP381" s="65"/>
      <c r="AQ381" s="61"/>
      <c r="AR381" s="65"/>
      <c r="AS381" s="65"/>
      <c r="AT381" s="65"/>
      <c r="AU381" s="61"/>
      <c r="AV381" s="61"/>
      <c r="AW381" s="61"/>
      <c r="AX381" s="61"/>
      <c r="AY381" s="61"/>
      <c r="AZ381" s="61"/>
      <c r="BB381" s="61"/>
      <c r="BC381" s="24"/>
      <c r="BD381" s="24"/>
    </row>
    <row r="382" spans="29:56" ht="15" customHeight="1" x14ac:dyDescent="0.2">
      <c r="AC382" s="201" t="str">
        <f t="shared" si="27"/>
        <v/>
      </c>
      <c r="AD382" s="201" t="str">
        <f t="shared" si="28"/>
        <v/>
      </c>
      <c r="AF382" s="134"/>
      <c r="AG382" s="65"/>
      <c r="AH382" s="65"/>
      <c r="AI382" s="65"/>
      <c r="AJ382" s="65"/>
      <c r="AK382" s="65"/>
      <c r="AL382" s="65"/>
      <c r="AM382" s="65"/>
      <c r="AN382" s="65"/>
      <c r="AO382" s="65"/>
      <c r="AP382" s="65"/>
      <c r="AQ382" s="61"/>
      <c r="AR382" s="65"/>
      <c r="AS382" s="65"/>
      <c r="AT382" s="65"/>
      <c r="AU382" s="61"/>
      <c r="AV382" s="61"/>
      <c r="AW382" s="61"/>
      <c r="AX382" s="61"/>
      <c r="AY382" s="61"/>
      <c r="AZ382" s="61"/>
      <c r="BB382" s="61"/>
      <c r="BC382" s="24"/>
      <c r="BD382" s="24"/>
    </row>
    <row r="383" spans="29:56" ht="15" customHeight="1" x14ac:dyDescent="0.2">
      <c r="AC383" s="201" t="str">
        <f t="shared" si="27"/>
        <v/>
      </c>
      <c r="AD383" s="201" t="str">
        <f t="shared" si="28"/>
        <v/>
      </c>
      <c r="AF383" s="134"/>
      <c r="AG383" s="65"/>
      <c r="AH383" s="65"/>
      <c r="AI383" s="65"/>
      <c r="AJ383" s="65"/>
      <c r="AK383" s="65"/>
      <c r="AL383" s="65"/>
      <c r="AM383" s="65"/>
      <c r="AN383" s="65"/>
      <c r="AO383" s="65"/>
      <c r="AP383" s="65"/>
      <c r="AQ383" s="61"/>
      <c r="AR383" s="65"/>
      <c r="AS383" s="65"/>
      <c r="AT383" s="65"/>
      <c r="AU383" s="61"/>
      <c r="AV383" s="61"/>
      <c r="AW383" s="61"/>
      <c r="AX383" s="61"/>
      <c r="AY383" s="61"/>
      <c r="AZ383" s="61"/>
      <c r="BB383" s="61"/>
      <c r="BC383" s="24"/>
      <c r="BD383" s="24"/>
    </row>
    <row r="384" spans="29:56" ht="15" customHeight="1" x14ac:dyDescent="0.2">
      <c r="AC384" s="201" t="str">
        <f t="shared" si="27"/>
        <v/>
      </c>
      <c r="AD384" s="201" t="str">
        <f t="shared" si="28"/>
        <v/>
      </c>
      <c r="AF384" s="134"/>
      <c r="AG384" s="65"/>
      <c r="AH384" s="65"/>
      <c r="AI384" s="65"/>
      <c r="AJ384" s="65"/>
      <c r="AK384" s="65"/>
      <c r="AL384" s="65"/>
      <c r="AM384" s="65"/>
      <c r="AN384" s="65"/>
      <c r="AO384" s="65"/>
      <c r="AP384" s="65"/>
      <c r="AQ384" s="61"/>
      <c r="AR384" s="65"/>
      <c r="AS384" s="65"/>
      <c r="AT384" s="65"/>
      <c r="AU384" s="61"/>
      <c r="AV384" s="61"/>
      <c r="AW384" s="61"/>
      <c r="AX384" s="61"/>
      <c r="AY384" s="61"/>
      <c r="AZ384" s="61"/>
      <c r="BB384" s="61"/>
      <c r="BC384" s="24"/>
      <c r="BD384" s="24"/>
    </row>
    <row r="385" spans="29:56" ht="15" customHeight="1" x14ac:dyDescent="0.2">
      <c r="AC385" s="201" t="str">
        <f t="shared" si="27"/>
        <v/>
      </c>
      <c r="AD385" s="201" t="str">
        <f t="shared" si="28"/>
        <v/>
      </c>
      <c r="AF385" s="134"/>
      <c r="AG385" s="65"/>
      <c r="AH385" s="65"/>
      <c r="AI385" s="65"/>
      <c r="AJ385" s="65"/>
      <c r="AK385" s="65"/>
      <c r="AL385" s="65"/>
      <c r="AM385" s="65"/>
      <c r="AN385" s="65"/>
      <c r="AO385" s="65"/>
      <c r="AP385" s="65"/>
      <c r="AQ385" s="61"/>
      <c r="AR385" s="65"/>
      <c r="AS385" s="65"/>
      <c r="AT385" s="65"/>
      <c r="AU385" s="61"/>
      <c r="AV385" s="61"/>
      <c r="AW385" s="61"/>
      <c r="AX385" s="61"/>
      <c r="AY385" s="61"/>
      <c r="AZ385" s="61"/>
      <c r="BB385" s="61"/>
      <c r="BC385" s="24"/>
      <c r="BD385" s="24"/>
    </row>
    <row r="386" spans="29:56" ht="15" customHeight="1" x14ac:dyDescent="0.2">
      <c r="AC386" s="201" t="str">
        <f t="shared" ref="AC386:AC449" si="29">IF(Q386="","",SQRT(($R386-$AT$68)^2+($S386-$AU$68)^2))</f>
        <v/>
      </c>
      <c r="AD386" s="201" t="str">
        <f t="shared" ref="AD386:AD449" si="30">IF(Q386="","",SQRT(($R386-$AR$68)^2+($S386-$AS$68)^2))</f>
        <v/>
      </c>
      <c r="AF386" s="134"/>
      <c r="AG386" s="65"/>
      <c r="AH386" s="65"/>
      <c r="AI386" s="65"/>
      <c r="AJ386" s="65"/>
      <c r="AK386" s="65"/>
      <c r="AL386" s="65"/>
      <c r="AM386" s="65"/>
      <c r="AN386" s="65"/>
      <c r="AO386" s="65"/>
      <c r="AP386" s="65"/>
      <c r="AQ386" s="61"/>
      <c r="AR386" s="65"/>
      <c r="AS386" s="65"/>
      <c r="AT386" s="65"/>
      <c r="AU386" s="61"/>
      <c r="AV386" s="61"/>
      <c r="AW386" s="61"/>
      <c r="AX386" s="61"/>
      <c r="AY386" s="61"/>
      <c r="AZ386" s="61"/>
      <c r="BB386" s="61"/>
      <c r="BC386" s="24"/>
      <c r="BD386" s="24"/>
    </row>
    <row r="387" spans="29:56" ht="15" customHeight="1" x14ac:dyDescent="0.2">
      <c r="AC387" s="201" t="str">
        <f t="shared" si="29"/>
        <v/>
      </c>
      <c r="AD387" s="201" t="str">
        <f t="shared" si="30"/>
        <v/>
      </c>
      <c r="AF387" s="134"/>
      <c r="AG387" s="65"/>
      <c r="AH387" s="65"/>
      <c r="AI387" s="65"/>
      <c r="AJ387" s="65"/>
      <c r="AK387" s="65"/>
      <c r="AL387" s="65"/>
      <c r="AM387" s="65"/>
      <c r="AN387" s="65"/>
      <c r="AO387" s="65"/>
      <c r="AP387" s="65"/>
      <c r="AQ387" s="61"/>
      <c r="AR387" s="65"/>
      <c r="AS387" s="65"/>
      <c r="AT387" s="65"/>
      <c r="AU387" s="61"/>
      <c r="AV387" s="61"/>
      <c r="AW387" s="61"/>
      <c r="AX387" s="61"/>
      <c r="AY387" s="61"/>
      <c r="AZ387" s="61"/>
      <c r="BB387" s="61"/>
      <c r="BC387" s="24"/>
      <c r="BD387" s="24"/>
    </row>
    <row r="388" spans="29:56" ht="15" customHeight="1" x14ac:dyDescent="0.2">
      <c r="AC388" s="201" t="str">
        <f t="shared" si="29"/>
        <v/>
      </c>
      <c r="AD388" s="201" t="str">
        <f t="shared" si="30"/>
        <v/>
      </c>
      <c r="AF388" s="134"/>
      <c r="AG388" s="65"/>
      <c r="AH388" s="65"/>
      <c r="AI388" s="65"/>
      <c r="AJ388" s="65"/>
      <c r="AK388" s="65"/>
      <c r="AL388" s="65"/>
      <c r="AM388" s="65"/>
      <c r="AN388" s="65"/>
      <c r="AO388" s="65"/>
      <c r="AP388" s="65"/>
      <c r="AQ388" s="61"/>
      <c r="AR388" s="65"/>
      <c r="AS388" s="65"/>
      <c r="AT388" s="65"/>
      <c r="AU388" s="61"/>
      <c r="AV388" s="61"/>
      <c r="AW388" s="61"/>
      <c r="AX388" s="61"/>
      <c r="AY388" s="61"/>
      <c r="AZ388" s="61"/>
      <c r="BB388" s="61"/>
      <c r="BC388" s="24"/>
      <c r="BD388" s="24"/>
    </row>
    <row r="389" spans="29:56" ht="15" customHeight="1" x14ac:dyDescent="0.2">
      <c r="AC389" s="201" t="str">
        <f t="shared" si="29"/>
        <v/>
      </c>
      <c r="AD389" s="201" t="str">
        <f t="shared" si="30"/>
        <v/>
      </c>
      <c r="AF389" s="134"/>
      <c r="AG389" s="65"/>
      <c r="AH389" s="65"/>
      <c r="AI389" s="65"/>
      <c r="AJ389" s="65"/>
      <c r="AK389" s="65"/>
      <c r="AL389" s="65"/>
      <c r="AM389" s="65"/>
      <c r="AN389" s="65"/>
      <c r="AO389" s="65"/>
      <c r="AP389" s="65"/>
      <c r="AQ389" s="61"/>
      <c r="AR389" s="65"/>
      <c r="AS389" s="65"/>
      <c r="AT389" s="65"/>
      <c r="AU389" s="61"/>
      <c r="AV389" s="61"/>
      <c r="AW389" s="61"/>
      <c r="AX389" s="61"/>
      <c r="AY389" s="61"/>
      <c r="AZ389" s="61"/>
      <c r="BB389" s="61"/>
      <c r="BC389" s="24"/>
      <c r="BD389" s="24"/>
    </row>
    <row r="390" spans="29:56" ht="15" customHeight="1" x14ac:dyDescent="0.2">
      <c r="AC390" s="201" t="str">
        <f t="shared" si="29"/>
        <v/>
      </c>
      <c r="AD390" s="201" t="str">
        <f t="shared" si="30"/>
        <v/>
      </c>
      <c r="AF390" s="134"/>
      <c r="AG390" s="65"/>
      <c r="AH390" s="65"/>
      <c r="AI390" s="65"/>
      <c r="AJ390" s="65"/>
      <c r="AK390" s="65"/>
      <c r="AL390" s="65"/>
      <c r="AM390" s="65"/>
      <c r="AN390" s="65"/>
      <c r="AO390" s="65"/>
      <c r="AP390" s="65"/>
      <c r="AQ390" s="61"/>
      <c r="AR390" s="65"/>
      <c r="AS390" s="65"/>
      <c r="AT390" s="65"/>
      <c r="AU390" s="61"/>
      <c r="AV390" s="61"/>
      <c r="AW390" s="61"/>
      <c r="AX390" s="61"/>
      <c r="AY390" s="61"/>
      <c r="AZ390" s="61"/>
      <c r="BB390" s="61"/>
      <c r="BC390" s="24"/>
      <c r="BD390" s="24"/>
    </row>
    <row r="391" spans="29:56" ht="15" customHeight="1" x14ac:dyDescent="0.2">
      <c r="AC391" s="201" t="str">
        <f t="shared" si="29"/>
        <v/>
      </c>
      <c r="AD391" s="201" t="str">
        <f t="shared" si="30"/>
        <v/>
      </c>
      <c r="AF391" s="134"/>
      <c r="AG391" s="65"/>
      <c r="AH391" s="65"/>
      <c r="AI391" s="65"/>
      <c r="AJ391" s="65"/>
      <c r="AK391" s="65"/>
      <c r="AL391" s="65"/>
      <c r="AM391" s="65"/>
      <c r="AN391" s="65"/>
      <c r="AO391" s="65"/>
      <c r="AP391" s="65"/>
      <c r="AQ391" s="61"/>
      <c r="AR391" s="65"/>
      <c r="AS391" s="65"/>
      <c r="AT391" s="65"/>
      <c r="AU391" s="61"/>
      <c r="AV391" s="61"/>
      <c r="AW391" s="61"/>
      <c r="AX391" s="61"/>
      <c r="AY391" s="61"/>
      <c r="AZ391" s="61"/>
      <c r="BB391" s="61"/>
      <c r="BC391" s="24"/>
      <c r="BD391" s="24"/>
    </row>
    <row r="392" spans="29:56" ht="15" customHeight="1" x14ac:dyDescent="0.2">
      <c r="AC392" s="201" t="str">
        <f t="shared" si="29"/>
        <v/>
      </c>
      <c r="AD392" s="201" t="str">
        <f t="shared" si="30"/>
        <v/>
      </c>
      <c r="AF392" s="134"/>
      <c r="AG392" s="65"/>
      <c r="AH392" s="65"/>
      <c r="AI392" s="65"/>
      <c r="AJ392" s="65"/>
      <c r="AK392" s="65"/>
      <c r="AL392" s="65"/>
      <c r="AM392" s="65"/>
      <c r="AN392" s="65"/>
      <c r="AO392" s="65"/>
      <c r="AP392" s="65"/>
      <c r="AQ392" s="61"/>
      <c r="AR392" s="65"/>
      <c r="AS392" s="65"/>
      <c r="AT392" s="65"/>
      <c r="AU392" s="61"/>
      <c r="AV392" s="61"/>
      <c r="AW392" s="61"/>
      <c r="AX392" s="61"/>
      <c r="AY392" s="61"/>
      <c r="AZ392" s="61"/>
      <c r="BB392" s="61"/>
      <c r="BC392" s="24"/>
      <c r="BD392" s="24"/>
    </row>
    <row r="393" spans="29:56" ht="15" customHeight="1" x14ac:dyDescent="0.2">
      <c r="AC393" s="201" t="str">
        <f t="shared" si="29"/>
        <v/>
      </c>
      <c r="AD393" s="201" t="str">
        <f t="shared" si="30"/>
        <v/>
      </c>
      <c r="AF393" s="134"/>
      <c r="AG393" s="65"/>
      <c r="AH393" s="65"/>
      <c r="AI393" s="65"/>
      <c r="AJ393" s="65"/>
      <c r="AK393" s="65"/>
      <c r="AL393" s="65"/>
      <c r="AM393" s="65"/>
      <c r="AN393" s="65"/>
      <c r="AO393" s="65"/>
      <c r="AP393" s="65"/>
      <c r="AQ393" s="61"/>
      <c r="AR393" s="65"/>
      <c r="AS393" s="65"/>
      <c r="AT393" s="65"/>
      <c r="AU393" s="61"/>
      <c r="AV393" s="61"/>
      <c r="AW393" s="61"/>
      <c r="AX393" s="61"/>
      <c r="AY393" s="61"/>
      <c r="AZ393" s="61"/>
      <c r="BB393" s="61"/>
      <c r="BC393" s="24"/>
      <c r="BD393" s="24"/>
    </row>
    <row r="394" spans="29:56" ht="15" customHeight="1" x14ac:dyDescent="0.2">
      <c r="AC394" s="201" t="str">
        <f t="shared" si="29"/>
        <v/>
      </c>
      <c r="AD394" s="201" t="str">
        <f t="shared" si="30"/>
        <v/>
      </c>
      <c r="AF394" s="134"/>
      <c r="AG394" s="65"/>
      <c r="AH394" s="65"/>
      <c r="AI394" s="65"/>
      <c r="AJ394" s="65"/>
      <c r="AK394" s="65"/>
      <c r="AL394" s="65"/>
      <c r="AM394" s="65"/>
      <c r="AN394" s="65"/>
      <c r="AO394" s="65"/>
      <c r="AP394" s="65"/>
      <c r="AQ394" s="61"/>
      <c r="AR394" s="65"/>
      <c r="AS394" s="65"/>
      <c r="AT394" s="65"/>
      <c r="AU394" s="61"/>
      <c r="AV394" s="61"/>
      <c r="AW394" s="61"/>
      <c r="AX394" s="61"/>
      <c r="AY394" s="61"/>
      <c r="AZ394" s="61"/>
      <c r="BB394" s="61"/>
      <c r="BC394" s="24"/>
      <c r="BD394" s="24"/>
    </row>
    <row r="395" spans="29:56" ht="15" customHeight="1" x14ac:dyDescent="0.2">
      <c r="AC395" s="201" t="str">
        <f t="shared" si="29"/>
        <v/>
      </c>
      <c r="AD395" s="201" t="str">
        <f t="shared" si="30"/>
        <v/>
      </c>
      <c r="AF395" s="134"/>
      <c r="AG395" s="65"/>
      <c r="AH395" s="65"/>
      <c r="AI395" s="65"/>
      <c r="AJ395" s="65"/>
      <c r="AK395" s="65"/>
      <c r="AL395" s="65"/>
      <c r="AM395" s="65"/>
      <c r="AN395" s="65"/>
      <c r="AO395" s="65"/>
      <c r="AP395" s="65"/>
      <c r="AQ395" s="61"/>
      <c r="AR395" s="65"/>
      <c r="AS395" s="65"/>
      <c r="AT395" s="65"/>
      <c r="AU395" s="61"/>
      <c r="AV395" s="61"/>
      <c r="AW395" s="61"/>
      <c r="AX395" s="61"/>
      <c r="AY395" s="61"/>
      <c r="AZ395" s="61"/>
      <c r="BB395" s="61"/>
      <c r="BC395" s="24"/>
      <c r="BD395" s="24"/>
    </row>
    <row r="396" spans="29:56" ht="15" customHeight="1" x14ac:dyDescent="0.2">
      <c r="AC396" s="201" t="str">
        <f t="shared" si="29"/>
        <v/>
      </c>
      <c r="AD396" s="201" t="str">
        <f t="shared" si="30"/>
        <v/>
      </c>
      <c r="AF396" s="134"/>
      <c r="AG396" s="65"/>
      <c r="AH396" s="65"/>
      <c r="AI396" s="65"/>
      <c r="AJ396" s="65"/>
      <c r="AK396" s="65"/>
      <c r="AL396" s="65"/>
      <c r="AM396" s="65"/>
      <c r="AN396" s="65"/>
      <c r="AO396" s="65"/>
      <c r="AP396" s="65"/>
      <c r="AQ396" s="61"/>
      <c r="AR396" s="65"/>
      <c r="AS396" s="65"/>
      <c r="AT396" s="65"/>
      <c r="AU396" s="61"/>
      <c r="AV396" s="61"/>
      <c r="AW396" s="61"/>
      <c r="AX396" s="61"/>
      <c r="AY396" s="61"/>
      <c r="AZ396" s="61"/>
      <c r="BB396" s="61"/>
      <c r="BC396" s="24"/>
      <c r="BD396" s="24"/>
    </row>
    <row r="397" spans="29:56" ht="15" customHeight="1" x14ac:dyDescent="0.2">
      <c r="AC397" s="201" t="str">
        <f t="shared" si="29"/>
        <v/>
      </c>
      <c r="AD397" s="201" t="str">
        <f t="shared" si="30"/>
        <v/>
      </c>
      <c r="AF397" s="134"/>
      <c r="AG397" s="65"/>
      <c r="AH397" s="65"/>
      <c r="AI397" s="65"/>
      <c r="AJ397" s="65"/>
      <c r="AK397" s="65"/>
      <c r="AL397" s="65"/>
      <c r="AM397" s="65"/>
      <c r="AN397" s="65"/>
      <c r="AO397" s="65"/>
      <c r="AP397" s="65"/>
      <c r="AQ397" s="61"/>
      <c r="AR397" s="65"/>
      <c r="AS397" s="65"/>
      <c r="AT397" s="65"/>
      <c r="AU397" s="61"/>
      <c r="AV397" s="61"/>
      <c r="AW397" s="61"/>
      <c r="AX397" s="61"/>
      <c r="AY397" s="61"/>
      <c r="AZ397" s="61"/>
      <c r="BB397" s="61"/>
      <c r="BC397" s="24"/>
      <c r="BD397" s="24"/>
    </row>
    <row r="398" spans="29:56" ht="15" customHeight="1" x14ac:dyDescent="0.2">
      <c r="AC398" s="201" t="str">
        <f t="shared" si="29"/>
        <v/>
      </c>
      <c r="AD398" s="201" t="str">
        <f t="shared" si="30"/>
        <v/>
      </c>
      <c r="AF398" s="134"/>
      <c r="AG398" s="65"/>
      <c r="AH398" s="65"/>
      <c r="AI398" s="65"/>
      <c r="AJ398" s="65"/>
      <c r="AK398" s="65"/>
      <c r="AL398" s="65"/>
      <c r="AM398" s="65"/>
      <c r="AN398" s="65"/>
      <c r="AO398" s="65"/>
      <c r="AP398" s="65"/>
      <c r="AQ398" s="61"/>
      <c r="AR398" s="65"/>
      <c r="AS398" s="65"/>
      <c r="AT398" s="65"/>
      <c r="AU398" s="61"/>
      <c r="AV398" s="61"/>
      <c r="AW398" s="61"/>
      <c r="AX398" s="61"/>
      <c r="AY398" s="61"/>
      <c r="AZ398" s="61"/>
      <c r="BB398" s="61"/>
      <c r="BC398" s="24"/>
      <c r="BD398" s="24"/>
    </row>
    <row r="399" spans="29:56" ht="15" customHeight="1" x14ac:dyDescent="0.2">
      <c r="AC399" s="201" t="str">
        <f t="shared" si="29"/>
        <v/>
      </c>
      <c r="AD399" s="201" t="str">
        <f t="shared" si="30"/>
        <v/>
      </c>
      <c r="AF399" s="134"/>
      <c r="AG399" s="65"/>
      <c r="AH399" s="65"/>
      <c r="AI399" s="65"/>
      <c r="AJ399" s="65"/>
      <c r="AK399" s="65"/>
      <c r="AL399" s="65"/>
      <c r="AM399" s="65"/>
      <c r="AN399" s="65"/>
      <c r="AO399" s="65"/>
      <c r="AP399" s="65"/>
      <c r="AQ399" s="61"/>
      <c r="AR399" s="65"/>
      <c r="AS399" s="65"/>
      <c r="AT399" s="65"/>
      <c r="AU399" s="61"/>
      <c r="AV399" s="61"/>
      <c r="AW399" s="61"/>
      <c r="AX399" s="61"/>
      <c r="AY399" s="61"/>
      <c r="AZ399" s="61"/>
      <c r="BB399" s="61"/>
      <c r="BC399" s="24"/>
      <c r="BD399" s="24"/>
    </row>
    <row r="400" spans="29:56" ht="15" customHeight="1" x14ac:dyDescent="0.2">
      <c r="AC400" s="201" t="str">
        <f t="shared" si="29"/>
        <v/>
      </c>
      <c r="AD400" s="201" t="str">
        <f t="shared" si="30"/>
        <v/>
      </c>
      <c r="AF400" s="134"/>
      <c r="AG400" s="65"/>
      <c r="AH400" s="65"/>
      <c r="AI400" s="65"/>
      <c r="AJ400" s="65"/>
      <c r="AK400" s="65"/>
      <c r="AL400" s="65"/>
      <c r="AM400" s="65"/>
      <c r="AN400" s="65"/>
      <c r="AO400" s="65"/>
      <c r="AP400" s="65"/>
      <c r="AQ400" s="61"/>
      <c r="AR400" s="65"/>
      <c r="AS400" s="65"/>
      <c r="AT400" s="65"/>
      <c r="AU400" s="61"/>
      <c r="AV400" s="61"/>
      <c r="AW400" s="61"/>
      <c r="AX400" s="61"/>
      <c r="AY400" s="61"/>
      <c r="AZ400" s="61"/>
      <c r="BB400" s="61"/>
      <c r="BC400" s="24"/>
      <c r="BD400" s="24"/>
    </row>
    <row r="401" spans="29:56" ht="15" customHeight="1" x14ac:dyDescent="0.2">
      <c r="AC401" s="201" t="str">
        <f t="shared" si="29"/>
        <v/>
      </c>
      <c r="AD401" s="201" t="str">
        <f t="shared" si="30"/>
        <v/>
      </c>
      <c r="AF401" s="134"/>
      <c r="AG401" s="65"/>
      <c r="AH401" s="65"/>
      <c r="AI401" s="65"/>
      <c r="AJ401" s="65"/>
      <c r="AK401" s="65"/>
      <c r="AL401" s="65"/>
      <c r="AM401" s="65"/>
      <c r="AN401" s="65"/>
      <c r="AO401" s="65"/>
      <c r="AP401" s="65"/>
      <c r="AQ401" s="61"/>
      <c r="AR401" s="65"/>
      <c r="AS401" s="65"/>
      <c r="AT401" s="65"/>
      <c r="AU401" s="61"/>
      <c r="AV401" s="61"/>
      <c r="AW401" s="61"/>
      <c r="AX401" s="61"/>
      <c r="AY401" s="61"/>
      <c r="AZ401" s="61"/>
      <c r="BB401" s="61"/>
      <c r="BC401" s="24"/>
      <c r="BD401" s="24"/>
    </row>
    <row r="402" spans="29:56" ht="15" customHeight="1" x14ac:dyDescent="0.2">
      <c r="AC402" s="201" t="str">
        <f t="shared" si="29"/>
        <v/>
      </c>
      <c r="AD402" s="201" t="str">
        <f t="shared" si="30"/>
        <v/>
      </c>
      <c r="AF402" s="134"/>
      <c r="AG402" s="65"/>
      <c r="AH402" s="65"/>
      <c r="AI402" s="65"/>
      <c r="AJ402" s="65"/>
      <c r="AK402" s="65"/>
      <c r="AL402" s="65"/>
      <c r="AM402" s="65"/>
      <c r="AN402" s="65"/>
      <c r="AO402" s="65"/>
      <c r="AP402" s="65"/>
      <c r="AQ402" s="61"/>
      <c r="AR402" s="65"/>
      <c r="AS402" s="65"/>
      <c r="AT402" s="65"/>
      <c r="AU402" s="61"/>
      <c r="AV402" s="61"/>
      <c r="AW402" s="61"/>
      <c r="AX402" s="61"/>
      <c r="AY402" s="61"/>
      <c r="AZ402" s="61"/>
      <c r="BB402" s="61"/>
      <c r="BC402" s="24"/>
      <c r="BD402" s="24"/>
    </row>
    <row r="403" spans="29:56" ht="15" customHeight="1" x14ac:dyDescent="0.2">
      <c r="AC403" s="201" t="str">
        <f t="shared" si="29"/>
        <v/>
      </c>
      <c r="AD403" s="201" t="str">
        <f t="shared" si="30"/>
        <v/>
      </c>
      <c r="AF403" s="134"/>
      <c r="AG403" s="65"/>
      <c r="AH403" s="65"/>
      <c r="AI403" s="65"/>
      <c r="AJ403" s="65"/>
      <c r="AK403" s="65"/>
      <c r="AL403" s="65"/>
      <c r="AM403" s="65"/>
      <c r="AN403" s="65"/>
      <c r="AO403" s="65"/>
      <c r="AP403" s="65"/>
      <c r="AQ403" s="61"/>
      <c r="AR403" s="65"/>
      <c r="AS403" s="65"/>
      <c r="AT403" s="65"/>
      <c r="AU403" s="61"/>
      <c r="AV403" s="61"/>
      <c r="AW403" s="61"/>
      <c r="AX403" s="61"/>
      <c r="AY403" s="61"/>
      <c r="AZ403" s="61"/>
      <c r="BB403" s="61"/>
      <c r="BC403" s="24"/>
      <c r="BD403" s="24"/>
    </row>
    <row r="404" spans="29:56" ht="15" customHeight="1" x14ac:dyDescent="0.2">
      <c r="AC404" s="201" t="str">
        <f t="shared" si="29"/>
        <v/>
      </c>
      <c r="AD404" s="201" t="str">
        <f t="shared" si="30"/>
        <v/>
      </c>
      <c r="AF404" s="134"/>
      <c r="AG404" s="65"/>
      <c r="AH404" s="65"/>
      <c r="AI404" s="65"/>
      <c r="AJ404" s="65"/>
      <c r="AK404" s="65"/>
      <c r="AL404" s="65"/>
      <c r="AM404" s="65"/>
      <c r="AN404" s="65"/>
      <c r="AO404" s="65"/>
      <c r="AP404" s="65"/>
      <c r="AQ404" s="61"/>
      <c r="AR404" s="65"/>
      <c r="AS404" s="65"/>
      <c r="AT404" s="65"/>
      <c r="AU404" s="61"/>
      <c r="AV404" s="61"/>
      <c r="AW404" s="61"/>
      <c r="AX404" s="61"/>
      <c r="AY404" s="61"/>
      <c r="AZ404" s="61"/>
      <c r="BB404" s="61"/>
      <c r="BC404" s="24"/>
      <c r="BD404" s="24"/>
    </row>
    <row r="405" spans="29:56" ht="15" customHeight="1" x14ac:dyDescent="0.2">
      <c r="AC405" s="201" t="str">
        <f t="shared" si="29"/>
        <v/>
      </c>
      <c r="AD405" s="201" t="str">
        <f t="shared" si="30"/>
        <v/>
      </c>
      <c r="AF405" s="134"/>
      <c r="AG405" s="65"/>
      <c r="AH405" s="65"/>
      <c r="AI405" s="65"/>
      <c r="AJ405" s="65"/>
      <c r="AK405" s="65"/>
      <c r="AL405" s="65"/>
      <c r="AM405" s="65"/>
      <c r="AN405" s="65"/>
      <c r="AO405" s="65"/>
      <c r="AP405" s="65"/>
      <c r="AQ405" s="61"/>
      <c r="AR405" s="65"/>
      <c r="AS405" s="65"/>
      <c r="AT405" s="65"/>
      <c r="AU405" s="61"/>
      <c r="AV405" s="61"/>
      <c r="AW405" s="61"/>
      <c r="AX405" s="61"/>
      <c r="AY405" s="61"/>
      <c r="AZ405" s="61"/>
      <c r="BB405" s="61"/>
      <c r="BC405" s="24"/>
      <c r="BD405" s="24"/>
    </row>
    <row r="406" spans="29:56" ht="15" customHeight="1" x14ac:dyDescent="0.2">
      <c r="AC406" s="201" t="str">
        <f t="shared" si="29"/>
        <v/>
      </c>
      <c r="AD406" s="201" t="str">
        <f t="shared" si="30"/>
        <v/>
      </c>
      <c r="AF406" s="134"/>
      <c r="AG406" s="65"/>
      <c r="AH406" s="65"/>
      <c r="AI406" s="65"/>
      <c r="AJ406" s="65"/>
      <c r="AK406" s="65"/>
      <c r="AL406" s="65"/>
      <c r="AM406" s="65"/>
      <c r="AN406" s="65"/>
      <c r="AO406" s="65"/>
      <c r="AP406" s="65"/>
      <c r="AQ406" s="61"/>
      <c r="AR406" s="65"/>
      <c r="AS406" s="65"/>
      <c r="AT406" s="65"/>
      <c r="AU406" s="61"/>
      <c r="AV406" s="61"/>
      <c r="AW406" s="61"/>
      <c r="AX406" s="61"/>
      <c r="AY406" s="61"/>
      <c r="AZ406" s="61"/>
      <c r="BB406" s="61"/>
      <c r="BC406" s="24"/>
      <c r="BD406" s="24"/>
    </row>
    <row r="407" spans="29:56" ht="15" customHeight="1" x14ac:dyDescent="0.2">
      <c r="AC407" s="201" t="str">
        <f t="shared" si="29"/>
        <v/>
      </c>
      <c r="AD407" s="201" t="str">
        <f t="shared" si="30"/>
        <v/>
      </c>
      <c r="AF407" s="134"/>
      <c r="AG407" s="65"/>
      <c r="AH407" s="65"/>
      <c r="AI407" s="65"/>
      <c r="AJ407" s="65"/>
      <c r="AK407" s="65"/>
      <c r="AL407" s="65"/>
      <c r="AM407" s="65"/>
      <c r="AN407" s="65"/>
      <c r="AO407" s="65"/>
      <c r="AP407" s="65"/>
      <c r="AQ407" s="61"/>
      <c r="AR407" s="65"/>
      <c r="AS407" s="65"/>
      <c r="AT407" s="65"/>
      <c r="AU407" s="61"/>
      <c r="AV407" s="61"/>
      <c r="AW407" s="61"/>
      <c r="AX407" s="61"/>
      <c r="AY407" s="61"/>
      <c r="AZ407" s="61"/>
      <c r="BB407" s="61"/>
      <c r="BC407" s="24"/>
      <c r="BD407" s="24"/>
    </row>
    <row r="408" spans="29:56" ht="15" customHeight="1" x14ac:dyDescent="0.2">
      <c r="AC408" s="201" t="str">
        <f t="shared" si="29"/>
        <v/>
      </c>
      <c r="AD408" s="201" t="str">
        <f t="shared" si="30"/>
        <v/>
      </c>
      <c r="AF408" s="134"/>
      <c r="AG408" s="65"/>
      <c r="AH408" s="65"/>
      <c r="AI408" s="65"/>
      <c r="AJ408" s="65"/>
      <c r="AK408" s="65"/>
      <c r="AL408" s="65"/>
      <c r="AM408" s="65"/>
      <c r="AN408" s="65"/>
      <c r="AO408" s="65"/>
      <c r="AP408" s="65"/>
      <c r="AQ408" s="61"/>
      <c r="AR408" s="65"/>
      <c r="AS408" s="65"/>
      <c r="AT408" s="65"/>
      <c r="AU408" s="61"/>
      <c r="AV408" s="61"/>
      <c r="AW408" s="61"/>
      <c r="AX408" s="61"/>
      <c r="AY408" s="61"/>
      <c r="AZ408" s="61"/>
      <c r="BB408" s="61"/>
      <c r="BC408" s="24"/>
      <c r="BD408" s="24"/>
    </row>
    <row r="409" spans="29:56" ht="15" customHeight="1" x14ac:dyDescent="0.2">
      <c r="AC409" s="201" t="str">
        <f t="shared" si="29"/>
        <v/>
      </c>
      <c r="AD409" s="201" t="str">
        <f t="shared" si="30"/>
        <v/>
      </c>
      <c r="AF409" s="134"/>
      <c r="AG409" s="65"/>
      <c r="AH409" s="65"/>
      <c r="AI409" s="65"/>
      <c r="AJ409" s="65"/>
      <c r="AK409" s="65"/>
      <c r="AL409" s="65"/>
      <c r="AM409" s="65"/>
      <c r="AN409" s="65"/>
      <c r="AO409" s="65"/>
      <c r="AP409" s="65"/>
      <c r="AQ409" s="61"/>
      <c r="AR409" s="65"/>
      <c r="AS409" s="65"/>
      <c r="AT409" s="65"/>
      <c r="AU409" s="61"/>
      <c r="AV409" s="61"/>
      <c r="AW409" s="61"/>
      <c r="AX409" s="61"/>
      <c r="AY409" s="61"/>
      <c r="AZ409" s="61"/>
      <c r="BB409" s="61"/>
      <c r="BC409" s="24"/>
      <c r="BD409" s="24"/>
    </row>
    <row r="410" spans="29:56" ht="15" customHeight="1" x14ac:dyDescent="0.2">
      <c r="AC410" s="201" t="str">
        <f t="shared" si="29"/>
        <v/>
      </c>
      <c r="AD410" s="201" t="str">
        <f t="shared" si="30"/>
        <v/>
      </c>
      <c r="AF410" s="134"/>
      <c r="AG410" s="65"/>
      <c r="AH410" s="65"/>
      <c r="AI410" s="65"/>
      <c r="AJ410" s="65"/>
      <c r="AK410" s="65"/>
      <c r="AL410" s="65"/>
      <c r="AM410" s="65"/>
      <c r="AN410" s="65"/>
      <c r="AO410" s="65"/>
      <c r="AP410" s="65"/>
      <c r="AQ410" s="61"/>
      <c r="AR410" s="65"/>
      <c r="AS410" s="65"/>
      <c r="AT410" s="65"/>
      <c r="AU410" s="61"/>
      <c r="AV410" s="61"/>
      <c r="AW410" s="61"/>
      <c r="AX410" s="61"/>
      <c r="AY410" s="61"/>
      <c r="AZ410" s="61"/>
      <c r="BB410" s="61"/>
      <c r="BC410" s="24"/>
      <c r="BD410" s="24"/>
    </row>
    <row r="411" spans="29:56" ht="15" customHeight="1" x14ac:dyDescent="0.2">
      <c r="AC411" s="201" t="str">
        <f t="shared" si="29"/>
        <v/>
      </c>
      <c r="AD411" s="201" t="str">
        <f t="shared" si="30"/>
        <v/>
      </c>
      <c r="AF411" s="134"/>
      <c r="AG411" s="65"/>
      <c r="AH411" s="65"/>
      <c r="AI411" s="65"/>
      <c r="AJ411" s="65"/>
      <c r="AK411" s="65"/>
      <c r="AL411" s="65"/>
      <c r="AM411" s="65"/>
      <c r="AN411" s="65"/>
      <c r="AO411" s="65"/>
      <c r="AP411" s="65"/>
      <c r="AQ411" s="61"/>
      <c r="AR411" s="65"/>
      <c r="AS411" s="65"/>
      <c r="AT411" s="65"/>
      <c r="AU411" s="61"/>
      <c r="AV411" s="61"/>
      <c r="AW411" s="61"/>
      <c r="AX411" s="61"/>
      <c r="AY411" s="61"/>
      <c r="AZ411" s="61"/>
      <c r="BB411" s="61"/>
      <c r="BC411" s="24"/>
      <c r="BD411" s="24"/>
    </row>
    <row r="412" spans="29:56" ht="15" customHeight="1" x14ac:dyDescent="0.2">
      <c r="AC412" s="201" t="str">
        <f t="shared" si="29"/>
        <v/>
      </c>
      <c r="AD412" s="201" t="str">
        <f t="shared" si="30"/>
        <v/>
      </c>
      <c r="AF412" s="134"/>
      <c r="AG412" s="65"/>
      <c r="AH412" s="65"/>
      <c r="AI412" s="65"/>
      <c r="AJ412" s="65"/>
      <c r="AK412" s="65"/>
      <c r="AL412" s="65"/>
      <c r="AM412" s="65"/>
      <c r="AN412" s="65"/>
      <c r="AO412" s="65"/>
      <c r="AP412" s="65"/>
      <c r="AQ412" s="61"/>
      <c r="AR412" s="65"/>
      <c r="AS412" s="65"/>
      <c r="AT412" s="65"/>
      <c r="AU412" s="61"/>
      <c r="AV412" s="61"/>
      <c r="AW412" s="61"/>
      <c r="AX412" s="61"/>
      <c r="AY412" s="61"/>
      <c r="AZ412" s="61"/>
      <c r="BB412" s="61"/>
      <c r="BC412" s="24"/>
      <c r="BD412" s="24"/>
    </row>
    <row r="413" spans="29:56" ht="15" customHeight="1" x14ac:dyDescent="0.2">
      <c r="AC413" s="201" t="str">
        <f t="shared" si="29"/>
        <v/>
      </c>
      <c r="AD413" s="201" t="str">
        <f t="shared" si="30"/>
        <v/>
      </c>
      <c r="AF413" s="134"/>
      <c r="AG413" s="65"/>
      <c r="AH413" s="65"/>
      <c r="AI413" s="65"/>
      <c r="AJ413" s="65"/>
      <c r="AK413" s="65"/>
      <c r="AL413" s="65"/>
      <c r="AM413" s="65"/>
      <c r="AN413" s="65"/>
      <c r="AO413" s="65"/>
      <c r="AP413" s="65"/>
      <c r="AQ413" s="61"/>
      <c r="AR413" s="65"/>
      <c r="AS413" s="65"/>
      <c r="AT413" s="65"/>
      <c r="AU413" s="61"/>
      <c r="AV413" s="61"/>
      <c r="AW413" s="61"/>
      <c r="AX413" s="61"/>
      <c r="AY413" s="61"/>
      <c r="AZ413" s="61"/>
      <c r="BB413" s="61"/>
      <c r="BC413" s="24"/>
      <c r="BD413" s="24"/>
    </row>
    <row r="414" spans="29:56" ht="15" customHeight="1" x14ac:dyDescent="0.2">
      <c r="AC414" s="201" t="str">
        <f t="shared" si="29"/>
        <v/>
      </c>
      <c r="AD414" s="201" t="str">
        <f t="shared" si="30"/>
        <v/>
      </c>
      <c r="AF414" s="134"/>
      <c r="AG414" s="65"/>
      <c r="AH414" s="65"/>
      <c r="AI414" s="65"/>
      <c r="AJ414" s="65"/>
      <c r="AK414" s="65"/>
      <c r="AL414" s="65"/>
      <c r="AM414" s="65"/>
      <c r="AN414" s="65"/>
      <c r="AO414" s="65"/>
      <c r="AP414" s="65"/>
      <c r="AQ414" s="61"/>
      <c r="AR414" s="65"/>
      <c r="AS414" s="65"/>
      <c r="AT414" s="65"/>
      <c r="AU414" s="61"/>
      <c r="AV414" s="61"/>
      <c r="AW414" s="61"/>
      <c r="AX414" s="61"/>
      <c r="AY414" s="61"/>
      <c r="AZ414" s="61"/>
      <c r="BB414" s="61"/>
      <c r="BC414" s="24"/>
      <c r="BD414" s="24"/>
    </row>
    <row r="415" spans="29:56" ht="15" customHeight="1" x14ac:dyDescent="0.2">
      <c r="AC415" s="201" t="str">
        <f t="shared" si="29"/>
        <v/>
      </c>
      <c r="AD415" s="201" t="str">
        <f t="shared" si="30"/>
        <v/>
      </c>
      <c r="AF415" s="134"/>
      <c r="AG415" s="65"/>
      <c r="AH415" s="65"/>
      <c r="AI415" s="65"/>
      <c r="AJ415" s="65"/>
      <c r="AK415" s="65"/>
      <c r="AL415" s="65"/>
      <c r="AM415" s="65"/>
      <c r="AN415" s="65"/>
      <c r="AO415" s="65"/>
      <c r="AP415" s="65"/>
      <c r="AQ415" s="61"/>
      <c r="AR415" s="65"/>
      <c r="AS415" s="65"/>
      <c r="AT415" s="65"/>
      <c r="AU415" s="61"/>
      <c r="AV415" s="61"/>
      <c r="AW415" s="61"/>
      <c r="AX415" s="61"/>
      <c r="AY415" s="61"/>
      <c r="AZ415" s="61"/>
      <c r="BB415" s="61"/>
      <c r="BC415" s="24"/>
      <c r="BD415" s="24"/>
    </row>
    <row r="416" spans="29:56" ht="15" customHeight="1" x14ac:dyDescent="0.2">
      <c r="AC416" s="201" t="str">
        <f t="shared" si="29"/>
        <v/>
      </c>
      <c r="AD416" s="201" t="str">
        <f t="shared" si="30"/>
        <v/>
      </c>
      <c r="AF416" s="134"/>
      <c r="AG416" s="65"/>
      <c r="AH416" s="65"/>
      <c r="AI416" s="65"/>
      <c r="AJ416" s="65"/>
      <c r="AK416" s="65"/>
      <c r="AL416" s="65"/>
      <c r="AM416" s="65"/>
      <c r="AN416" s="65"/>
      <c r="AO416" s="65"/>
      <c r="AP416" s="65"/>
      <c r="AQ416" s="61"/>
      <c r="AR416" s="65"/>
      <c r="AS416" s="65"/>
      <c r="AT416" s="65"/>
      <c r="AU416" s="61"/>
      <c r="AV416" s="61"/>
      <c r="AW416" s="61"/>
      <c r="AX416" s="61"/>
      <c r="AY416" s="61"/>
      <c r="AZ416" s="61"/>
      <c r="BB416" s="61"/>
      <c r="BC416" s="24"/>
      <c r="BD416" s="24"/>
    </row>
    <row r="417" spans="29:56" ht="15" customHeight="1" x14ac:dyDescent="0.2">
      <c r="AC417" s="201" t="str">
        <f t="shared" si="29"/>
        <v/>
      </c>
      <c r="AD417" s="201" t="str">
        <f t="shared" si="30"/>
        <v/>
      </c>
      <c r="AF417" s="134"/>
      <c r="AG417" s="65"/>
      <c r="AH417" s="65"/>
      <c r="AI417" s="65"/>
      <c r="AJ417" s="65"/>
      <c r="AK417" s="65"/>
      <c r="AL417" s="65"/>
      <c r="AM417" s="65"/>
      <c r="AN417" s="65"/>
      <c r="AO417" s="65"/>
      <c r="AP417" s="65"/>
      <c r="AQ417" s="61"/>
      <c r="AR417" s="65"/>
      <c r="AS417" s="65"/>
      <c r="AT417" s="65"/>
      <c r="AU417" s="61"/>
      <c r="AV417" s="61"/>
      <c r="AW417" s="61"/>
      <c r="AX417" s="61"/>
      <c r="AY417" s="61"/>
      <c r="AZ417" s="61"/>
      <c r="BB417" s="61"/>
      <c r="BC417" s="24"/>
      <c r="BD417" s="24"/>
    </row>
    <row r="418" spans="29:56" ht="15" customHeight="1" x14ac:dyDescent="0.2">
      <c r="AC418" s="201" t="str">
        <f t="shared" si="29"/>
        <v/>
      </c>
      <c r="AD418" s="201" t="str">
        <f t="shared" si="30"/>
        <v/>
      </c>
      <c r="AF418" s="134"/>
      <c r="AG418" s="65"/>
      <c r="AH418" s="65"/>
      <c r="AI418" s="65"/>
      <c r="AJ418" s="65"/>
      <c r="AK418" s="65"/>
      <c r="AL418" s="65"/>
      <c r="AM418" s="65"/>
      <c r="AN418" s="65"/>
      <c r="AO418" s="65"/>
      <c r="AP418" s="65"/>
      <c r="AQ418" s="61"/>
      <c r="AR418" s="65"/>
      <c r="AS418" s="65"/>
      <c r="AT418" s="65"/>
      <c r="AU418" s="61"/>
      <c r="AV418" s="61"/>
      <c r="AW418" s="61"/>
      <c r="AX418" s="61"/>
      <c r="AY418" s="61"/>
      <c r="AZ418" s="61"/>
      <c r="BB418" s="61"/>
      <c r="BC418" s="24"/>
      <c r="BD418" s="24"/>
    </row>
    <row r="419" spans="29:56" ht="15" customHeight="1" x14ac:dyDescent="0.2">
      <c r="AC419" s="201" t="str">
        <f t="shared" si="29"/>
        <v/>
      </c>
      <c r="AD419" s="201" t="str">
        <f t="shared" si="30"/>
        <v/>
      </c>
      <c r="AF419" s="134"/>
      <c r="AG419" s="65"/>
      <c r="AH419" s="65"/>
      <c r="AI419" s="65"/>
      <c r="AJ419" s="65"/>
      <c r="AK419" s="65"/>
      <c r="AL419" s="65"/>
      <c r="AM419" s="65"/>
      <c r="AN419" s="65"/>
      <c r="AO419" s="65"/>
      <c r="AP419" s="65"/>
      <c r="AQ419" s="61"/>
      <c r="AR419" s="65"/>
      <c r="AS419" s="65"/>
      <c r="AT419" s="65"/>
      <c r="AU419" s="61"/>
      <c r="AV419" s="61"/>
      <c r="AW419" s="61"/>
      <c r="AX419" s="61"/>
      <c r="AY419" s="61"/>
      <c r="AZ419" s="61"/>
      <c r="BB419" s="61"/>
      <c r="BC419" s="24"/>
      <c r="BD419" s="24"/>
    </row>
    <row r="420" spans="29:56" ht="15" customHeight="1" x14ac:dyDescent="0.2">
      <c r="AC420" s="201" t="str">
        <f t="shared" si="29"/>
        <v/>
      </c>
      <c r="AD420" s="201" t="str">
        <f t="shared" si="30"/>
        <v/>
      </c>
      <c r="AF420" s="134"/>
      <c r="AG420" s="65"/>
      <c r="AH420" s="65"/>
      <c r="AI420" s="65"/>
      <c r="AJ420" s="65"/>
      <c r="AK420" s="65"/>
      <c r="AL420" s="65"/>
      <c r="AM420" s="65"/>
      <c r="AN420" s="65"/>
      <c r="AO420" s="65"/>
      <c r="AP420" s="65"/>
      <c r="AQ420" s="61"/>
      <c r="AR420" s="65"/>
      <c r="AS420" s="65"/>
      <c r="AT420" s="65"/>
      <c r="AU420" s="61"/>
      <c r="AV420" s="61"/>
      <c r="AW420" s="61"/>
      <c r="AX420" s="61"/>
      <c r="AY420" s="61"/>
      <c r="AZ420" s="61"/>
      <c r="BB420" s="61"/>
      <c r="BC420" s="24"/>
      <c r="BD420" s="24"/>
    </row>
    <row r="421" spans="29:56" ht="15" customHeight="1" x14ac:dyDescent="0.2">
      <c r="AC421" s="201" t="str">
        <f t="shared" si="29"/>
        <v/>
      </c>
      <c r="AD421" s="201" t="str">
        <f t="shared" si="30"/>
        <v/>
      </c>
      <c r="AF421" s="134"/>
      <c r="AG421" s="65"/>
      <c r="AH421" s="65"/>
      <c r="AI421" s="65"/>
      <c r="AJ421" s="65"/>
      <c r="AK421" s="65"/>
      <c r="AL421" s="65"/>
      <c r="AM421" s="65"/>
      <c r="AN421" s="65"/>
      <c r="AO421" s="65"/>
      <c r="AP421" s="65"/>
      <c r="AQ421" s="61"/>
      <c r="AR421" s="65"/>
      <c r="AS421" s="65"/>
      <c r="AT421" s="65"/>
      <c r="AU421" s="61"/>
      <c r="AV421" s="61"/>
      <c r="AW421" s="61"/>
      <c r="AX421" s="61"/>
      <c r="AY421" s="61"/>
      <c r="AZ421" s="61"/>
      <c r="BB421" s="61"/>
      <c r="BC421" s="24"/>
      <c r="BD421" s="24"/>
    </row>
    <row r="422" spans="29:56" ht="15" customHeight="1" x14ac:dyDescent="0.2">
      <c r="AC422" s="201" t="str">
        <f t="shared" si="29"/>
        <v/>
      </c>
      <c r="AD422" s="201" t="str">
        <f t="shared" si="30"/>
        <v/>
      </c>
      <c r="AF422" s="134"/>
      <c r="AG422" s="65"/>
      <c r="AH422" s="65"/>
      <c r="AI422" s="65"/>
      <c r="AJ422" s="65"/>
      <c r="AK422" s="65"/>
      <c r="AL422" s="65"/>
      <c r="AM422" s="65"/>
      <c r="AN422" s="65"/>
      <c r="AO422" s="65"/>
      <c r="AP422" s="65"/>
      <c r="AQ422" s="61"/>
      <c r="AR422" s="65"/>
      <c r="AS422" s="65"/>
      <c r="AT422" s="65"/>
      <c r="AU422" s="61"/>
      <c r="AV422" s="61"/>
      <c r="AW422" s="61"/>
      <c r="AX422" s="61"/>
      <c r="AY422" s="61"/>
      <c r="AZ422" s="61"/>
      <c r="BB422" s="61"/>
      <c r="BC422" s="24"/>
      <c r="BD422" s="24"/>
    </row>
    <row r="423" spans="29:56" ht="15" customHeight="1" x14ac:dyDescent="0.2">
      <c r="AC423" s="201" t="str">
        <f t="shared" si="29"/>
        <v/>
      </c>
      <c r="AD423" s="201" t="str">
        <f t="shared" si="30"/>
        <v/>
      </c>
      <c r="AF423" s="134"/>
      <c r="AG423" s="65"/>
      <c r="AH423" s="65"/>
      <c r="AI423" s="65"/>
      <c r="AJ423" s="65"/>
      <c r="AK423" s="65"/>
      <c r="AL423" s="65"/>
      <c r="AM423" s="65"/>
      <c r="AN423" s="65"/>
      <c r="AO423" s="65"/>
      <c r="AP423" s="65"/>
      <c r="AQ423" s="61"/>
      <c r="AR423" s="65"/>
      <c r="AS423" s="65"/>
      <c r="AT423" s="65"/>
      <c r="AU423" s="61"/>
      <c r="AV423" s="61"/>
      <c r="AW423" s="61"/>
      <c r="AX423" s="61"/>
      <c r="AY423" s="61"/>
      <c r="AZ423" s="61"/>
      <c r="BB423" s="61"/>
      <c r="BC423" s="24"/>
      <c r="BD423" s="24"/>
    </row>
    <row r="424" spans="29:56" ht="15" customHeight="1" x14ac:dyDescent="0.2">
      <c r="AC424" s="201" t="str">
        <f t="shared" si="29"/>
        <v/>
      </c>
      <c r="AD424" s="201" t="str">
        <f t="shared" si="30"/>
        <v/>
      </c>
      <c r="AF424" s="134"/>
      <c r="AG424" s="65"/>
      <c r="AH424" s="65"/>
      <c r="AI424" s="65"/>
      <c r="AJ424" s="65"/>
      <c r="AK424" s="65"/>
      <c r="AL424" s="65"/>
      <c r="AM424" s="65"/>
      <c r="AN424" s="65"/>
      <c r="AO424" s="65"/>
      <c r="AP424" s="65"/>
      <c r="AQ424" s="61"/>
      <c r="AR424" s="65"/>
      <c r="AS424" s="65"/>
      <c r="AT424" s="65"/>
      <c r="AU424" s="61"/>
      <c r="AV424" s="61"/>
      <c r="AW424" s="61"/>
      <c r="AX424" s="61"/>
      <c r="AY424" s="61"/>
      <c r="AZ424" s="61"/>
      <c r="BB424" s="61"/>
      <c r="BC424" s="24"/>
      <c r="BD424" s="24"/>
    </row>
    <row r="425" spans="29:56" ht="15" customHeight="1" x14ac:dyDescent="0.2">
      <c r="AC425" s="201" t="str">
        <f t="shared" si="29"/>
        <v/>
      </c>
      <c r="AD425" s="201" t="str">
        <f t="shared" si="30"/>
        <v/>
      </c>
      <c r="AF425" s="134"/>
      <c r="AG425" s="65"/>
      <c r="AH425" s="65"/>
      <c r="AI425" s="65"/>
      <c r="AJ425" s="65"/>
      <c r="AK425" s="65"/>
      <c r="AL425" s="65"/>
      <c r="AM425" s="65"/>
      <c r="AN425" s="65"/>
      <c r="AO425" s="65"/>
      <c r="AP425" s="65"/>
      <c r="AQ425" s="61"/>
      <c r="AR425" s="65"/>
      <c r="AS425" s="65"/>
      <c r="AT425" s="65"/>
      <c r="AU425" s="61"/>
      <c r="AV425" s="61"/>
      <c r="AW425" s="61"/>
      <c r="AX425" s="61"/>
      <c r="AY425" s="61"/>
      <c r="AZ425" s="61"/>
      <c r="BB425" s="61"/>
      <c r="BC425" s="24"/>
      <c r="BD425" s="24"/>
    </row>
    <row r="426" spans="29:56" ht="15" customHeight="1" x14ac:dyDescent="0.2">
      <c r="AC426" s="201" t="str">
        <f t="shared" si="29"/>
        <v/>
      </c>
      <c r="AD426" s="201" t="str">
        <f t="shared" si="30"/>
        <v/>
      </c>
      <c r="AF426" s="134"/>
      <c r="AG426" s="65"/>
      <c r="AH426" s="65"/>
      <c r="AI426" s="65"/>
      <c r="AJ426" s="65"/>
      <c r="AK426" s="65"/>
      <c r="AL426" s="65"/>
      <c r="AM426" s="65"/>
      <c r="AN426" s="65"/>
      <c r="AO426" s="65"/>
      <c r="AP426" s="65"/>
      <c r="AQ426" s="61"/>
      <c r="AR426" s="65"/>
      <c r="AS426" s="65"/>
      <c r="AT426" s="65"/>
      <c r="AU426" s="61"/>
      <c r="AV426" s="61"/>
      <c r="AW426" s="61"/>
      <c r="AX426" s="61"/>
      <c r="AY426" s="61"/>
      <c r="AZ426" s="61"/>
      <c r="BB426" s="61"/>
      <c r="BC426" s="24"/>
      <c r="BD426" s="24"/>
    </row>
    <row r="427" spans="29:56" ht="15" customHeight="1" x14ac:dyDescent="0.2">
      <c r="AC427" s="201" t="str">
        <f t="shared" si="29"/>
        <v/>
      </c>
      <c r="AD427" s="201" t="str">
        <f t="shared" si="30"/>
        <v/>
      </c>
      <c r="AF427" s="134"/>
      <c r="AG427" s="65"/>
      <c r="AH427" s="65"/>
      <c r="AI427" s="65"/>
      <c r="AJ427" s="65"/>
      <c r="AK427" s="65"/>
      <c r="AL427" s="65"/>
      <c r="AM427" s="65"/>
      <c r="AN427" s="65"/>
      <c r="AO427" s="65"/>
      <c r="AP427" s="65"/>
      <c r="AQ427" s="61"/>
      <c r="AR427" s="65"/>
      <c r="AS427" s="65"/>
      <c r="AT427" s="65"/>
      <c r="AU427" s="61"/>
      <c r="AV427" s="61"/>
      <c r="AW427" s="61"/>
      <c r="AX427" s="61"/>
      <c r="AY427" s="61"/>
      <c r="AZ427" s="61"/>
      <c r="BB427" s="61"/>
      <c r="BC427" s="24"/>
      <c r="BD427" s="24"/>
    </row>
    <row r="428" spans="29:56" ht="15" customHeight="1" x14ac:dyDescent="0.2">
      <c r="AC428" s="201" t="str">
        <f t="shared" si="29"/>
        <v/>
      </c>
      <c r="AD428" s="201" t="str">
        <f t="shared" si="30"/>
        <v/>
      </c>
      <c r="AF428" s="134"/>
      <c r="AG428" s="65"/>
      <c r="AH428" s="65"/>
      <c r="AI428" s="65"/>
      <c r="AJ428" s="65"/>
      <c r="AK428" s="65"/>
      <c r="AL428" s="65"/>
      <c r="AM428" s="65"/>
      <c r="AN428" s="65"/>
      <c r="AO428" s="65"/>
      <c r="AP428" s="65"/>
      <c r="AQ428" s="61"/>
      <c r="AR428" s="65"/>
      <c r="AS428" s="65"/>
      <c r="AT428" s="65"/>
      <c r="AU428" s="61"/>
      <c r="AV428" s="61"/>
      <c r="AW428" s="61"/>
      <c r="AX428" s="61"/>
      <c r="AY428" s="61"/>
      <c r="AZ428" s="61"/>
      <c r="BB428" s="61"/>
      <c r="BC428" s="24"/>
      <c r="BD428" s="24"/>
    </row>
    <row r="429" spans="29:56" ht="15" customHeight="1" x14ac:dyDescent="0.2">
      <c r="AC429" s="201" t="str">
        <f t="shared" si="29"/>
        <v/>
      </c>
      <c r="AD429" s="201" t="str">
        <f t="shared" si="30"/>
        <v/>
      </c>
      <c r="AF429" s="134"/>
      <c r="AG429" s="65"/>
      <c r="AH429" s="65"/>
      <c r="AI429" s="65"/>
      <c r="AJ429" s="65"/>
      <c r="AK429" s="65"/>
      <c r="AL429" s="65"/>
      <c r="AM429" s="65"/>
      <c r="AN429" s="65"/>
      <c r="AO429" s="65"/>
      <c r="AP429" s="65"/>
      <c r="AQ429" s="61"/>
      <c r="AR429" s="65"/>
      <c r="AS429" s="65"/>
      <c r="AT429" s="65"/>
      <c r="AU429" s="61"/>
      <c r="AV429" s="61"/>
      <c r="AW429" s="61"/>
      <c r="AX429" s="61"/>
      <c r="AY429" s="61"/>
      <c r="AZ429" s="61"/>
      <c r="BB429" s="61"/>
      <c r="BC429" s="24"/>
      <c r="BD429" s="24"/>
    </row>
    <row r="430" spans="29:56" ht="15" customHeight="1" x14ac:dyDescent="0.2">
      <c r="AC430" s="201" t="str">
        <f t="shared" si="29"/>
        <v/>
      </c>
      <c r="AD430" s="201" t="str">
        <f t="shared" si="30"/>
        <v/>
      </c>
      <c r="AF430" s="134"/>
      <c r="AG430" s="65"/>
      <c r="AH430" s="65"/>
      <c r="AI430" s="65"/>
      <c r="AJ430" s="65"/>
      <c r="AK430" s="65"/>
      <c r="AL430" s="65"/>
      <c r="AM430" s="65"/>
      <c r="AN430" s="65"/>
      <c r="AO430" s="65"/>
      <c r="AP430" s="65"/>
      <c r="AQ430" s="61"/>
      <c r="AR430" s="65"/>
      <c r="AS430" s="65"/>
      <c r="AT430" s="65"/>
      <c r="AU430" s="61"/>
      <c r="AV430" s="61"/>
      <c r="AW430" s="61"/>
      <c r="AX430" s="61"/>
      <c r="AY430" s="61"/>
      <c r="AZ430" s="61"/>
      <c r="BB430" s="61"/>
      <c r="BC430" s="24"/>
      <c r="BD430" s="24"/>
    </row>
    <row r="431" spans="29:56" ht="15" customHeight="1" x14ac:dyDescent="0.2">
      <c r="AC431" s="201" t="str">
        <f t="shared" si="29"/>
        <v/>
      </c>
      <c r="AD431" s="201" t="str">
        <f t="shared" si="30"/>
        <v/>
      </c>
      <c r="AF431" s="134"/>
      <c r="AG431" s="65"/>
      <c r="AH431" s="65"/>
      <c r="AI431" s="65"/>
      <c r="AJ431" s="65"/>
      <c r="AK431" s="65"/>
      <c r="AL431" s="65"/>
      <c r="AM431" s="65"/>
      <c r="AN431" s="65"/>
      <c r="AO431" s="65"/>
      <c r="AP431" s="65"/>
      <c r="AQ431" s="61"/>
      <c r="AR431" s="65"/>
      <c r="AS431" s="65"/>
      <c r="AT431" s="65"/>
      <c r="AU431" s="61"/>
      <c r="AV431" s="61"/>
      <c r="AW431" s="61"/>
      <c r="AX431" s="61"/>
      <c r="AY431" s="61"/>
      <c r="AZ431" s="61"/>
      <c r="BB431" s="61"/>
      <c r="BC431" s="24"/>
      <c r="BD431" s="24"/>
    </row>
    <row r="432" spans="29:56" ht="15" customHeight="1" x14ac:dyDescent="0.2">
      <c r="AC432" s="201" t="str">
        <f t="shared" si="29"/>
        <v/>
      </c>
      <c r="AD432" s="201" t="str">
        <f t="shared" si="30"/>
        <v/>
      </c>
      <c r="AF432" s="134"/>
      <c r="AG432" s="65"/>
      <c r="AH432" s="65"/>
      <c r="AI432" s="65"/>
      <c r="AJ432" s="65"/>
      <c r="AK432" s="65"/>
      <c r="AL432" s="65"/>
      <c r="AM432" s="65"/>
      <c r="AN432" s="65"/>
      <c r="AO432" s="65"/>
      <c r="AP432" s="65"/>
      <c r="AQ432" s="61"/>
      <c r="AR432" s="65"/>
      <c r="AS432" s="65"/>
      <c r="AT432" s="65"/>
      <c r="AU432" s="61"/>
      <c r="AV432" s="61"/>
      <c r="AW432" s="61"/>
      <c r="AX432" s="61"/>
      <c r="AY432" s="61"/>
      <c r="AZ432" s="61"/>
      <c r="BB432" s="61"/>
      <c r="BC432" s="24"/>
      <c r="BD432" s="24"/>
    </row>
    <row r="433" spans="29:56" ht="15" customHeight="1" x14ac:dyDescent="0.2">
      <c r="AC433" s="201" t="str">
        <f t="shared" si="29"/>
        <v/>
      </c>
      <c r="AD433" s="201" t="str">
        <f t="shared" si="30"/>
        <v/>
      </c>
      <c r="AF433" s="134"/>
      <c r="AG433" s="65"/>
      <c r="AH433" s="65"/>
      <c r="AI433" s="65"/>
      <c r="AJ433" s="65"/>
      <c r="AK433" s="65"/>
      <c r="AL433" s="65"/>
      <c r="AM433" s="65"/>
      <c r="AN433" s="65"/>
      <c r="AO433" s="65"/>
      <c r="AP433" s="65"/>
      <c r="AQ433" s="61"/>
      <c r="AR433" s="65"/>
      <c r="AS433" s="65"/>
      <c r="AT433" s="65"/>
      <c r="AU433" s="61"/>
      <c r="AV433" s="61"/>
      <c r="AW433" s="61"/>
      <c r="AX433" s="61"/>
      <c r="AY433" s="61"/>
      <c r="AZ433" s="61"/>
      <c r="BB433" s="61"/>
      <c r="BC433" s="24"/>
      <c r="BD433" s="24"/>
    </row>
    <row r="434" spans="29:56" ht="15" customHeight="1" x14ac:dyDescent="0.2">
      <c r="AC434" s="201" t="str">
        <f t="shared" si="29"/>
        <v/>
      </c>
      <c r="AD434" s="201" t="str">
        <f t="shared" si="30"/>
        <v/>
      </c>
      <c r="AF434" s="134"/>
      <c r="AG434" s="65"/>
      <c r="AH434" s="65"/>
      <c r="AI434" s="65"/>
      <c r="AJ434" s="65"/>
      <c r="AK434" s="65"/>
      <c r="AL434" s="65"/>
      <c r="AM434" s="65"/>
      <c r="AN434" s="65"/>
      <c r="AO434" s="65"/>
      <c r="AP434" s="65"/>
      <c r="AQ434" s="61"/>
      <c r="AR434" s="65"/>
      <c r="AS434" s="65"/>
      <c r="AT434" s="65"/>
      <c r="AU434" s="61"/>
      <c r="AV434" s="61"/>
      <c r="AW434" s="61"/>
      <c r="AX434" s="61"/>
      <c r="AY434" s="61"/>
      <c r="AZ434" s="61"/>
      <c r="BB434" s="61"/>
      <c r="BC434" s="24"/>
      <c r="BD434" s="24"/>
    </row>
    <row r="435" spans="29:56" ht="15" customHeight="1" x14ac:dyDescent="0.2">
      <c r="AC435" s="201" t="str">
        <f t="shared" si="29"/>
        <v/>
      </c>
      <c r="AD435" s="201" t="str">
        <f t="shared" si="30"/>
        <v/>
      </c>
      <c r="AF435" s="134"/>
      <c r="AG435" s="65"/>
      <c r="AH435" s="65"/>
      <c r="AI435" s="65"/>
      <c r="AJ435" s="65"/>
      <c r="AK435" s="65"/>
      <c r="AL435" s="65"/>
      <c r="AM435" s="65"/>
      <c r="AN435" s="65"/>
      <c r="AO435" s="65"/>
      <c r="AP435" s="65"/>
      <c r="AQ435" s="61"/>
      <c r="AR435" s="65"/>
      <c r="AS435" s="65"/>
      <c r="AT435" s="65"/>
      <c r="AU435" s="61"/>
      <c r="AV435" s="61"/>
      <c r="AW435" s="61"/>
      <c r="AX435" s="61"/>
      <c r="AY435" s="61"/>
      <c r="AZ435" s="61"/>
      <c r="BB435" s="61"/>
      <c r="BC435" s="24"/>
      <c r="BD435" s="24"/>
    </row>
    <row r="436" spans="29:56" ht="15" customHeight="1" x14ac:dyDescent="0.2">
      <c r="AC436" s="201" t="str">
        <f t="shared" si="29"/>
        <v/>
      </c>
      <c r="AD436" s="201" t="str">
        <f t="shared" si="30"/>
        <v/>
      </c>
      <c r="AF436" s="134"/>
      <c r="AG436" s="65"/>
      <c r="AH436" s="65"/>
      <c r="AI436" s="65"/>
      <c r="AJ436" s="65"/>
      <c r="AK436" s="65"/>
      <c r="AL436" s="65"/>
      <c r="AM436" s="65"/>
      <c r="AN436" s="65"/>
      <c r="AO436" s="65"/>
      <c r="AP436" s="65"/>
      <c r="AQ436" s="61"/>
      <c r="AR436" s="65"/>
      <c r="AS436" s="65"/>
      <c r="AT436" s="65"/>
      <c r="AU436" s="61"/>
      <c r="AV436" s="61"/>
      <c r="AW436" s="61"/>
      <c r="AX436" s="61"/>
      <c r="AY436" s="61"/>
      <c r="AZ436" s="61"/>
      <c r="BB436" s="61"/>
      <c r="BC436" s="24"/>
      <c r="BD436" s="24"/>
    </row>
    <row r="437" spans="29:56" ht="15" customHeight="1" x14ac:dyDescent="0.2">
      <c r="AC437" s="201" t="str">
        <f t="shared" si="29"/>
        <v/>
      </c>
      <c r="AD437" s="201" t="str">
        <f t="shared" si="30"/>
        <v/>
      </c>
      <c r="AF437" s="134"/>
      <c r="AG437" s="65"/>
      <c r="AH437" s="65"/>
      <c r="AI437" s="65"/>
      <c r="AJ437" s="65"/>
      <c r="AK437" s="65"/>
      <c r="AL437" s="65"/>
      <c r="AM437" s="65"/>
      <c r="AN437" s="65"/>
      <c r="AO437" s="65"/>
      <c r="AP437" s="65"/>
      <c r="AQ437" s="61"/>
      <c r="AR437" s="65"/>
      <c r="AS437" s="65"/>
      <c r="AT437" s="65"/>
      <c r="AU437" s="61"/>
      <c r="AV437" s="61"/>
      <c r="AW437" s="61"/>
      <c r="AX437" s="61"/>
      <c r="AY437" s="61"/>
      <c r="AZ437" s="61"/>
      <c r="BB437" s="61"/>
      <c r="BC437" s="24"/>
      <c r="BD437" s="24"/>
    </row>
    <row r="438" spans="29:56" ht="15" customHeight="1" x14ac:dyDescent="0.2">
      <c r="AC438" s="201" t="str">
        <f t="shared" si="29"/>
        <v/>
      </c>
      <c r="AD438" s="201" t="str">
        <f t="shared" si="30"/>
        <v/>
      </c>
      <c r="AF438" s="134"/>
      <c r="AG438" s="65"/>
      <c r="AH438" s="65"/>
      <c r="AI438" s="65"/>
      <c r="AJ438" s="65"/>
      <c r="AK438" s="65"/>
      <c r="AL438" s="65"/>
      <c r="AM438" s="65"/>
      <c r="AN438" s="65"/>
      <c r="AO438" s="65"/>
      <c r="AP438" s="65"/>
      <c r="AQ438" s="61"/>
      <c r="AR438" s="65"/>
      <c r="AS438" s="65"/>
      <c r="AT438" s="65"/>
      <c r="AU438" s="61"/>
      <c r="AV438" s="61"/>
      <c r="AW438" s="61"/>
      <c r="AX438" s="61"/>
      <c r="AY438" s="61"/>
      <c r="AZ438" s="61"/>
      <c r="BB438" s="61"/>
      <c r="BC438" s="24"/>
      <c r="BD438" s="24"/>
    </row>
    <row r="439" spans="29:56" ht="15" customHeight="1" x14ac:dyDescent="0.2">
      <c r="AC439" s="201" t="str">
        <f t="shared" si="29"/>
        <v/>
      </c>
      <c r="AD439" s="201" t="str">
        <f t="shared" si="30"/>
        <v/>
      </c>
      <c r="AF439" s="134"/>
      <c r="AG439" s="65"/>
      <c r="AH439" s="65"/>
      <c r="AI439" s="65"/>
      <c r="AJ439" s="65"/>
      <c r="AK439" s="65"/>
      <c r="AL439" s="65"/>
      <c r="AM439" s="65"/>
      <c r="AN439" s="65"/>
      <c r="AO439" s="65"/>
      <c r="AP439" s="65"/>
      <c r="AQ439" s="61"/>
      <c r="AR439" s="65"/>
      <c r="AS439" s="65"/>
      <c r="AT439" s="65"/>
      <c r="AU439" s="61"/>
      <c r="AV439" s="61"/>
      <c r="AW439" s="61"/>
      <c r="AX439" s="61"/>
      <c r="AY439" s="61"/>
      <c r="AZ439" s="61"/>
      <c r="BB439" s="61"/>
      <c r="BC439" s="24"/>
      <c r="BD439" s="24"/>
    </row>
    <row r="440" spans="29:56" ht="15" customHeight="1" x14ac:dyDescent="0.2">
      <c r="AC440" s="201" t="str">
        <f t="shared" si="29"/>
        <v/>
      </c>
      <c r="AD440" s="201" t="str">
        <f t="shared" si="30"/>
        <v/>
      </c>
      <c r="AF440" s="134"/>
      <c r="AG440" s="65"/>
      <c r="AH440" s="65"/>
      <c r="AI440" s="65"/>
      <c r="AJ440" s="65"/>
      <c r="AK440" s="65"/>
      <c r="AL440" s="65"/>
      <c r="AM440" s="65"/>
      <c r="AN440" s="65"/>
      <c r="AO440" s="65"/>
      <c r="AP440" s="65"/>
      <c r="AQ440" s="61"/>
      <c r="AR440" s="65"/>
      <c r="AS440" s="65"/>
      <c r="AT440" s="65"/>
      <c r="AU440" s="61"/>
      <c r="AV440" s="61"/>
      <c r="AW440" s="61"/>
      <c r="AX440" s="61"/>
      <c r="AY440" s="61"/>
      <c r="AZ440" s="61"/>
      <c r="BB440" s="61"/>
      <c r="BC440" s="24"/>
      <c r="BD440" s="24"/>
    </row>
    <row r="441" spans="29:56" ht="15" customHeight="1" x14ac:dyDescent="0.2">
      <c r="AC441" s="201" t="str">
        <f t="shared" si="29"/>
        <v/>
      </c>
      <c r="AD441" s="201" t="str">
        <f t="shared" si="30"/>
        <v/>
      </c>
      <c r="AF441" s="134"/>
      <c r="AG441" s="65"/>
      <c r="AH441" s="65"/>
      <c r="AI441" s="65"/>
      <c r="AJ441" s="65"/>
      <c r="AK441" s="65"/>
      <c r="AL441" s="65"/>
      <c r="AM441" s="65"/>
      <c r="AN441" s="65"/>
      <c r="AO441" s="65"/>
      <c r="AP441" s="65"/>
      <c r="AQ441" s="61"/>
      <c r="AR441" s="65"/>
      <c r="AS441" s="65"/>
      <c r="AT441" s="65"/>
      <c r="AU441" s="61"/>
      <c r="AV441" s="61"/>
      <c r="AW441" s="61"/>
      <c r="AX441" s="61"/>
      <c r="AY441" s="61"/>
      <c r="AZ441" s="61"/>
      <c r="BB441" s="61"/>
      <c r="BC441" s="24"/>
      <c r="BD441" s="24"/>
    </row>
    <row r="442" spans="29:56" ht="15" customHeight="1" x14ac:dyDescent="0.2">
      <c r="AC442" s="201" t="str">
        <f t="shared" si="29"/>
        <v/>
      </c>
      <c r="AD442" s="201" t="str">
        <f t="shared" si="30"/>
        <v/>
      </c>
      <c r="AF442" s="134"/>
      <c r="AG442" s="65"/>
      <c r="AH442" s="65"/>
      <c r="AI442" s="65"/>
      <c r="AJ442" s="65"/>
      <c r="AK442" s="65"/>
      <c r="AL442" s="65"/>
      <c r="AM442" s="65"/>
      <c r="AN442" s="65"/>
      <c r="AO442" s="65"/>
      <c r="AP442" s="65"/>
      <c r="AQ442" s="61"/>
      <c r="AR442" s="65"/>
      <c r="AS442" s="65"/>
      <c r="AT442" s="65"/>
      <c r="AU442" s="61"/>
      <c r="AV442" s="61"/>
      <c r="AW442" s="61"/>
      <c r="AX442" s="61"/>
      <c r="AY442" s="61"/>
      <c r="AZ442" s="61"/>
      <c r="BB442" s="61"/>
      <c r="BC442" s="24"/>
      <c r="BD442" s="24"/>
    </row>
    <row r="443" spans="29:56" ht="15" customHeight="1" x14ac:dyDescent="0.2">
      <c r="AC443" s="201" t="str">
        <f t="shared" si="29"/>
        <v/>
      </c>
      <c r="AD443" s="201" t="str">
        <f t="shared" si="30"/>
        <v/>
      </c>
      <c r="AF443" s="134"/>
      <c r="AG443" s="65"/>
      <c r="AH443" s="65"/>
      <c r="AI443" s="65"/>
      <c r="AJ443" s="65"/>
      <c r="AK443" s="65"/>
      <c r="AL443" s="65"/>
      <c r="AM443" s="65"/>
      <c r="AN443" s="65"/>
      <c r="AO443" s="65"/>
      <c r="AP443" s="65"/>
      <c r="AQ443" s="61"/>
      <c r="AR443" s="65"/>
      <c r="AS443" s="65"/>
      <c r="AT443" s="65"/>
      <c r="AU443" s="61"/>
      <c r="AV443" s="61"/>
      <c r="AW443" s="61"/>
      <c r="AX443" s="61"/>
      <c r="AY443" s="61"/>
      <c r="AZ443" s="61"/>
      <c r="BB443" s="61"/>
      <c r="BC443" s="24"/>
      <c r="BD443" s="24"/>
    </row>
    <row r="444" spans="29:56" ht="15" customHeight="1" x14ac:dyDescent="0.2">
      <c r="AC444" s="201" t="str">
        <f t="shared" si="29"/>
        <v/>
      </c>
      <c r="AD444" s="201" t="str">
        <f t="shared" si="30"/>
        <v/>
      </c>
      <c r="AF444" s="134"/>
      <c r="AG444" s="65"/>
      <c r="AH444" s="65"/>
      <c r="AI444" s="65"/>
      <c r="AJ444" s="65"/>
      <c r="AK444" s="65"/>
      <c r="AL444" s="65"/>
      <c r="AM444" s="65"/>
      <c r="AN444" s="65"/>
      <c r="AO444" s="65"/>
      <c r="AP444" s="65"/>
      <c r="AQ444" s="61"/>
      <c r="AR444" s="65"/>
      <c r="AS444" s="65"/>
      <c r="AT444" s="65"/>
      <c r="AU444" s="61"/>
      <c r="AV444" s="61"/>
      <c r="AW444" s="61"/>
      <c r="AX444" s="61"/>
      <c r="AY444" s="61"/>
      <c r="AZ444" s="61"/>
      <c r="BB444" s="61"/>
      <c r="BC444" s="24"/>
      <c r="BD444" s="24"/>
    </row>
    <row r="445" spans="29:56" ht="15" customHeight="1" x14ac:dyDescent="0.2">
      <c r="AC445" s="201" t="str">
        <f t="shared" si="29"/>
        <v/>
      </c>
      <c r="AD445" s="201" t="str">
        <f t="shared" si="30"/>
        <v/>
      </c>
      <c r="AF445" s="134"/>
      <c r="AG445" s="65"/>
      <c r="AH445" s="65"/>
      <c r="AI445" s="65"/>
      <c r="AJ445" s="65"/>
      <c r="AK445" s="65"/>
      <c r="AL445" s="65"/>
      <c r="AM445" s="65"/>
      <c r="AN445" s="65"/>
      <c r="AO445" s="65"/>
      <c r="AP445" s="65"/>
      <c r="AQ445" s="61"/>
      <c r="AR445" s="65"/>
      <c r="AS445" s="65"/>
      <c r="AT445" s="65"/>
      <c r="AU445" s="61"/>
      <c r="AV445" s="61"/>
      <c r="AW445" s="61"/>
      <c r="AX445" s="61"/>
      <c r="AY445" s="61"/>
      <c r="AZ445" s="61"/>
      <c r="BB445" s="61"/>
      <c r="BC445" s="24"/>
      <c r="BD445" s="24"/>
    </row>
    <row r="446" spans="29:56" ht="15" customHeight="1" x14ac:dyDescent="0.2">
      <c r="AC446" s="201" t="str">
        <f t="shared" si="29"/>
        <v/>
      </c>
      <c r="AD446" s="201" t="str">
        <f t="shared" si="30"/>
        <v/>
      </c>
      <c r="AF446" s="134"/>
      <c r="AG446" s="65"/>
      <c r="AH446" s="65"/>
      <c r="AI446" s="65"/>
      <c r="AJ446" s="65"/>
      <c r="AK446" s="65"/>
      <c r="AL446" s="65"/>
      <c r="AM446" s="65"/>
      <c r="AN446" s="65"/>
      <c r="AO446" s="65"/>
      <c r="AP446" s="65"/>
      <c r="AQ446" s="61"/>
      <c r="AR446" s="65"/>
      <c r="AS446" s="65"/>
      <c r="AT446" s="65"/>
      <c r="AU446" s="61"/>
      <c r="AV446" s="61"/>
      <c r="AW446" s="61"/>
      <c r="AX446" s="61"/>
      <c r="AY446" s="61"/>
      <c r="AZ446" s="61"/>
      <c r="BB446" s="61"/>
      <c r="BC446" s="24"/>
      <c r="BD446" s="24"/>
    </row>
    <row r="447" spans="29:56" ht="15" customHeight="1" x14ac:dyDescent="0.2">
      <c r="AC447" s="201" t="str">
        <f t="shared" si="29"/>
        <v/>
      </c>
      <c r="AD447" s="201" t="str">
        <f t="shared" si="30"/>
        <v/>
      </c>
      <c r="AF447" s="134"/>
      <c r="AG447" s="65"/>
      <c r="AH447" s="65"/>
      <c r="AI447" s="65"/>
      <c r="AJ447" s="65"/>
      <c r="AK447" s="65"/>
      <c r="AL447" s="65"/>
      <c r="AM447" s="65"/>
      <c r="AN447" s="65"/>
      <c r="AO447" s="65"/>
      <c r="AP447" s="65"/>
      <c r="AQ447" s="61"/>
      <c r="AR447" s="65"/>
      <c r="AS447" s="65"/>
      <c r="AT447" s="65"/>
      <c r="AU447" s="61"/>
      <c r="AV447" s="61"/>
      <c r="AW447" s="61"/>
      <c r="AX447" s="61"/>
      <c r="AY447" s="61"/>
      <c r="AZ447" s="61"/>
      <c r="BB447" s="61"/>
      <c r="BC447" s="24"/>
      <c r="BD447" s="24"/>
    </row>
    <row r="448" spans="29:56" ht="15" customHeight="1" x14ac:dyDescent="0.2">
      <c r="AC448" s="201" t="str">
        <f t="shared" si="29"/>
        <v/>
      </c>
      <c r="AD448" s="201" t="str">
        <f t="shared" si="30"/>
        <v/>
      </c>
      <c r="AF448" s="134"/>
      <c r="AG448" s="65"/>
      <c r="AH448" s="65"/>
      <c r="AI448" s="65"/>
      <c r="AJ448" s="65"/>
      <c r="AK448" s="65"/>
      <c r="AL448" s="65"/>
      <c r="AM448" s="65"/>
      <c r="AN448" s="65"/>
      <c r="AO448" s="65"/>
      <c r="AP448" s="65"/>
      <c r="AQ448" s="61"/>
      <c r="AR448" s="65"/>
      <c r="AS448" s="65"/>
      <c r="AT448" s="65"/>
      <c r="AU448" s="61"/>
      <c r="AV448" s="61"/>
      <c r="AW448" s="61"/>
      <c r="AX448" s="61"/>
      <c r="AY448" s="61"/>
      <c r="AZ448" s="61"/>
      <c r="BB448" s="61"/>
      <c r="BC448" s="24"/>
      <c r="BD448" s="24"/>
    </row>
    <row r="449" spans="29:56" ht="15" customHeight="1" x14ac:dyDescent="0.2">
      <c r="AC449" s="201" t="str">
        <f t="shared" si="29"/>
        <v/>
      </c>
      <c r="AD449" s="201" t="str">
        <f t="shared" si="30"/>
        <v/>
      </c>
      <c r="AF449" s="134"/>
      <c r="AG449" s="65"/>
      <c r="AH449" s="65"/>
      <c r="AI449" s="65"/>
      <c r="AJ449" s="65"/>
      <c r="AK449" s="65"/>
      <c r="AL449" s="65"/>
      <c r="AM449" s="65"/>
      <c r="AN449" s="65"/>
      <c r="AO449" s="65"/>
      <c r="AP449" s="65"/>
      <c r="AQ449" s="61"/>
      <c r="AR449" s="65"/>
      <c r="AS449" s="65"/>
      <c r="AT449" s="65"/>
      <c r="AU449" s="61"/>
      <c r="AV449" s="61"/>
      <c r="AW449" s="61"/>
      <c r="AX449" s="61"/>
      <c r="AY449" s="61"/>
      <c r="AZ449" s="61"/>
      <c r="BB449" s="61"/>
      <c r="BC449" s="24"/>
      <c r="BD449" s="24"/>
    </row>
    <row r="450" spans="29:56" ht="15" customHeight="1" x14ac:dyDescent="0.2">
      <c r="AC450" s="201" t="str">
        <f t="shared" ref="AC450:AC466" si="31">IF(Q450="","",SQRT(($R450-$AT$68)^2+($S450-$AU$68)^2))</f>
        <v/>
      </c>
      <c r="AD450" s="201" t="str">
        <f t="shared" ref="AD450:AD466" si="32">IF(Q450="","",SQRT(($R450-$AR$68)^2+($S450-$AS$68)^2))</f>
        <v/>
      </c>
      <c r="AF450" s="134"/>
      <c r="AG450" s="65"/>
      <c r="AH450" s="65"/>
      <c r="AI450" s="65"/>
      <c r="AJ450" s="65"/>
      <c r="AK450" s="65"/>
      <c r="AL450" s="65"/>
      <c r="AM450" s="65"/>
      <c r="AN450" s="65"/>
      <c r="AO450" s="65"/>
      <c r="AP450" s="65"/>
      <c r="AQ450" s="61"/>
      <c r="AR450" s="65"/>
      <c r="AS450" s="65"/>
      <c r="AT450" s="65"/>
      <c r="AU450" s="61"/>
      <c r="AV450" s="61"/>
      <c r="AW450" s="61"/>
      <c r="AX450" s="61"/>
      <c r="AY450" s="61"/>
      <c r="AZ450" s="61"/>
      <c r="BB450" s="61"/>
      <c r="BC450" s="24"/>
      <c r="BD450" s="24"/>
    </row>
    <row r="451" spans="29:56" ht="15" customHeight="1" x14ac:dyDescent="0.2">
      <c r="AC451" s="201" t="str">
        <f t="shared" si="31"/>
        <v/>
      </c>
      <c r="AD451" s="201" t="str">
        <f t="shared" si="32"/>
        <v/>
      </c>
      <c r="AF451" s="134"/>
      <c r="AG451" s="65"/>
      <c r="AH451" s="65"/>
      <c r="AI451" s="65"/>
      <c r="AJ451" s="65"/>
      <c r="AK451" s="65"/>
      <c r="AL451" s="65"/>
      <c r="AM451" s="65"/>
      <c r="AN451" s="65"/>
      <c r="AO451" s="65"/>
      <c r="AP451" s="65"/>
      <c r="AQ451" s="61"/>
      <c r="AR451" s="65"/>
      <c r="AS451" s="65"/>
      <c r="AT451" s="65"/>
      <c r="AU451" s="61"/>
      <c r="AV451" s="61"/>
      <c r="AW451" s="61"/>
      <c r="AX451" s="61"/>
      <c r="AY451" s="61"/>
      <c r="AZ451" s="61"/>
      <c r="BB451" s="61"/>
      <c r="BC451" s="24"/>
      <c r="BD451" s="24"/>
    </row>
    <row r="452" spans="29:56" ht="15" customHeight="1" x14ac:dyDescent="0.2">
      <c r="AC452" s="201" t="str">
        <f t="shared" si="31"/>
        <v/>
      </c>
      <c r="AD452" s="201" t="str">
        <f t="shared" si="32"/>
        <v/>
      </c>
      <c r="AF452" s="134"/>
      <c r="AG452" s="65"/>
      <c r="AH452" s="65"/>
      <c r="AI452" s="65"/>
      <c r="AJ452" s="65"/>
      <c r="AK452" s="65"/>
      <c r="AL452" s="65"/>
      <c r="AM452" s="65"/>
      <c r="AN452" s="65"/>
      <c r="AO452" s="65"/>
      <c r="AP452" s="65"/>
      <c r="AQ452" s="61"/>
      <c r="AR452" s="65"/>
      <c r="AS452" s="65"/>
      <c r="AT452" s="65"/>
      <c r="AU452" s="61"/>
      <c r="AV452" s="61"/>
      <c r="AW452" s="61"/>
      <c r="AX452" s="61"/>
      <c r="AY452" s="61"/>
      <c r="AZ452" s="61"/>
      <c r="BB452" s="61"/>
      <c r="BC452" s="24"/>
      <c r="BD452" s="24"/>
    </row>
    <row r="453" spans="29:56" ht="15" customHeight="1" x14ac:dyDescent="0.2">
      <c r="AC453" s="201" t="str">
        <f t="shared" si="31"/>
        <v/>
      </c>
      <c r="AD453" s="201" t="str">
        <f t="shared" si="32"/>
        <v/>
      </c>
      <c r="AF453" s="134"/>
      <c r="AG453" s="65"/>
      <c r="AH453" s="65"/>
      <c r="AI453" s="65"/>
      <c r="AJ453" s="65"/>
      <c r="AK453" s="65"/>
      <c r="AL453" s="65"/>
      <c r="AM453" s="65"/>
      <c r="AN453" s="65"/>
      <c r="AO453" s="65"/>
      <c r="AP453" s="65"/>
      <c r="AQ453" s="61"/>
      <c r="AR453" s="65"/>
      <c r="AS453" s="65"/>
      <c r="AT453" s="65"/>
      <c r="AU453" s="61"/>
      <c r="AV453" s="61"/>
      <c r="AW453" s="61"/>
      <c r="AX453" s="61"/>
      <c r="AY453" s="61"/>
      <c r="AZ453" s="61"/>
      <c r="BB453" s="61"/>
      <c r="BC453" s="24"/>
      <c r="BD453" s="24"/>
    </row>
    <row r="454" spans="29:56" ht="15" customHeight="1" x14ac:dyDescent="0.2">
      <c r="AC454" s="201" t="str">
        <f t="shared" si="31"/>
        <v/>
      </c>
      <c r="AD454" s="201" t="str">
        <f t="shared" si="32"/>
        <v/>
      </c>
      <c r="AF454" s="134"/>
      <c r="AG454" s="65"/>
      <c r="AH454" s="65"/>
      <c r="AI454" s="65"/>
      <c r="AJ454" s="65"/>
      <c r="AK454" s="65"/>
      <c r="AL454" s="65"/>
      <c r="AM454" s="65"/>
      <c r="AN454" s="65"/>
      <c r="AO454" s="65"/>
      <c r="AP454" s="65"/>
      <c r="AQ454" s="61"/>
      <c r="AR454" s="65"/>
      <c r="AS454" s="65"/>
      <c r="AT454" s="65"/>
      <c r="AU454" s="61"/>
      <c r="AV454" s="61"/>
      <c r="AW454" s="61"/>
      <c r="AX454" s="61"/>
      <c r="AY454" s="61"/>
      <c r="AZ454" s="61"/>
      <c r="BB454" s="61"/>
      <c r="BC454" s="24"/>
      <c r="BD454" s="24"/>
    </row>
    <row r="455" spans="29:56" ht="15" customHeight="1" x14ac:dyDescent="0.2">
      <c r="AC455" s="201" t="str">
        <f t="shared" si="31"/>
        <v/>
      </c>
      <c r="AD455" s="201" t="str">
        <f t="shared" si="32"/>
        <v/>
      </c>
      <c r="AF455" s="134"/>
      <c r="AG455" s="65"/>
      <c r="AH455" s="65"/>
      <c r="AI455" s="65"/>
      <c r="AJ455" s="65"/>
      <c r="AK455" s="65"/>
      <c r="AL455" s="65"/>
      <c r="AM455" s="65"/>
      <c r="AN455" s="65"/>
      <c r="AO455" s="65"/>
      <c r="AP455" s="65"/>
      <c r="AQ455" s="61"/>
      <c r="AR455" s="65"/>
      <c r="AS455" s="65"/>
      <c r="AT455" s="65"/>
      <c r="AU455" s="61"/>
      <c r="AV455" s="61"/>
      <c r="AW455" s="61"/>
      <c r="AX455" s="61"/>
      <c r="AY455" s="61"/>
      <c r="AZ455" s="61"/>
      <c r="BB455" s="61"/>
      <c r="BC455" s="24"/>
      <c r="BD455" s="24"/>
    </row>
    <row r="456" spans="29:56" ht="15" customHeight="1" x14ac:dyDescent="0.2">
      <c r="AC456" s="201" t="str">
        <f t="shared" si="31"/>
        <v/>
      </c>
      <c r="AD456" s="201" t="str">
        <f t="shared" si="32"/>
        <v/>
      </c>
      <c r="AF456" s="134"/>
      <c r="AG456" s="65"/>
      <c r="AH456" s="65"/>
      <c r="AI456" s="65"/>
      <c r="AJ456" s="65"/>
      <c r="AK456" s="65"/>
      <c r="AL456" s="65"/>
      <c r="AM456" s="65"/>
      <c r="AN456" s="65"/>
      <c r="AO456" s="65"/>
      <c r="AP456" s="65"/>
      <c r="AQ456" s="61"/>
      <c r="AR456" s="65"/>
      <c r="AS456" s="65"/>
      <c r="AT456" s="65"/>
      <c r="AU456" s="61"/>
      <c r="AV456" s="61"/>
      <c r="AW456" s="61"/>
      <c r="AX456" s="61"/>
      <c r="AY456" s="61"/>
      <c r="AZ456" s="61"/>
      <c r="BB456" s="61"/>
      <c r="BC456" s="24"/>
      <c r="BD456" s="24"/>
    </row>
    <row r="457" spans="29:56" ht="15" customHeight="1" x14ac:dyDescent="0.2">
      <c r="AC457" s="201" t="str">
        <f t="shared" si="31"/>
        <v/>
      </c>
      <c r="AD457" s="201" t="str">
        <f t="shared" si="32"/>
        <v/>
      </c>
      <c r="AF457" s="134"/>
      <c r="AG457" s="65"/>
      <c r="AH457" s="65"/>
      <c r="AI457" s="65"/>
      <c r="AJ457" s="65"/>
      <c r="AK457" s="65"/>
      <c r="AL457" s="65"/>
      <c r="AM457" s="65"/>
      <c r="AN457" s="65"/>
      <c r="AO457" s="65"/>
      <c r="AP457" s="65"/>
      <c r="AQ457" s="61"/>
      <c r="AR457" s="65"/>
      <c r="AS457" s="65"/>
      <c r="AT457" s="65"/>
      <c r="AU457" s="61"/>
      <c r="AV457" s="61"/>
      <c r="AW457" s="61"/>
      <c r="AX457" s="61"/>
      <c r="AY457" s="61"/>
      <c r="AZ457" s="61"/>
      <c r="BB457" s="61"/>
      <c r="BC457" s="24"/>
      <c r="BD457" s="24"/>
    </row>
    <row r="458" spans="29:56" ht="15" customHeight="1" x14ac:dyDescent="0.2">
      <c r="AC458" s="201" t="str">
        <f t="shared" si="31"/>
        <v/>
      </c>
      <c r="AD458" s="201" t="str">
        <f t="shared" si="32"/>
        <v/>
      </c>
      <c r="AF458" s="134"/>
      <c r="AG458" s="65"/>
      <c r="AH458" s="65"/>
      <c r="AI458" s="65"/>
      <c r="AJ458" s="65"/>
      <c r="AK458" s="65"/>
      <c r="AL458" s="65"/>
      <c r="AM458" s="65"/>
      <c r="AN458" s="65"/>
      <c r="AO458" s="65"/>
      <c r="AP458" s="65"/>
      <c r="AQ458" s="61"/>
      <c r="AR458" s="65"/>
      <c r="AS458" s="65"/>
      <c r="AT458" s="65"/>
      <c r="AU458" s="61"/>
      <c r="AV458" s="61"/>
      <c r="AW458" s="61"/>
      <c r="AX458" s="61"/>
      <c r="AY458" s="61"/>
      <c r="AZ458" s="61"/>
      <c r="BB458" s="61"/>
      <c r="BC458" s="24"/>
      <c r="BD458" s="24"/>
    </row>
    <row r="459" spans="29:56" ht="15" customHeight="1" x14ac:dyDescent="0.2">
      <c r="AC459" s="201" t="str">
        <f t="shared" si="31"/>
        <v/>
      </c>
      <c r="AD459" s="201" t="str">
        <f t="shared" si="32"/>
        <v/>
      </c>
      <c r="AF459" s="134"/>
      <c r="AG459" s="65"/>
      <c r="AH459" s="65"/>
      <c r="AI459" s="65"/>
      <c r="AJ459" s="65"/>
      <c r="AK459" s="65"/>
      <c r="AL459" s="65"/>
      <c r="AM459" s="65"/>
      <c r="AN459" s="65"/>
      <c r="AO459" s="65"/>
      <c r="AP459" s="65"/>
      <c r="AQ459" s="61"/>
      <c r="AR459" s="65"/>
      <c r="AS459" s="65"/>
      <c r="AT459" s="65"/>
      <c r="AU459" s="61"/>
      <c r="AV459" s="61"/>
      <c r="AW459" s="61"/>
      <c r="AX459" s="61"/>
      <c r="AY459" s="61"/>
      <c r="AZ459" s="61"/>
      <c r="BB459" s="61"/>
      <c r="BC459" s="24"/>
      <c r="BD459" s="24"/>
    </row>
    <row r="460" spans="29:56" ht="15" customHeight="1" x14ac:dyDescent="0.2">
      <c r="AC460" s="201" t="str">
        <f t="shared" si="31"/>
        <v/>
      </c>
      <c r="AD460" s="201" t="str">
        <f t="shared" si="32"/>
        <v/>
      </c>
      <c r="AF460" s="134"/>
      <c r="AG460" s="65"/>
      <c r="AH460" s="65"/>
      <c r="AI460" s="65"/>
      <c r="AJ460" s="65"/>
      <c r="AK460" s="65"/>
      <c r="AL460" s="65"/>
      <c r="AM460" s="65"/>
      <c r="AN460" s="65"/>
      <c r="AO460" s="65"/>
      <c r="AP460" s="65"/>
      <c r="AQ460" s="61"/>
      <c r="AR460" s="65"/>
      <c r="AS460" s="65"/>
      <c r="AT460" s="65"/>
      <c r="AU460" s="61"/>
      <c r="AV460" s="61"/>
      <c r="AW460" s="61"/>
      <c r="AX460" s="61"/>
      <c r="AY460" s="61"/>
      <c r="AZ460" s="61"/>
      <c r="BB460" s="61"/>
      <c r="BC460" s="24"/>
      <c r="BD460" s="24"/>
    </row>
    <row r="461" spans="29:56" ht="15" customHeight="1" x14ac:dyDescent="0.2">
      <c r="AC461" s="201" t="str">
        <f t="shared" si="31"/>
        <v/>
      </c>
      <c r="AD461" s="201" t="str">
        <f t="shared" si="32"/>
        <v/>
      </c>
      <c r="AF461" s="134"/>
      <c r="AG461" s="65"/>
      <c r="AH461" s="65"/>
      <c r="AI461" s="65"/>
      <c r="AJ461" s="65"/>
      <c r="AK461" s="65"/>
      <c r="AL461" s="65"/>
      <c r="AM461" s="65"/>
      <c r="AN461" s="65"/>
      <c r="AO461" s="65"/>
      <c r="AP461" s="65"/>
      <c r="AQ461" s="61"/>
      <c r="AR461" s="65"/>
      <c r="AS461" s="65"/>
      <c r="AT461" s="65"/>
      <c r="AU461" s="61"/>
      <c r="AV461" s="61"/>
      <c r="AW461" s="61"/>
      <c r="AX461" s="61"/>
      <c r="AY461" s="61"/>
      <c r="AZ461" s="61"/>
      <c r="BB461" s="61"/>
      <c r="BC461" s="24"/>
      <c r="BD461" s="24"/>
    </row>
    <row r="462" spans="29:56" ht="15" customHeight="1" x14ac:dyDescent="0.2">
      <c r="AC462" s="201" t="str">
        <f t="shared" si="31"/>
        <v/>
      </c>
      <c r="AD462" s="201" t="str">
        <f t="shared" si="32"/>
        <v/>
      </c>
      <c r="AF462" s="134"/>
      <c r="AG462" s="65"/>
      <c r="AH462" s="65"/>
      <c r="AI462" s="65"/>
      <c r="AJ462" s="65"/>
      <c r="AK462" s="65"/>
      <c r="AL462" s="65"/>
      <c r="AM462" s="65"/>
      <c r="AN462" s="65"/>
      <c r="AO462" s="65"/>
      <c r="AP462" s="65"/>
      <c r="AQ462" s="61"/>
      <c r="AR462" s="65"/>
      <c r="AS462" s="65"/>
      <c r="AT462" s="65"/>
      <c r="AU462" s="61"/>
      <c r="AV462" s="61"/>
      <c r="AW462" s="61"/>
      <c r="AX462" s="61"/>
      <c r="AY462" s="61"/>
      <c r="AZ462" s="61"/>
      <c r="BB462" s="61"/>
      <c r="BC462" s="24"/>
      <c r="BD462" s="24"/>
    </row>
    <row r="463" spans="29:56" ht="15" customHeight="1" x14ac:dyDescent="0.2">
      <c r="AC463" s="201" t="str">
        <f t="shared" si="31"/>
        <v/>
      </c>
      <c r="AD463" s="201" t="str">
        <f t="shared" si="32"/>
        <v/>
      </c>
      <c r="AF463" s="134"/>
      <c r="AG463" s="65"/>
      <c r="AH463" s="65"/>
      <c r="AI463" s="65"/>
      <c r="AJ463" s="65"/>
      <c r="AK463" s="65"/>
      <c r="AL463" s="65"/>
      <c r="AM463" s="65"/>
      <c r="AN463" s="65"/>
      <c r="AO463" s="65"/>
      <c r="AP463" s="65"/>
      <c r="AQ463" s="61"/>
      <c r="AR463" s="65"/>
      <c r="AS463" s="65"/>
      <c r="AT463" s="65"/>
      <c r="AU463" s="61"/>
      <c r="AV463" s="61"/>
      <c r="AW463" s="61"/>
      <c r="AX463" s="61"/>
      <c r="AY463" s="61"/>
      <c r="AZ463" s="61"/>
      <c r="BB463" s="61"/>
      <c r="BC463" s="24"/>
      <c r="BD463" s="24"/>
    </row>
    <row r="464" spans="29:56" ht="15" customHeight="1" x14ac:dyDescent="0.2">
      <c r="AC464" s="201" t="str">
        <f t="shared" si="31"/>
        <v/>
      </c>
      <c r="AD464" s="201" t="str">
        <f t="shared" si="32"/>
        <v/>
      </c>
      <c r="AF464" s="134"/>
      <c r="AG464" s="65"/>
      <c r="AH464" s="65"/>
      <c r="AI464" s="65"/>
      <c r="AJ464" s="65"/>
      <c r="AK464" s="65"/>
      <c r="AL464" s="65"/>
      <c r="AM464" s="65"/>
      <c r="AN464" s="65"/>
      <c r="AO464" s="65"/>
      <c r="AP464" s="65"/>
      <c r="AQ464" s="61"/>
      <c r="AR464" s="65"/>
      <c r="AS464" s="65"/>
      <c r="AT464" s="65"/>
      <c r="AU464" s="61"/>
      <c r="AV464" s="61"/>
      <c r="AW464" s="61"/>
      <c r="AX464" s="61"/>
      <c r="AY464" s="61"/>
      <c r="AZ464" s="61"/>
      <c r="BB464" s="61"/>
      <c r="BC464" s="24"/>
      <c r="BD464" s="24"/>
    </row>
    <row r="465" spans="29:56" ht="15" customHeight="1" x14ac:dyDescent="0.2">
      <c r="AC465" s="201" t="str">
        <f t="shared" si="31"/>
        <v/>
      </c>
      <c r="AD465" s="201" t="str">
        <f t="shared" si="32"/>
        <v/>
      </c>
      <c r="AF465" s="134"/>
      <c r="AG465" s="65"/>
      <c r="AH465" s="65"/>
      <c r="AI465" s="65"/>
      <c r="AJ465" s="65"/>
      <c r="AK465" s="65"/>
      <c r="AL465" s="65"/>
      <c r="AM465" s="65"/>
      <c r="AN465" s="65"/>
      <c r="AO465" s="65"/>
      <c r="AP465" s="65"/>
      <c r="AQ465" s="61"/>
      <c r="AR465" s="65"/>
      <c r="AS465" s="65"/>
      <c r="AT465" s="65"/>
      <c r="AU465" s="61"/>
      <c r="AV465" s="61"/>
      <c r="AW465" s="61"/>
      <c r="AX465" s="61"/>
      <c r="AY465" s="61"/>
      <c r="AZ465" s="61"/>
      <c r="BB465" s="61"/>
      <c r="BC465" s="24"/>
      <c r="BD465" s="24"/>
    </row>
    <row r="466" spans="29:56" ht="15" customHeight="1" x14ac:dyDescent="0.2">
      <c r="AC466" s="201" t="str">
        <f t="shared" si="31"/>
        <v/>
      </c>
      <c r="AD466" s="201" t="str">
        <f t="shared" si="32"/>
        <v/>
      </c>
      <c r="AF466" s="134"/>
      <c r="AG466" s="65"/>
      <c r="AH466" s="65"/>
      <c r="AI466" s="65"/>
      <c r="AJ466" s="65"/>
      <c r="AK466" s="65"/>
      <c r="AL466" s="65"/>
      <c r="AM466" s="65"/>
      <c r="AN466" s="65"/>
      <c r="AO466" s="65"/>
      <c r="AP466" s="65"/>
      <c r="AQ466" s="61"/>
      <c r="AR466" s="65"/>
      <c r="AS466" s="65"/>
      <c r="AT466" s="65"/>
      <c r="AU466" s="61"/>
      <c r="AV466" s="61"/>
      <c r="AW466" s="61"/>
      <c r="AX466" s="61"/>
      <c r="AY466" s="61"/>
      <c r="AZ466" s="61"/>
      <c r="BB466" s="61"/>
      <c r="BC466" s="24"/>
      <c r="BD466" s="24"/>
    </row>
    <row r="467" spans="29:56" ht="15" customHeight="1" x14ac:dyDescent="0.2">
      <c r="AF467" s="134"/>
      <c r="AG467" s="65"/>
      <c r="AH467" s="65"/>
      <c r="AI467" s="65"/>
      <c r="AJ467" s="65"/>
      <c r="AK467" s="65"/>
      <c r="AL467" s="65"/>
      <c r="AM467" s="65"/>
      <c r="AN467" s="65"/>
      <c r="AO467" s="65"/>
      <c r="AP467" s="65"/>
      <c r="AQ467" s="61"/>
      <c r="AR467" s="65"/>
      <c r="AS467" s="65"/>
      <c r="AT467" s="65"/>
      <c r="AU467" s="61"/>
      <c r="AV467" s="61"/>
      <c r="AW467" s="61"/>
      <c r="AX467" s="61"/>
      <c r="AY467" s="61"/>
      <c r="AZ467" s="61"/>
      <c r="BB467" s="61"/>
      <c r="BC467" s="24"/>
      <c r="BD467" s="24"/>
    </row>
    <row r="468" spans="29:56" ht="15" customHeight="1" x14ac:dyDescent="0.2">
      <c r="AF468" s="134"/>
      <c r="AG468" s="65"/>
      <c r="AH468" s="65"/>
      <c r="AI468" s="65"/>
      <c r="AJ468" s="65"/>
      <c r="AK468" s="65"/>
      <c r="AL468" s="65"/>
      <c r="AM468" s="65"/>
      <c r="AN468" s="65"/>
      <c r="AO468" s="65"/>
      <c r="AP468" s="65"/>
      <c r="AQ468" s="61"/>
      <c r="AR468" s="65"/>
      <c r="AS468" s="65"/>
      <c r="AT468" s="65"/>
      <c r="AU468" s="61"/>
      <c r="AV468" s="61"/>
      <c r="AW468" s="61"/>
      <c r="AX468" s="61"/>
      <c r="AY468" s="61"/>
      <c r="AZ468" s="61"/>
      <c r="BB468" s="61"/>
      <c r="BC468" s="24"/>
      <c r="BD468" s="24"/>
    </row>
    <row r="469" spans="29:56" ht="15" customHeight="1" x14ac:dyDescent="0.2">
      <c r="AF469" s="134"/>
      <c r="AG469" s="65"/>
      <c r="AH469" s="65"/>
      <c r="AI469" s="65"/>
      <c r="AJ469" s="65"/>
      <c r="AK469" s="65"/>
      <c r="AL469" s="65"/>
      <c r="AM469" s="65"/>
      <c r="AN469" s="65"/>
      <c r="AO469" s="65"/>
      <c r="AP469" s="65"/>
      <c r="AQ469" s="61"/>
      <c r="AR469" s="65"/>
      <c r="AS469" s="65"/>
      <c r="AT469" s="65"/>
      <c r="AU469" s="61"/>
      <c r="AV469" s="61"/>
      <c r="AW469" s="61"/>
      <c r="AX469" s="61"/>
      <c r="AY469" s="61"/>
      <c r="AZ469" s="61"/>
      <c r="BB469" s="61"/>
      <c r="BC469" s="24"/>
      <c r="BD469" s="24"/>
    </row>
    <row r="470" spans="29:56" ht="15" customHeight="1" x14ac:dyDescent="0.2">
      <c r="AF470" s="134"/>
      <c r="AG470" s="65"/>
      <c r="AH470" s="65"/>
      <c r="AI470" s="65"/>
      <c r="AJ470" s="65"/>
      <c r="AK470" s="65"/>
      <c r="AL470" s="65"/>
      <c r="AM470" s="65"/>
      <c r="AN470" s="65"/>
      <c r="AO470" s="65"/>
      <c r="AP470" s="65"/>
      <c r="AQ470" s="61"/>
      <c r="AR470" s="65"/>
      <c r="AS470" s="65"/>
      <c r="AT470" s="65"/>
      <c r="AU470" s="61"/>
      <c r="AV470" s="61"/>
      <c r="AW470" s="61"/>
      <c r="AX470" s="61"/>
      <c r="AY470" s="61"/>
      <c r="AZ470" s="61"/>
      <c r="BB470" s="61"/>
      <c r="BC470" s="24"/>
      <c r="BD470" s="24"/>
    </row>
    <row r="471" spans="29:56" ht="15" customHeight="1" x14ac:dyDescent="0.2">
      <c r="AF471" s="134"/>
      <c r="AG471" s="65"/>
      <c r="AH471" s="65"/>
      <c r="AI471" s="65"/>
      <c r="AJ471" s="65"/>
      <c r="AK471" s="65"/>
      <c r="AL471" s="65"/>
      <c r="AM471" s="65"/>
      <c r="AN471" s="65"/>
      <c r="AO471" s="65"/>
      <c r="AP471" s="65"/>
      <c r="AQ471" s="61"/>
      <c r="AR471" s="65"/>
      <c r="AS471" s="65"/>
      <c r="AT471" s="65"/>
      <c r="AU471" s="61"/>
      <c r="AV471" s="61"/>
      <c r="AW471" s="61"/>
      <c r="AX471" s="61"/>
      <c r="AY471" s="61"/>
      <c r="AZ471" s="61"/>
      <c r="BB471" s="61"/>
      <c r="BC471" s="24"/>
      <c r="BD471" s="24"/>
    </row>
    <row r="472" spans="29:56" ht="15" customHeight="1" x14ac:dyDescent="0.2">
      <c r="AF472" s="134"/>
      <c r="AG472" s="65"/>
      <c r="AH472" s="65"/>
      <c r="AI472" s="65"/>
      <c r="AJ472" s="65"/>
      <c r="AK472" s="65"/>
      <c r="AL472" s="65"/>
      <c r="AM472" s="65"/>
      <c r="AN472" s="65"/>
      <c r="AO472" s="65"/>
      <c r="AP472" s="65"/>
      <c r="AQ472" s="61"/>
      <c r="AR472" s="65"/>
      <c r="AS472" s="65"/>
      <c r="AT472" s="65"/>
      <c r="AU472" s="61"/>
      <c r="AV472" s="61"/>
      <c r="AW472" s="61"/>
      <c r="AX472" s="61"/>
      <c r="AY472" s="61"/>
      <c r="AZ472" s="61"/>
      <c r="BB472" s="61"/>
      <c r="BC472" s="24"/>
      <c r="BD472" s="24"/>
    </row>
    <row r="473" spans="29:56" ht="15" customHeight="1" x14ac:dyDescent="0.2">
      <c r="AF473" s="134"/>
      <c r="AG473" s="65"/>
      <c r="AH473" s="65"/>
      <c r="AI473" s="65"/>
      <c r="AJ473" s="65"/>
      <c r="AK473" s="65"/>
      <c r="AL473" s="65"/>
      <c r="AM473" s="65"/>
      <c r="AN473" s="65"/>
      <c r="AO473" s="65"/>
      <c r="AP473" s="65"/>
      <c r="AQ473" s="61"/>
      <c r="AR473" s="65"/>
      <c r="AS473" s="65"/>
      <c r="AT473" s="65"/>
      <c r="AU473" s="61"/>
      <c r="AV473" s="61"/>
      <c r="AW473" s="61"/>
      <c r="AX473" s="61"/>
      <c r="AY473" s="61"/>
      <c r="AZ473" s="61"/>
      <c r="BB473" s="61"/>
      <c r="BC473" s="24"/>
      <c r="BD473" s="24"/>
    </row>
    <row r="474" spans="29:56" ht="15" customHeight="1" x14ac:dyDescent="0.2">
      <c r="AF474" s="134"/>
      <c r="AG474" s="65"/>
      <c r="AH474" s="65"/>
      <c r="AI474" s="65"/>
      <c r="AJ474" s="65"/>
      <c r="AK474" s="65"/>
      <c r="AL474" s="65"/>
      <c r="AM474" s="65"/>
      <c r="AN474" s="65"/>
      <c r="AO474" s="65"/>
      <c r="AP474" s="65"/>
      <c r="AQ474" s="61"/>
      <c r="AR474" s="65"/>
      <c r="AS474" s="65"/>
      <c r="AT474" s="65"/>
      <c r="AU474" s="61"/>
      <c r="AV474" s="61"/>
      <c r="AW474" s="61"/>
      <c r="AX474" s="61"/>
      <c r="AY474" s="61"/>
      <c r="AZ474" s="61"/>
      <c r="BB474" s="61"/>
      <c r="BC474" s="24"/>
      <c r="BD474" s="24"/>
    </row>
    <row r="475" spans="29:56" ht="15" customHeight="1" x14ac:dyDescent="0.2">
      <c r="AF475" s="134"/>
      <c r="AG475" s="65"/>
      <c r="AH475" s="65"/>
      <c r="AI475" s="65"/>
      <c r="AJ475" s="65"/>
      <c r="AK475" s="65"/>
      <c r="AL475" s="65"/>
      <c r="AM475" s="65"/>
      <c r="AN475" s="65"/>
      <c r="AO475" s="65"/>
      <c r="AP475" s="65"/>
      <c r="AQ475" s="61"/>
      <c r="AR475" s="65"/>
      <c r="AS475" s="65"/>
      <c r="AT475" s="65"/>
      <c r="AU475" s="61"/>
      <c r="AV475" s="61"/>
      <c r="AW475" s="61"/>
      <c r="AX475" s="61"/>
      <c r="AY475" s="61"/>
      <c r="AZ475" s="61"/>
      <c r="BB475" s="61"/>
      <c r="BC475" s="24"/>
      <c r="BD475" s="24"/>
    </row>
    <row r="476" spans="29:56" ht="15" customHeight="1" x14ac:dyDescent="0.2">
      <c r="AF476" s="134"/>
      <c r="AG476" s="65"/>
      <c r="AH476" s="65"/>
      <c r="AI476" s="65"/>
      <c r="AJ476" s="65"/>
      <c r="AK476" s="65"/>
      <c r="AL476" s="65"/>
      <c r="AM476" s="65"/>
      <c r="AN476" s="65"/>
      <c r="AO476" s="65"/>
      <c r="AP476" s="65"/>
      <c r="AQ476" s="61"/>
      <c r="AR476" s="65"/>
      <c r="AS476" s="65"/>
      <c r="AT476" s="65"/>
      <c r="AU476" s="61"/>
      <c r="AV476" s="61"/>
      <c r="AW476" s="61"/>
      <c r="AX476" s="61"/>
      <c r="AY476" s="61"/>
      <c r="AZ476" s="61"/>
      <c r="BB476" s="61"/>
      <c r="BC476" s="24"/>
      <c r="BD476" s="24"/>
    </row>
    <row r="477" spans="29:56" ht="15" customHeight="1" x14ac:dyDescent="0.2">
      <c r="AF477" s="134"/>
      <c r="AG477" s="65"/>
      <c r="AH477" s="65"/>
      <c r="AI477" s="65"/>
      <c r="AJ477" s="65"/>
      <c r="AK477" s="65"/>
      <c r="AL477" s="65"/>
      <c r="AM477" s="65"/>
      <c r="AN477" s="65"/>
      <c r="AO477" s="65"/>
      <c r="AP477" s="65"/>
      <c r="AQ477" s="61"/>
      <c r="AR477" s="65"/>
      <c r="AS477" s="65"/>
      <c r="AT477" s="65"/>
      <c r="AU477" s="61"/>
      <c r="AV477" s="61"/>
      <c r="AW477" s="61"/>
      <c r="AX477" s="61"/>
      <c r="AY477" s="61"/>
      <c r="AZ477" s="61"/>
      <c r="BB477" s="61"/>
      <c r="BC477" s="24"/>
      <c r="BD477" s="24"/>
    </row>
    <row r="478" spans="29:56" ht="15" customHeight="1" x14ac:dyDescent="0.2">
      <c r="AF478" s="134"/>
      <c r="AG478" s="65"/>
      <c r="AH478" s="65"/>
      <c r="AI478" s="65"/>
      <c r="AJ478" s="65"/>
      <c r="AK478" s="65"/>
      <c r="AL478" s="65"/>
      <c r="AM478" s="65"/>
      <c r="AN478" s="65"/>
      <c r="AO478" s="65"/>
      <c r="AP478" s="65"/>
      <c r="AQ478" s="61"/>
      <c r="AR478" s="65"/>
      <c r="AS478" s="65"/>
      <c r="AT478" s="65"/>
      <c r="AU478" s="61"/>
      <c r="AV478" s="61"/>
      <c r="AW478" s="61"/>
      <c r="AX478" s="61"/>
      <c r="AY478" s="61"/>
      <c r="AZ478" s="61"/>
      <c r="BB478" s="61"/>
      <c r="BC478" s="24"/>
      <c r="BD478" s="24"/>
    </row>
    <row r="479" spans="29:56" ht="15" customHeight="1" x14ac:dyDescent="0.2">
      <c r="AF479" s="134"/>
      <c r="AG479" s="65"/>
      <c r="AH479" s="65"/>
      <c r="AI479" s="65"/>
      <c r="AJ479" s="65"/>
      <c r="AK479" s="65"/>
      <c r="AL479" s="65"/>
      <c r="AM479" s="65"/>
      <c r="AN479" s="65"/>
      <c r="AO479" s="65"/>
      <c r="AP479" s="65"/>
      <c r="AQ479" s="61"/>
      <c r="AR479" s="65"/>
      <c r="AS479" s="65"/>
      <c r="AT479" s="65"/>
      <c r="AU479" s="61"/>
      <c r="AV479" s="61"/>
      <c r="AW479" s="61"/>
      <c r="AX479" s="61"/>
      <c r="BC479" s="24"/>
      <c r="BD479" s="24"/>
    </row>
    <row r="480" spans="29:56" ht="15" customHeight="1" x14ac:dyDescent="0.2">
      <c r="AF480" s="134"/>
      <c r="AG480" s="65"/>
      <c r="AH480" s="65"/>
      <c r="AI480" s="65"/>
      <c r="AJ480" s="65"/>
      <c r="AK480" s="65"/>
      <c r="AL480" s="65"/>
      <c r="AM480" s="65"/>
      <c r="AN480" s="65"/>
      <c r="AO480" s="65"/>
      <c r="AP480" s="65"/>
      <c r="AQ480" s="61"/>
      <c r="AR480" s="65"/>
      <c r="AS480" s="65"/>
      <c r="AT480" s="65"/>
      <c r="AU480" s="61"/>
      <c r="AV480" s="61"/>
      <c r="AW480" s="61"/>
      <c r="AX480" s="61"/>
      <c r="BC480" s="24"/>
      <c r="BD480" s="24"/>
    </row>
    <row r="481" spans="32:56" ht="15" customHeight="1" x14ac:dyDescent="0.2">
      <c r="AF481" s="134"/>
      <c r="AG481" s="65"/>
      <c r="AH481" s="65"/>
      <c r="AI481" s="65"/>
      <c r="AJ481" s="65"/>
      <c r="AK481" s="65"/>
      <c r="AL481" s="65"/>
      <c r="AM481" s="65"/>
      <c r="AN481" s="65"/>
      <c r="AO481" s="65"/>
      <c r="AP481" s="65"/>
      <c r="AQ481" s="61"/>
      <c r="AR481" s="65"/>
      <c r="AS481" s="65"/>
      <c r="AT481" s="65"/>
      <c r="AU481" s="61"/>
      <c r="AV481" s="61"/>
      <c r="AW481" s="61"/>
      <c r="AX481" s="61"/>
      <c r="BC481" s="24"/>
      <c r="BD481" s="24"/>
    </row>
    <row r="482" spans="32:56" ht="15" customHeight="1" x14ac:dyDescent="0.2">
      <c r="AF482" s="134"/>
      <c r="AG482" s="65"/>
      <c r="AH482" s="65"/>
      <c r="AI482" s="65"/>
      <c r="AJ482" s="65"/>
      <c r="AK482" s="65"/>
      <c r="AL482" s="65"/>
      <c r="AM482" s="65"/>
      <c r="AN482" s="65"/>
      <c r="AO482" s="65"/>
      <c r="AP482" s="65"/>
      <c r="AQ482" s="61"/>
      <c r="AR482" s="65"/>
      <c r="AS482" s="65"/>
      <c r="AT482" s="65"/>
      <c r="AU482" s="61"/>
      <c r="AV482" s="61"/>
      <c r="AW482" s="61"/>
      <c r="AX482" s="61"/>
      <c r="BC482" s="24"/>
      <c r="BD482" s="24"/>
    </row>
    <row r="483" spans="32:56" ht="15" customHeight="1" x14ac:dyDescent="0.2">
      <c r="AF483" s="134"/>
      <c r="AG483" s="65"/>
      <c r="AH483" s="65"/>
      <c r="AI483" s="65"/>
      <c r="AJ483" s="65"/>
      <c r="AK483" s="65"/>
      <c r="AL483" s="65"/>
      <c r="AM483" s="65"/>
      <c r="AN483" s="65"/>
      <c r="AO483" s="65"/>
      <c r="AP483" s="65"/>
      <c r="AQ483" s="61"/>
      <c r="AR483" s="65"/>
      <c r="AS483" s="65"/>
      <c r="AT483" s="65"/>
      <c r="AU483" s="61"/>
      <c r="AV483" s="61"/>
      <c r="AW483" s="61"/>
      <c r="AX483" s="61"/>
      <c r="BC483" s="24"/>
      <c r="BD483" s="24"/>
    </row>
    <row r="484" spans="32:56" ht="15" customHeight="1" x14ac:dyDescent="0.2">
      <c r="AF484" s="134"/>
      <c r="AG484" s="65"/>
      <c r="AH484" s="65"/>
      <c r="AI484" s="65"/>
      <c r="AJ484" s="65"/>
      <c r="AK484" s="65"/>
      <c r="AL484" s="65"/>
      <c r="AM484" s="65"/>
      <c r="AN484" s="65"/>
      <c r="AO484" s="65"/>
      <c r="AP484" s="65"/>
      <c r="AQ484" s="61"/>
      <c r="AR484" s="65"/>
      <c r="AS484" s="65"/>
      <c r="AT484" s="65"/>
      <c r="AU484" s="61"/>
      <c r="AV484" s="61"/>
      <c r="AW484" s="61"/>
      <c r="AX484" s="61"/>
      <c r="BC484" s="24"/>
      <c r="BD484" s="24"/>
    </row>
    <row r="485" spans="32:56" ht="15" customHeight="1" x14ac:dyDescent="0.2">
      <c r="AF485" s="134"/>
      <c r="AG485" s="65"/>
      <c r="AH485" s="65"/>
      <c r="AI485" s="65"/>
      <c r="AJ485" s="65"/>
      <c r="AK485" s="65"/>
      <c r="AL485" s="65"/>
      <c r="AM485" s="65"/>
      <c r="AN485" s="65"/>
      <c r="AO485" s="65"/>
      <c r="AP485" s="65"/>
      <c r="AQ485" s="61"/>
      <c r="AR485" s="65"/>
      <c r="AS485" s="65"/>
      <c r="AT485" s="65"/>
      <c r="AU485" s="61"/>
      <c r="AV485" s="61"/>
      <c r="AW485" s="61"/>
      <c r="AX485" s="61"/>
      <c r="BC485" s="24"/>
      <c r="BD485" s="24"/>
    </row>
    <row r="486" spans="32:56" ht="15" customHeight="1" x14ac:dyDescent="0.2">
      <c r="AF486" s="134"/>
      <c r="AG486" s="65"/>
      <c r="AH486" s="65"/>
      <c r="AI486" s="65"/>
      <c r="AJ486" s="65"/>
      <c r="AK486" s="65"/>
      <c r="AL486" s="65"/>
      <c r="AM486" s="65"/>
      <c r="AN486" s="65"/>
      <c r="AO486" s="65"/>
      <c r="AP486" s="65"/>
      <c r="AQ486" s="61"/>
      <c r="AR486" s="65"/>
      <c r="AS486" s="65"/>
      <c r="AT486" s="65"/>
      <c r="AU486" s="61"/>
      <c r="AV486" s="61"/>
      <c r="AW486" s="61"/>
      <c r="AX486" s="61"/>
      <c r="BC486" s="24"/>
      <c r="BD486" s="24"/>
    </row>
    <row r="487" spans="32:56" ht="15" customHeight="1" x14ac:dyDescent="0.2">
      <c r="AF487" s="134"/>
      <c r="AG487" s="65"/>
      <c r="AH487" s="65"/>
      <c r="AI487" s="65"/>
      <c r="AJ487" s="65"/>
      <c r="AK487" s="65"/>
      <c r="AL487" s="65"/>
      <c r="AM487" s="65"/>
      <c r="AN487" s="65"/>
      <c r="AO487" s="65"/>
      <c r="AP487" s="65"/>
      <c r="AQ487" s="61"/>
      <c r="AR487" s="65"/>
      <c r="AS487" s="65"/>
      <c r="AT487" s="65"/>
      <c r="AU487" s="61"/>
      <c r="AV487" s="61"/>
      <c r="AW487" s="61"/>
      <c r="AX487" s="61"/>
      <c r="BC487" s="24"/>
      <c r="BD487" s="24"/>
    </row>
    <row r="488" spans="32:56" ht="15" customHeight="1" x14ac:dyDescent="0.2">
      <c r="AF488" s="134"/>
      <c r="AG488" s="65"/>
      <c r="AH488" s="65"/>
      <c r="AI488" s="65"/>
      <c r="AJ488" s="65"/>
      <c r="AK488" s="65"/>
      <c r="AL488" s="65"/>
      <c r="AM488" s="65"/>
      <c r="AN488" s="65"/>
      <c r="AO488" s="65"/>
      <c r="AP488" s="65"/>
      <c r="AQ488" s="61"/>
      <c r="AR488" s="65"/>
      <c r="AS488" s="65"/>
      <c r="AT488" s="65"/>
      <c r="AU488" s="61"/>
      <c r="AV488" s="61"/>
      <c r="AW488" s="61"/>
      <c r="AX488" s="61"/>
      <c r="BC488" s="24"/>
      <c r="BD488" s="24"/>
    </row>
    <row r="489" spans="32:56" ht="15" customHeight="1" x14ac:dyDescent="0.2">
      <c r="AF489" s="134"/>
      <c r="AG489" s="65"/>
      <c r="AH489" s="65"/>
      <c r="AI489" s="65"/>
      <c r="AJ489" s="65"/>
      <c r="AK489" s="65"/>
      <c r="AL489" s="65"/>
      <c r="AM489" s="65"/>
      <c r="AN489" s="65"/>
      <c r="AO489" s="65"/>
      <c r="AP489" s="65"/>
      <c r="AQ489" s="61"/>
      <c r="AR489" s="65"/>
      <c r="AS489" s="65"/>
      <c r="AT489" s="65"/>
      <c r="AU489" s="61"/>
      <c r="AV489" s="61"/>
      <c r="AW489" s="61"/>
      <c r="AX489" s="61"/>
      <c r="BC489" s="24"/>
      <c r="BD489" s="24"/>
    </row>
    <row r="490" spans="32:56" ht="15" customHeight="1" x14ac:dyDescent="0.2">
      <c r="AF490" s="134"/>
      <c r="AG490" s="65"/>
      <c r="AH490" s="65"/>
      <c r="AI490" s="65"/>
      <c r="AJ490" s="65"/>
      <c r="AK490" s="65"/>
      <c r="AL490" s="65"/>
      <c r="AM490" s="65"/>
      <c r="AN490" s="65"/>
      <c r="AO490" s="65"/>
      <c r="AP490" s="65"/>
      <c r="AQ490" s="61"/>
      <c r="AR490" s="65"/>
      <c r="AS490" s="65"/>
      <c r="AT490" s="65"/>
      <c r="AU490" s="61"/>
      <c r="AV490" s="61"/>
      <c r="AW490" s="61"/>
      <c r="AX490" s="61"/>
      <c r="BC490" s="24"/>
      <c r="BD490" s="24"/>
    </row>
    <row r="491" spans="32:56" ht="15" customHeight="1" x14ac:dyDescent="0.2">
      <c r="AF491" s="134"/>
      <c r="AG491" s="65"/>
      <c r="AH491" s="65"/>
      <c r="AI491" s="65"/>
      <c r="AJ491" s="65"/>
      <c r="AK491" s="65"/>
      <c r="AL491" s="65"/>
      <c r="AM491" s="65"/>
      <c r="AN491" s="65"/>
      <c r="AO491" s="65"/>
      <c r="AP491" s="65"/>
      <c r="AQ491" s="61"/>
      <c r="AR491" s="65"/>
      <c r="AS491" s="65"/>
      <c r="AT491" s="65"/>
      <c r="AU491" s="61"/>
      <c r="AV491" s="61"/>
      <c r="AW491" s="61"/>
      <c r="AX491" s="61"/>
      <c r="BC491" s="24"/>
      <c r="BD491" s="24"/>
    </row>
    <row r="492" spans="32:56" ht="15" customHeight="1" x14ac:dyDescent="0.2">
      <c r="AF492" s="134"/>
      <c r="AG492" s="65"/>
      <c r="AH492" s="65"/>
      <c r="AI492" s="65"/>
      <c r="AJ492" s="65"/>
      <c r="AK492" s="65"/>
      <c r="AL492" s="65"/>
      <c r="AM492" s="65"/>
      <c r="AN492" s="65"/>
      <c r="AO492" s="65"/>
      <c r="AP492" s="65"/>
      <c r="AQ492" s="61"/>
      <c r="AR492" s="65"/>
      <c r="AS492" s="65"/>
      <c r="AT492" s="65"/>
      <c r="AU492" s="61"/>
      <c r="AV492" s="61"/>
      <c r="AW492" s="61"/>
      <c r="AX492" s="61"/>
      <c r="BC492" s="24"/>
      <c r="BD492" s="24"/>
    </row>
    <row r="493" spans="32:56" ht="15" customHeight="1" x14ac:dyDescent="0.2">
      <c r="AF493" s="134"/>
      <c r="AG493" s="65"/>
      <c r="AH493" s="65"/>
      <c r="AI493" s="65"/>
      <c r="AJ493" s="65"/>
      <c r="AK493" s="65"/>
      <c r="AL493" s="65"/>
      <c r="AM493" s="65"/>
      <c r="AN493" s="65"/>
      <c r="AO493" s="65"/>
      <c r="AP493" s="65"/>
      <c r="AQ493" s="61"/>
      <c r="AR493" s="65"/>
      <c r="AS493" s="65"/>
      <c r="AT493" s="65"/>
      <c r="AU493" s="61"/>
      <c r="AV493" s="61"/>
      <c r="AW493" s="61"/>
      <c r="AX493" s="61"/>
      <c r="BC493" s="24"/>
      <c r="BD493" s="24"/>
    </row>
    <row r="494" spans="32:56" ht="15" customHeight="1" x14ac:dyDescent="0.2">
      <c r="AF494" s="134"/>
      <c r="AG494" s="65"/>
      <c r="AH494" s="65"/>
      <c r="AI494" s="65"/>
      <c r="AJ494" s="65"/>
      <c r="AK494" s="65"/>
      <c r="AL494" s="65"/>
      <c r="AM494" s="65"/>
      <c r="AN494" s="65"/>
      <c r="AO494" s="65"/>
      <c r="AP494" s="65"/>
      <c r="AQ494" s="61"/>
      <c r="AR494" s="65"/>
      <c r="AS494" s="65"/>
      <c r="AT494" s="65"/>
      <c r="AU494" s="61"/>
      <c r="AV494" s="61"/>
      <c r="AW494" s="61"/>
      <c r="AX494" s="61"/>
      <c r="BC494" s="24"/>
      <c r="BD494" s="24"/>
    </row>
    <row r="495" spans="32:56" ht="15" customHeight="1" x14ac:dyDescent="0.2">
      <c r="AF495" s="134"/>
      <c r="AG495" s="65"/>
      <c r="AH495" s="65"/>
      <c r="AI495" s="65"/>
      <c r="AJ495" s="65"/>
      <c r="AK495" s="65"/>
      <c r="AL495" s="65"/>
      <c r="AM495" s="65"/>
      <c r="AN495" s="65"/>
      <c r="AO495" s="65"/>
      <c r="AP495" s="65"/>
      <c r="AQ495" s="61"/>
      <c r="AR495" s="65"/>
      <c r="AS495" s="65"/>
      <c r="AT495" s="65"/>
      <c r="AU495" s="61"/>
      <c r="AV495" s="61"/>
      <c r="AW495" s="61"/>
      <c r="AX495" s="61"/>
      <c r="BC495" s="24"/>
      <c r="BD495" s="24"/>
    </row>
    <row r="496" spans="32:56" ht="15" customHeight="1" x14ac:dyDescent="0.2">
      <c r="AF496" s="134"/>
      <c r="AG496" s="65"/>
      <c r="AH496" s="65"/>
      <c r="AI496" s="65"/>
      <c r="AJ496" s="65"/>
      <c r="AK496" s="65"/>
      <c r="AL496" s="65"/>
      <c r="AM496" s="65"/>
      <c r="AN496" s="65"/>
      <c r="AO496" s="65"/>
      <c r="AP496" s="65"/>
      <c r="AQ496" s="61"/>
      <c r="AR496" s="65"/>
      <c r="AS496" s="65"/>
      <c r="AT496" s="65"/>
      <c r="AU496" s="61"/>
      <c r="AV496" s="61"/>
      <c r="AW496" s="61"/>
      <c r="AX496" s="61"/>
      <c r="BC496" s="24"/>
      <c r="BD496" s="24"/>
    </row>
    <row r="497" spans="32:56" ht="15" customHeight="1" x14ac:dyDescent="0.2">
      <c r="AF497" s="134"/>
      <c r="AG497" s="65"/>
      <c r="AH497" s="65"/>
      <c r="AI497" s="65"/>
      <c r="AJ497" s="65"/>
      <c r="AK497" s="65"/>
      <c r="AL497" s="65"/>
      <c r="AM497" s="65"/>
      <c r="AN497" s="65"/>
      <c r="AO497" s="65"/>
      <c r="AP497" s="65"/>
      <c r="AQ497" s="61"/>
      <c r="AR497" s="65"/>
      <c r="AS497" s="65"/>
      <c r="AT497" s="65"/>
      <c r="AU497" s="61"/>
      <c r="AV497" s="61"/>
      <c r="AW497" s="61"/>
      <c r="AX497" s="61"/>
      <c r="BC497" s="24"/>
      <c r="BD497" s="24"/>
    </row>
    <row r="498" spans="32:56" ht="15" customHeight="1" x14ac:dyDescent="0.2">
      <c r="AF498" s="134"/>
      <c r="AG498" s="65"/>
      <c r="AH498" s="65"/>
      <c r="AI498" s="65"/>
      <c r="AJ498" s="65"/>
      <c r="AK498" s="65"/>
      <c r="AL498" s="65"/>
      <c r="AM498" s="65"/>
      <c r="AN498" s="65"/>
      <c r="AO498" s="65"/>
      <c r="AP498" s="65"/>
      <c r="AQ498" s="61"/>
      <c r="AR498" s="65"/>
      <c r="AS498" s="65"/>
      <c r="AT498" s="65"/>
      <c r="AU498" s="61"/>
      <c r="AV498" s="61"/>
      <c r="AW498" s="61"/>
      <c r="AX498" s="61"/>
      <c r="BC498" s="24"/>
      <c r="BD498" s="24"/>
    </row>
    <row r="499" spans="32:56" ht="15" customHeight="1" x14ac:dyDescent="0.2">
      <c r="AF499" s="134"/>
      <c r="AG499" s="65"/>
      <c r="AH499" s="65"/>
      <c r="AI499" s="65"/>
      <c r="AJ499" s="65"/>
      <c r="AK499" s="65"/>
      <c r="AL499" s="65"/>
      <c r="AM499" s="65"/>
      <c r="AN499" s="65"/>
      <c r="AO499" s="65"/>
      <c r="AP499" s="65"/>
      <c r="AQ499" s="61"/>
      <c r="AR499" s="65"/>
      <c r="AS499" s="65"/>
      <c r="AT499" s="65"/>
      <c r="AU499" s="61"/>
      <c r="AV499" s="61"/>
      <c r="AW499" s="61"/>
      <c r="AX499" s="61"/>
      <c r="BC499" s="24"/>
      <c r="BD499" s="24"/>
    </row>
    <row r="500" spans="32:56" ht="15" customHeight="1" x14ac:dyDescent="0.2">
      <c r="AF500" s="134"/>
      <c r="AG500" s="65"/>
      <c r="AH500" s="65"/>
      <c r="AI500" s="65"/>
      <c r="AJ500" s="65"/>
      <c r="AK500" s="65"/>
      <c r="AL500" s="65"/>
      <c r="AM500" s="65"/>
      <c r="AN500" s="65"/>
      <c r="AO500" s="65"/>
      <c r="AP500" s="65"/>
      <c r="AQ500" s="61"/>
      <c r="AR500" s="65"/>
      <c r="AS500" s="65"/>
      <c r="AT500" s="65"/>
      <c r="AU500" s="61"/>
      <c r="AV500" s="61"/>
      <c r="AW500" s="61"/>
      <c r="AX500" s="61"/>
      <c r="BC500" s="24"/>
      <c r="BD500" s="24"/>
    </row>
    <row r="501" spans="32:56" ht="15" customHeight="1" x14ac:dyDescent="0.2">
      <c r="AF501" s="134"/>
      <c r="AG501" s="65"/>
      <c r="AH501" s="65"/>
      <c r="AI501" s="65"/>
      <c r="AJ501" s="65"/>
      <c r="AK501" s="65"/>
      <c r="AL501" s="65"/>
      <c r="AM501" s="65"/>
      <c r="AN501" s="65"/>
      <c r="AO501" s="65"/>
      <c r="AP501" s="65"/>
      <c r="AQ501" s="61"/>
      <c r="AR501" s="65"/>
      <c r="AS501" s="65"/>
      <c r="AT501" s="65"/>
      <c r="AU501" s="61"/>
      <c r="AV501" s="61"/>
      <c r="AW501" s="61"/>
      <c r="AX501" s="61"/>
      <c r="BC501" s="24"/>
      <c r="BD501" s="24"/>
    </row>
    <row r="502" spans="32:56" ht="15" customHeight="1" x14ac:dyDescent="0.2">
      <c r="AF502" s="134"/>
      <c r="AG502" s="65"/>
      <c r="AH502" s="65"/>
      <c r="AI502" s="65"/>
      <c r="AJ502" s="65"/>
      <c r="AK502" s="65"/>
      <c r="AL502" s="65"/>
      <c r="AM502" s="65"/>
      <c r="AN502" s="65"/>
      <c r="AO502" s="65"/>
      <c r="AP502" s="65"/>
      <c r="AQ502" s="61"/>
      <c r="AR502" s="65"/>
      <c r="AS502" s="65"/>
      <c r="AT502" s="65"/>
      <c r="AU502" s="61"/>
      <c r="AV502" s="61"/>
      <c r="AW502" s="61"/>
      <c r="AX502" s="61"/>
      <c r="BC502" s="24"/>
      <c r="BD502" s="24"/>
    </row>
    <row r="503" spans="32:56" ht="15" customHeight="1" x14ac:dyDescent="0.2">
      <c r="AF503" s="134"/>
      <c r="AG503" s="65"/>
      <c r="AH503" s="65"/>
      <c r="AI503" s="65"/>
      <c r="AJ503" s="65"/>
      <c r="AK503" s="65"/>
      <c r="AL503" s="65"/>
      <c r="AM503" s="65"/>
      <c r="AN503" s="65"/>
      <c r="AO503" s="65"/>
      <c r="AP503" s="65"/>
      <c r="AQ503" s="61"/>
      <c r="AR503" s="65"/>
      <c r="AS503" s="65"/>
      <c r="AT503" s="65"/>
      <c r="AU503" s="61"/>
      <c r="AV503" s="61"/>
      <c r="AW503" s="61"/>
      <c r="AX503" s="61"/>
      <c r="BC503" s="24"/>
      <c r="BD503" s="24"/>
    </row>
    <row r="504" spans="32:56" ht="15" customHeight="1" x14ac:dyDescent="0.2">
      <c r="AF504" s="134"/>
      <c r="AG504" s="65"/>
      <c r="AH504" s="65"/>
      <c r="AI504" s="65"/>
      <c r="AJ504" s="65"/>
      <c r="AK504" s="65"/>
      <c r="AL504" s="65"/>
      <c r="AM504" s="65"/>
      <c r="AN504" s="65"/>
      <c r="AO504" s="65"/>
      <c r="AP504" s="65"/>
      <c r="AQ504" s="61"/>
      <c r="AR504" s="65"/>
      <c r="AS504" s="65"/>
      <c r="AT504" s="65"/>
      <c r="AU504" s="61"/>
      <c r="AV504" s="61"/>
      <c r="AW504" s="61"/>
      <c r="AX504" s="61"/>
      <c r="BC504" s="24"/>
      <c r="BD504" s="24"/>
    </row>
    <row r="505" spans="32:56" ht="15" customHeight="1" x14ac:dyDescent="0.2">
      <c r="AF505" s="134"/>
      <c r="AG505" s="65"/>
      <c r="AH505" s="65"/>
      <c r="AI505" s="65"/>
      <c r="AJ505" s="65"/>
      <c r="AK505" s="65"/>
      <c r="AL505" s="65"/>
      <c r="AM505" s="65"/>
      <c r="AN505" s="65"/>
      <c r="AO505" s="65"/>
      <c r="AP505" s="65"/>
      <c r="AQ505" s="61"/>
      <c r="AR505" s="65"/>
      <c r="AS505" s="65"/>
      <c r="AT505" s="65"/>
      <c r="AU505" s="61"/>
      <c r="AV505" s="61"/>
      <c r="AW505" s="61"/>
      <c r="AX505" s="61"/>
      <c r="BC505" s="24"/>
      <c r="BD505" s="24"/>
    </row>
    <row r="506" spans="32:56" ht="15" customHeight="1" x14ac:dyDescent="0.2">
      <c r="AF506" s="134"/>
      <c r="AG506" s="65"/>
      <c r="AH506" s="65"/>
      <c r="AI506" s="65"/>
      <c r="AJ506" s="65"/>
      <c r="AK506" s="65"/>
      <c r="AL506" s="65"/>
      <c r="AM506" s="65"/>
      <c r="AN506" s="65"/>
      <c r="AO506" s="65"/>
      <c r="AP506" s="65"/>
      <c r="AQ506" s="61"/>
      <c r="AR506" s="65"/>
      <c r="AS506" s="65"/>
      <c r="AT506" s="65"/>
      <c r="AU506" s="61"/>
      <c r="AV506" s="61"/>
      <c r="AW506" s="61"/>
      <c r="AX506" s="61"/>
      <c r="BC506" s="24"/>
      <c r="BD506" s="24"/>
    </row>
    <row r="507" spans="32:56" ht="15" customHeight="1" x14ac:dyDescent="0.2">
      <c r="AF507" s="134"/>
      <c r="AG507" s="65"/>
      <c r="AH507" s="65"/>
      <c r="AI507" s="65"/>
      <c r="AJ507" s="65"/>
      <c r="AK507" s="65"/>
      <c r="AL507" s="65"/>
      <c r="AM507" s="65"/>
      <c r="AN507" s="65"/>
      <c r="AO507" s="65"/>
      <c r="AP507" s="65"/>
      <c r="AQ507" s="61"/>
      <c r="AR507" s="65"/>
      <c r="AS507" s="65"/>
      <c r="AT507" s="65"/>
      <c r="AU507" s="61"/>
      <c r="AV507" s="61"/>
      <c r="AW507" s="61"/>
      <c r="AX507" s="61"/>
      <c r="BC507" s="24"/>
      <c r="BD507" s="24"/>
    </row>
    <row r="508" spans="32:56" ht="15" customHeight="1" x14ac:dyDescent="0.2">
      <c r="AF508" s="134"/>
      <c r="AG508" s="65"/>
      <c r="AH508" s="65"/>
      <c r="AI508" s="65"/>
      <c r="AJ508" s="65"/>
      <c r="AK508" s="65"/>
      <c r="AL508" s="65"/>
      <c r="AM508" s="65"/>
      <c r="AN508" s="65"/>
      <c r="AO508" s="65"/>
      <c r="AP508" s="65"/>
      <c r="AQ508" s="61"/>
      <c r="AR508" s="65"/>
      <c r="AS508" s="65"/>
      <c r="AT508" s="65"/>
      <c r="AU508" s="61"/>
      <c r="AV508" s="61"/>
      <c r="AW508" s="61"/>
      <c r="AX508" s="61"/>
      <c r="BC508" s="24"/>
      <c r="BD508" s="24"/>
    </row>
    <row r="509" spans="32:56" ht="15" customHeight="1" x14ac:dyDescent="0.2">
      <c r="AF509" s="134"/>
      <c r="AG509" s="65"/>
      <c r="AH509" s="65"/>
      <c r="AI509" s="65"/>
      <c r="AJ509" s="65"/>
      <c r="AK509" s="65"/>
      <c r="AL509" s="65"/>
      <c r="AM509" s="65"/>
      <c r="AN509" s="65"/>
      <c r="AO509" s="65"/>
      <c r="AP509" s="65"/>
      <c r="AQ509" s="61"/>
      <c r="AR509" s="65"/>
      <c r="AS509" s="65"/>
      <c r="AT509" s="65"/>
      <c r="AU509" s="61"/>
      <c r="AV509" s="63"/>
      <c r="AW509" s="63"/>
      <c r="AX509" s="63"/>
      <c r="BC509" s="24"/>
      <c r="BD509" s="24"/>
    </row>
    <row r="510" spans="32:56" ht="15" customHeight="1" x14ac:dyDescent="0.2">
      <c r="AF510" s="134"/>
      <c r="AG510" s="65"/>
      <c r="AH510" s="65"/>
      <c r="AI510" s="135"/>
      <c r="AJ510" s="135"/>
      <c r="AK510" s="65"/>
      <c r="AL510" s="65"/>
      <c r="AM510" s="65"/>
      <c r="AN510" s="65"/>
      <c r="AO510" s="65"/>
      <c r="AP510" s="65"/>
      <c r="AQ510" s="61"/>
      <c r="AR510" s="65"/>
      <c r="AS510" s="135"/>
      <c r="AT510" s="135"/>
      <c r="AU510" s="63"/>
      <c r="AV510" s="63"/>
      <c r="AW510" s="63"/>
      <c r="AX510" s="63"/>
      <c r="BC510" s="24"/>
      <c r="BD510" s="24"/>
    </row>
    <row r="511" spans="32:56" ht="15" customHeight="1" x14ac:dyDescent="0.2">
      <c r="AF511" s="134"/>
      <c r="AG511" s="65"/>
      <c r="AH511" s="65"/>
      <c r="AI511" s="135"/>
      <c r="AJ511" s="135"/>
      <c r="AK511" s="65"/>
      <c r="AL511" s="65"/>
      <c r="AM511" s="65"/>
      <c r="AN511" s="65"/>
      <c r="AO511" s="65"/>
      <c r="AP511" s="65"/>
      <c r="AQ511" s="61"/>
      <c r="AR511" s="135"/>
      <c r="AS511" s="135"/>
      <c r="AT511" s="135"/>
      <c r="AU511" s="63"/>
      <c r="AV511" s="63"/>
      <c r="AW511" s="63"/>
      <c r="AX511" s="63"/>
      <c r="BC511" s="24"/>
      <c r="BD511" s="24"/>
    </row>
    <row r="512" spans="32:56" ht="15" customHeight="1" x14ac:dyDescent="0.2">
      <c r="AF512" s="134"/>
      <c r="AG512" s="65"/>
      <c r="AH512" s="65"/>
      <c r="AI512" s="135"/>
      <c r="AJ512" s="135"/>
      <c r="AK512" s="65"/>
      <c r="AL512" s="65"/>
      <c r="AM512" s="65"/>
      <c r="AN512" s="65"/>
      <c r="AO512" s="65"/>
      <c r="AP512" s="65"/>
      <c r="AQ512" s="61"/>
      <c r="AR512" s="135"/>
      <c r="AS512" s="135"/>
      <c r="AT512" s="135"/>
      <c r="AU512" s="63"/>
      <c r="AV512" s="63"/>
      <c r="AW512" s="63"/>
      <c r="AX512" s="63"/>
      <c r="BC512" s="24"/>
      <c r="BD512" s="24"/>
    </row>
    <row r="513" spans="32:56" ht="15" customHeight="1" x14ac:dyDescent="0.2">
      <c r="AF513" s="134"/>
      <c r="AG513" s="65"/>
      <c r="AH513" s="65"/>
      <c r="AI513" s="135"/>
      <c r="AJ513" s="135"/>
      <c r="AK513" s="65"/>
      <c r="AL513" s="65"/>
      <c r="AM513" s="65"/>
      <c r="AN513" s="65"/>
      <c r="AO513" s="65"/>
      <c r="AP513" s="65"/>
      <c r="AQ513" s="61"/>
      <c r="AR513" s="135"/>
      <c r="AS513" s="135"/>
      <c r="AT513" s="135"/>
      <c r="AU513" s="63"/>
      <c r="AV513" s="63"/>
      <c r="AW513" s="63"/>
      <c r="AX513" s="63"/>
      <c r="BC513" s="24"/>
      <c r="BD513" s="24"/>
    </row>
    <row r="514" spans="32:56" ht="15" customHeight="1" x14ac:dyDescent="0.2">
      <c r="AF514" s="134"/>
      <c r="AG514" s="65"/>
      <c r="AH514" s="65"/>
      <c r="AI514" s="135"/>
      <c r="AJ514" s="135"/>
      <c r="AK514" s="65"/>
      <c r="AL514" s="65"/>
      <c r="AM514" s="65"/>
      <c r="AN514" s="135"/>
      <c r="AO514" s="135"/>
      <c r="AP514" s="135"/>
      <c r="AQ514" s="61"/>
      <c r="AR514" s="135"/>
      <c r="AS514" s="135"/>
      <c r="AT514" s="135"/>
      <c r="AU514" s="63"/>
      <c r="AV514" s="63"/>
      <c r="AW514" s="63"/>
      <c r="AX514" s="63"/>
      <c r="BC514" s="24"/>
      <c r="BD514" s="24"/>
    </row>
    <row r="515" spans="32:56" ht="15" customHeight="1" x14ac:dyDescent="0.2">
      <c r="AF515" s="134"/>
      <c r="AG515" s="65"/>
      <c r="AH515" s="65"/>
      <c r="AI515" s="135"/>
      <c r="AJ515" s="135"/>
      <c r="AK515" s="65"/>
      <c r="AL515" s="65"/>
      <c r="AM515" s="65"/>
      <c r="AN515" s="135"/>
      <c r="AO515" s="135"/>
      <c r="AP515" s="135"/>
      <c r="AQ515" s="63"/>
      <c r="AR515" s="135"/>
      <c r="AS515" s="135"/>
      <c r="AT515" s="135"/>
      <c r="AU515" s="63"/>
      <c r="AV515" s="63"/>
      <c r="AW515" s="63"/>
      <c r="AX515" s="63"/>
      <c r="BC515" s="24"/>
      <c r="BD515" s="24"/>
    </row>
    <row r="516" spans="32:56" ht="15" customHeight="1" x14ac:dyDescent="0.2">
      <c r="AF516" s="134"/>
      <c r="AG516" s="135"/>
      <c r="AH516" s="135"/>
      <c r="AI516" s="135"/>
      <c r="AJ516" s="135"/>
      <c r="AK516" s="65"/>
      <c r="AL516" s="65"/>
      <c r="AM516" s="65"/>
      <c r="AN516" s="135"/>
      <c r="AO516" s="135"/>
      <c r="AP516" s="135"/>
      <c r="AQ516" s="63"/>
      <c r="AR516" s="135"/>
      <c r="AS516" s="135"/>
      <c r="AT516" s="135"/>
      <c r="AU516" s="63"/>
      <c r="AV516" s="63"/>
      <c r="AW516" s="63"/>
      <c r="AX516" s="63"/>
      <c r="BC516" s="24"/>
      <c r="BD516" s="24"/>
    </row>
    <row r="517" spans="32:56" ht="15" customHeight="1" x14ac:dyDescent="0.2">
      <c r="AF517" s="134"/>
      <c r="AG517" s="135"/>
      <c r="AH517" s="135"/>
      <c r="AI517" s="135"/>
      <c r="AJ517" s="135"/>
      <c r="AK517" s="65"/>
      <c r="AL517" s="65"/>
      <c r="AM517" s="65"/>
      <c r="AN517" s="135"/>
      <c r="AO517" s="135"/>
      <c r="AP517" s="135"/>
      <c r="AQ517" s="63"/>
      <c r="AR517" s="135"/>
      <c r="AS517" s="135"/>
      <c r="AT517" s="135"/>
      <c r="AU517" s="63"/>
      <c r="AV517" s="63"/>
      <c r="AW517" s="63"/>
      <c r="AX517" s="63"/>
      <c r="BC517" s="24"/>
      <c r="BD517" s="24"/>
    </row>
    <row r="518" spans="32:56" ht="15" customHeight="1" x14ac:dyDescent="0.2">
      <c r="AF518" s="134"/>
      <c r="AG518" s="135"/>
      <c r="AH518" s="135"/>
      <c r="AI518" s="135"/>
      <c r="AJ518" s="135"/>
      <c r="AK518" s="65"/>
      <c r="AL518" s="65"/>
      <c r="AM518" s="65"/>
      <c r="AN518" s="135"/>
      <c r="AO518" s="135"/>
      <c r="AP518" s="135"/>
      <c r="AQ518" s="63"/>
      <c r="AR518" s="135"/>
      <c r="AS518" s="135"/>
      <c r="AT518" s="135"/>
      <c r="AU518" s="63"/>
      <c r="AV518" s="63"/>
      <c r="AW518" s="63"/>
      <c r="AX518" s="63"/>
      <c r="BC518" s="24"/>
      <c r="BD518" s="24"/>
    </row>
    <row r="519" spans="32:56" ht="15" customHeight="1" x14ac:dyDescent="0.2">
      <c r="AF519" s="134"/>
      <c r="AG519" s="135"/>
      <c r="AH519" s="135"/>
      <c r="AI519" s="135"/>
      <c r="AJ519" s="135"/>
      <c r="AK519" s="65"/>
      <c r="AL519" s="65"/>
      <c r="AM519" s="65"/>
      <c r="AN519" s="135"/>
      <c r="AO519" s="135"/>
      <c r="AP519" s="135"/>
      <c r="AQ519" s="63"/>
      <c r="AR519" s="135"/>
      <c r="AS519" s="135"/>
      <c r="AT519" s="135"/>
      <c r="AU519" s="63"/>
      <c r="AV519" s="63"/>
      <c r="AW519" s="63"/>
      <c r="AX519" s="63"/>
      <c r="BC519" s="24"/>
      <c r="BD519" s="24"/>
    </row>
    <row r="520" spans="32:56" ht="15" customHeight="1" x14ac:dyDescent="0.2">
      <c r="AF520" s="134"/>
      <c r="AG520" s="135"/>
      <c r="AH520" s="135"/>
      <c r="AI520" s="135"/>
      <c r="AJ520" s="135"/>
      <c r="AK520" s="65"/>
      <c r="AL520" s="65"/>
      <c r="AM520" s="65"/>
      <c r="AN520" s="135"/>
      <c r="AO520" s="135"/>
      <c r="AP520" s="135"/>
      <c r="AQ520" s="63"/>
      <c r="AR520" s="135"/>
      <c r="AS520" s="135"/>
      <c r="AT520" s="135"/>
      <c r="AU520" s="63"/>
      <c r="AV520" s="63"/>
      <c r="AW520" s="63"/>
      <c r="AX520" s="63"/>
      <c r="BC520" s="24"/>
      <c r="BD520" s="24"/>
    </row>
    <row r="521" spans="32:56" ht="15" customHeight="1" x14ac:dyDescent="0.2">
      <c r="AF521" s="134"/>
      <c r="AG521" s="135"/>
      <c r="AH521" s="135"/>
      <c r="AI521" s="135"/>
      <c r="AJ521" s="135"/>
      <c r="AK521" s="65"/>
      <c r="AL521" s="65"/>
      <c r="AM521" s="65"/>
      <c r="AN521" s="135"/>
      <c r="AO521" s="135"/>
      <c r="AP521" s="135"/>
      <c r="AQ521" s="63"/>
      <c r="AR521" s="135"/>
      <c r="AS521" s="135"/>
      <c r="AT521" s="135"/>
      <c r="AU521" s="63"/>
      <c r="AV521" s="63"/>
      <c r="AW521" s="63"/>
      <c r="AX521" s="63"/>
      <c r="BC521" s="24"/>
      <c r="BD521" s="24"/>
    </row>
    <row r="522" spans="32:56" ht="15" customHeight="1" x14ac:dyDescent="0.2">
      <c r="AF522" s="134"/>
      <c r="AG522" s="135"/>
      <c r="AH522" s="135"/>
      <c r="AI522" s="135"/>
      <c r="AJ522" s="135"/>
      <c r="AK522" s="65"/>
      <c r="AL522" s="65"/>
      <c r="AM522" s="65"/>
      <c r="AN522" s="135"/>
      <c r="AO522" s="135"/>
      <c r="AP522" s="135"/>
      <c r="AQ522" s="63"/>
      <c r="AR522" s="135"/>
      <c r="AS522" s="135"/>
      <c r="AT522" s="135"/>
      <c r="AU522" s="63"/>
      <c r="AV522" s="63"/>
      <c r="AW522" s="63"/>
      <c r="AX522" s="63"/>
      <c r="BC522" s="24"/>
      <c r="BD522" s="24"/>
    </row>
    <row r="523" spans="32:56" ht="15" customHeight="1" x14ac:dyDescent="0.2">
      <c r="AF523" s="134"/>
      <c r="AG523" s="135"/>
      <c r="AH523" s="135"/>
      <c r="AI523" s="135"/>
      <c r="AJ523" s="135"/>
      <c r="AK523" s="65"/>
      <c r="AL523" s="65"/>
      <c r="AM523" s="65"/>
      <c r="AN523" s="135"/>
      <c r="AO523" s="135"/>
      <c r="AP523" s="135"/>
      <c r="AQ523" s="63"/>
      <c r="AR523" s="135"/>
      <c r="AS523" s="135"/>
      <c r="AT523" s="135"/>
      <c r="AU523" s="63"/>
      <c r="AV523" s="63"/>
      <c r="AW523" s="63"/>
      <c r="AX523" s="63"/>
      <c r="BC523" s="24"/>
      <c r="BD523" s="24"/>
    </row>
    <row r="524" spans="32:56" ht="15" customHeight="1" x14ac:dyDescent="0.2">
      <c r="AF524" s="134"/>
      <c r="AG524" s="135"/>
      <c r="AH524" s="135"/>
      <c r="AI524" s="135"/>
      <c r="AJ524" s="135"/>
      <c r="AK524" s="65"/>
      <c r="AL524" s="65"/>
      <c r="AM524" s="65"/>
      <c r="AN524" s="135"/>
      <c r="AO524" s="135"/>
      <c r="AP524" s="135"/>
      <c r="AQ524" s="63"/>
      <c r="AR524" s="135"/>
      <c r="AS524" s="135"/>
      <c r="AT524" s="135"/>
      <c r="AU524" s="63"/>
      <c r="AV524" s="63"/>
      <c r="AW524" s="63"/>
      <c r="AX524" s="63"/>
      <c r="BC524" s="24"/>
      <c r="BD524" s="24"/>
    </row>
    <row r="525" spans="32:56" ht="15" customHeight="1" x14ac:dyDescent="0.2">
      <c r="AF525" s="134"/>
      <c r="AG525" s="135"/>
      <c r="AH525" s="135"/>
      <c r="AI525" s="135"/>
      <c r="AJ525" s="135"/>
      <c r="AK525" s="65"/>
      <c r="AL525" s="65"/>
      <c r="AM525" s="65"/>
      <c r="AN525" s="135"/>
      <c r="AO525" s="135"/>
      <c r="AP525" s="135"/>
      <c r="AQ525" s="63"/>
      <c r="AR525" s="135"/>
      <c r="AS525" s="135"/>
      <c r="AT525" s="135"/>
      <c r="AU525" s="63"/>
      <c r="AV525" s="63"/>
      <c r="AW525" s="63"/>
      <c r="AX525" s="63"/>
      <c r="BC525" s="24"/>
      <c r="BD525" s="24"/>
    </row>
    <row r="526" spans="32:56" ht="15" customHeight="1" x14ac:dyDescent="0.2">
      <c r="AF526" s="134"/>
      <c r="AG526" s="135"/>
      <c r="AH526" s="135"/>
      <c r="AI526" s="135"/>
      <c r="AJ526" s="135"/>
      <c r="AK526" s="65"/>
      <c r="AL526" s="65"/>
      <c r="AM526" s="65"/>
      <c r="AN526" s="135"/>
      <c r="AO526" s="135"/>
      <c r="AP526" s="135"/>
      <c r="AQ526" s="63"/>
      <c r="AR526" s="135"/>
      <c r="AS526" s="135"/>
      <c r="AT526" s="135"/>
      <c r="AU526" s="63"/>
      <c r="AV526" s="63"/>
      <c r="AW526" s="63"/>
      <c r="AX526" s="63"/>
      <c r="BC526" s="24"/>
      <c r="BD526" s="24"/>
    </row>
    <row r="527" spans="32:56" ht="15" customHeight="1" x14ac:dyDescent="0.2">
      <c r="AF527" s="134"/>
      <c r="AG527" s="135"/>
      <c r="AH527" s="135"/>
      <c r="AI527" s="135"/>
      <c r="AJ527" s="135"/>
      <c r="AK527" s="65"/>
      <c r="AL527" s="65"/>
      <c r="AM527" s="65"/>
      <c r="AN527" s="135"/>
      <c r="AO527" s="135"/>
      <c r="AP527" s="135"/>
      <c r="AQ527" s="63"/>
      <c r="AR527" s="135"/>
      <c r="AS527" s="135"/>
      <c r="AT527" s="135"/>
      <c r="AU527" s="63"/>
      <c r="AV527" s="63"/>
      <c r="AW527" s="63"/>
      <c r="AX527" s="63"/>
      <c r="BC527" s="24"/>
      <c r="BD527" s="24"/>
    </row>
    <row r="528" spans="32:56" ht="15" customHeight="1" x14ac:dyDescent="0.2">
      <c r="AF528" s="134"/>
      <c r="AG528" s="135"/>
      <c r="AH528" s="135"/>
      <c r="AI528" s="135"/>
      <c r="AJ528" s="135"/>
      <c r="AK528" s="65"/>
      <c r="AL528" s="65"/>
      <c r="AM528" s="65"/>
      <c r="AN528" s="135"/>
      <c r="AO528" s="135"/>
      <c r="AP528" s="135"/>
      <c r="AQ528" s="63"/>
      <c r="AR528" s="135"/>
      <c r="AS528" s="135"/>
      <c r="AT528" s="135"/>
      <c r="AU528" s="63"/>
      <c r="AV528" s="63"/>
      <c r="AW528" s="63"/>
      <c r="AX528" s="63"/>
      <c r="BC528" s="24"/>
      <c r="BD528" s="24"/>
    </row>
    <row r="529" spans="32:56" ht="15" customHeight="1" x14ac:dyDescent="0.2">
      <c r="AF529" s="134"/>
      <c r="AG529" s="135"/>
      <c r="AH529" s="135"/>
      <c r="AI529" s="135"/>
      <c r="AJ529" s="135"/>
      <c r="AK529" s="65"/>
      <c r="AL529" s="65"/>
      <c r="AM529" s="65"/>
      <c r="AN529" s="135"/>
      <c r="AO529" s="135"/>
      <c r="AP529" s="135"/>
      <c r="AQ529" s="63"/>
      <c r="AR529" s="135"/>
      <c r="AS529" s="135"/>
      <c r="AT529" s="135"/>
      <c r="AU529" s="63"/>
      <c r="AV529" s="63"/>
      <c r="AW529" s="63"/>
      <c r="AX529" s="63"/>
      <c r="BC529" s="24"/>
      <c r="BD529" s="24"/>
    </row>
    <row r="530" spans="32:56" ht="15" customHeight="1" x14ac:dyDescent="0.2">
      <c r="AF530" s="134"/>
      <c r="AG530" s="135"/>
      <c r="AH530" s="135"/>
      <c r="AI530" s="135"/>
      <c r="AJ530" s="135"/>
      <c r="AK530" s="65"/>
      <c r="AL530" s="65"/>
      <c r="AM530" s="65"/>
      <c r="AN530" s="135"/>
      <c r="AO530" s="135"/>
      <c r="AP530" s="135"/>
      <c r="AQ530" s="63"/>
      <c r="AR530" s="135"/>
      <c r="AS530" s="135"/>
      <c r="AT530" s="135"/>
      <c r="AU530" s="63"/>
      <c r="AV530" s="63"/>
      <c r="AW530" s="63"/>
      <c r="AX530" s="63"/>
      <c r="BC530" s="24"/>
      <c r="BD530" s="24"/>
    </row>
    <row r="531" spans="32:56" ht="15" customHeight="1" x14ac:dyDescent="0.2">
      <c r="AF531" s="134"/>
      <c r="AG531" s="135"/>
      <c r="AH531" s="135"/>
      <c r="AI531" s="135"/>
      <c r="AJ531" s="135"/>
      <c r="AK531" s="65"/>
      <c r="AL531" s="65"/>
      <c r="AM531" s="65"/>
      <c r="AN531" s="135"/>
      <c r="AO531" s="135"/>
      <c r="AP531" s="135"/>
      <c r="AQ531" s="63"/>
      <c r="AR531" s="135"/>
      <c r="AS531" s="135"/>
      <c r="AT531" s="135"/>
      <c r="AU531" s="63"/>
      <c r="AV531" s="63"/>
      <c r="AW531" s="63"/>
      <c r="AX531" s="63"/>
      <c r="BC531" s="24"/>
      <c r="BD531" s="24"/>
    </row>
    <row r="532" spans="32:56" ht="15" customHeight="1" x14ac:dyDescent="0.2">
      <c r="AF532" s="134"/>
      <c r="AG532" s="135"/>
      <c r="AH532" s="135"/>
      <c r="AI532" s="135"/>
      <c r="AJ532" s="135"/>
      <c r="AK532" s="65"/>
      <c r="AL532" s="65"/>
      <c r="AM532" s="65"/>
      <c r="AN532" s="135"/>
      <c r="AO532" s="135"/>
      <c r="AP532" s="135"/>
      <c r="AQ532" s="63"/>
      <c r="AR532" s="135"/>
      <c r="AS532" s="135"/>
      <c r="AT532" s="135"/>
      <c r="AU532" s="63"/>
      <c r="AV532" s="63"/>
      <c r="AW532" s="63"/>
      <c r="AX532" s="63"/>
      <c r="BC532" s="24"/>
      <c r="BD532" s="24"/>
    </row>
    <row r="533" spans="32:56" ht="15" customHeight="1" x14ac:dyDescent="0.2">
      <c r="AF533" s="134"/>
      <c r="AG533" s="135"/>
      <c r="AH533" s="135"/>
      <c r="AI533" s="135"/>
      <c r="AJ533" s="135"/>
      <c r="AK533" s="65"/>
      <c r="AL533" s="65"/>
      <c r="AM533" s="65"/>
      <c r="AN533" s="135"/>
      <c r="AO533" s="135"/>
      <c r="AP533" s="135"/>
      <c r="AQ533" s="63"/>
      <c r="AR533" s="135"/>
      <c r="AS533" s="135"/>
      <c r="AT533" s="135"/>
      <c r="AU533" s="63"/>
      <c r="AV533" s="63"/>
      <c r="AW533" s="63"/>
      <c r="AX533" s="63"/>
      <c r="BC533" s="24"/>
      <c r="BD533" s="24"/>
    </row>
    <row r="534" spans="32:56" ht="15" customHeight="1" x14ac:dyDescent="0.2">
      <c r="AF534" s="134"/>
      <c r="AG534" s="135"/>
      <c r="AH534" s="135"/>
      <c r="AI534" s="135"/>
      <c r="AJ534" s="135"/>
      <c r="AK534" s="65"/>
      <c r="AL534" s="65"/>
      <c r="AM534" s="65"/>
      <c r="AN534" s="135"/>
      <c r="AO534" s="135"/>
      <c r="AP534" s="135"/>
      <c r="AQ534" s="63"/>
      <c r="AR534" s="135"/>
      <c r="AS534" s="135"/>
      <c r="AT534" s="135"/>
      <c r="AU534" s="63"/>
      <c r="AV534" s="63"/>
      <c r="AW534" s="63"/>
      <c r="AX534" s="63"/>
      <c r="BC534" s="24"/>
      <c r="BD534" s="24"/>
    </row>
    <row r="535" spans="32:56" ht="15" customHeight="1" x14ac:dyDescent="0.2">
      <c r="AF535" s="134"/>
      <c r="AG535" s="135"/>
      <c r="AH535" s="135"/>
      <c r="AI535" s="135"/>
      <c r="AJ535" s="135"/>
      <c r="AK535" s="65"/>
      <c r="AL535" s="65"/>
      <c r="AM535" s="65"/>
      <c r="AN535" s="135"/>
      <c r="AO535" s="135"/>
      <c r="AP535" s="135"/>
      <c r="AQ535" s="63"/>
      <c r="AR535" s="135"/>
      <c r="AS535" s="135"/>
      <c r="AT535" s="135"/>
      <c r="AU535" s="63"/>
      <c r="AV535" s="63"/>
      <c r="AW535" s="63"/>
      <c r="AX535" s="63"/>
      <c r="BC535" s="24"/>
      <c r="BD535" s="24"/>
    </row>
    <row r="536" spans="32:56" ht="15" customHeight="1" x14ac:dyDescent="0.2">
      <c r="AF536" s="134"/>
      <c r="AG536" s="135"/>
      <c r="AH536" s="135"/>
      <c r="AI536" s="135"/>
      <c r="AJ536" s="135"/>
      <c r="AK536" s="65"/>
      <c r="AL536" s="65"/>
      <c r="AM536" s="65"/>
      <c r="AN536" s="135"/>
      <c r="AO536" s="135"/>
      <c r="AP536" s="135"/>
      <c r="AQ536" s="63"/>
      <c r="AR536" s="135"/>
      <c r="AS536" s="135"/>
      <c r="AT536" s="135"/>
      <c r="AU536" s="63"/>
      <c r="AV536" s="63"/>
      <c r="AW536" s="63"/>
      <c r="AX536" s="63"/>
      <c r="BC536" s="24"/>
      <c r="BD536" s="24"/>
    </row>
    <row r="537" spans="32:56" ht="15" customHeight="1" x14ac:dyDescent="0.2">
      <c r="AF537" s="134"/>
      <c r="AG537" s="135"/>
      <c r="AH537" s="135"/>
      <c r="AI537" s="135"/>
      <c r="AJ537" s="135"/>
      <c r="AK537" s="65"/>
      <c r="AL537" s="65"/>
      <c r="AM537" s="65"/>
      <c r="AN537" s="135"/>
      <c r="AO537" s="135"/>
      <c r="AP537" s="135"/>
      <c r="AQ537" s="63"/>
      <c r="AR537" s="135"/>
      <c r="AS537" s="135"/>
      <c r="AT537" s="135"/>
      <c r="AU537" s="63"/>
      <c r="AV537" s="63"/>
      <c r="AW537" s="63"/>
      <c r="AX537" s="63"/>
      <c r="BC537" s="24"/>
      <c r="BD537" s="24"/>
    </row>
    <row r="538" spans="32:56" ht="15" customHeight="1" x14ac:dyDescent="0.2">
      <c r="AF538" s="134"/>
      <c r="AG538" s="135"/>
      <c r="AH538" s="135"/>
      <c r="AI538" s="135"/>
      <c r="AJ538" s="135"/>
      <c r="AK538" s="65"/>
      <c r="AL538" s="65"/>
      <c r="AM538" s="65"/>
      <c r="AN538" s="135"/>
      <c r="AO538" s="135"/>
      <c r="AP538" s="135"/>
      <c r="AQ538" s="63"/>
      <c r="AR538" s="135"/>
      <c r="AS538" s="135"/>
      <c r="AT538" s="135"/>
      <c r="AU538" s="63"/>
      <c r="AV538" s="63"/>
      <c r="AW538" s="63"/>
      <c r="AX538" s="63"/>
      <c r="BC538" s="24"/>
      <c r="BD538" s="24"/>
    </row>
    <row r="539" spans="32:56" ht="15" customHeight="1" x14ac:dyDescent="0.2">
      <c r="AF539" s="134"/>
      <c r="AG539" s="135"/>
      <c r="AH539" s="135"/>
      <c r="AI539" s="135"/>
      <c r="AJ539" s="135"/>
      <c r="AK539" s="65"/>
      <c r="AL539" s="65"/>
      <c r="AM539" s="65"/>
      <c r="AN539" s="135"/>
      <c r="AO539" s="135"/>
      <c r="AP539" s="135"/>
      <c r="AQ539" s="63"/>
      <c r="AR539" s="135"/>
      <c r="AS539" s="135"/>
      <c r="AT539" s="135"/>
      <c r="AU539" s="63"/>
      <c r="AV539" s="63"/>
      <c r="AW539" s="63"/>
      <c r="AX539" s="63"/>
      <c r="BC539" s="24"/>
      <c r="BD539" s="24"/>
    </row>
    <row r="540" spans="32:56" ht="15" customHeight="1" x14ac:dyDescent="0.2">
      <c r="AF540" s="134"/>
      <c r="AG540" s="135"/>
      <c r="AH540" s="135"/>
      <c r="AI540" s="135"/>
      <c r="AJ540" s="135"/>
      <c r="AK540" s="65"/>
      <c r="AL540" s="65"/>
      <c r="AM540" s="65"/>
      <c r="AN540" s="135"/>
      <c r="AO540" s="135"/>
      <c r="AP540" s="135"/>
      <c r="AQ540" s="63"/>
      <c r="AR540" s="135"/>
      <c r="AS540" s="135"/>
      <c r="AT540" s="135"/>
      <c r="AU540" s="63"/>
      <c r="AV540" s="63"/>
      <c r="AW540" s="63"/>
      <c r="AX540" s="63"/>
      <c r="BC540" s="24"/>
      <c r="BD540" s="24"/>
    </row>
    <row r="541" spans="32:56" ht="15" customHeight="1" x14ac:dyDescent="0.2">
      <c r="AF541" s="134"/>
      <c r="AG541" s="135"/>
      <c r="AH541" s="135"/>
      <c r="AI541" s="135"/>
      <c r="AJ541" s="135"/>
      <c r="AK541" s="65"/>
      <c r="AL541" s="65"/>
      <c r="AM541" s="65"/>
      <c r="AN541" s="135"/>
      <c r="AO541" s="135"/>
      <c r="AP541" s="135"/>
      <c r="AQ541" s="63"/>
      <c r="AR541" s="135"/>
      <c r="AS541" s="135"/>
      <c r="AT541" s="135"/>
      <c r="AU541" s="63"/>
      <c r="AV541" s="63"/>
      <c r="AW541" s="63"/>
      <c r="AX541" s="63"/>
      <c r="BC541" s="24"/>
      <c r="BD541" s="24"/>
    </row>
    <row r="542" spans="32:56" ht="15" customHeight="1" x14ac:dyDescent="0.2">
      <c r="AF542" s="134"/>
      <c r="AG542" s="135"/>
      <c r="AH542" s="135"/>
      <c r="AI542" s="135"/>
      <c r="AJ542" s="135"/>
      <c r="AK542" s="65"/>
      <c r="AL542" s="65"/>
      <c r="AM542" s="65"/>
      <c r="AN542" s="135"/>
      <c r="AO542" s="135"/>
      <c r="AP542" s="135"/>
      <c r="AQ542" s="63"/>
      <c r="AR542" s="135"/>
      <c r="AS542" s="135"/>
      <c r="AT542" s="135"/>
      <c r="AU542" s="63"/>
      <c r="AV542" s="63"/>
      <c r="AW542" s="63"/>
      <c r="AX542" s="63"/>
      <c r="BC542" s="24"/>
      <c r="BD542" s="24"/>
    </row>
    <row r="543" spans="32:56" ht="15" customHeight="1" x14ac:dyDescent="0.2">
      <c r="AF543" s="134"/>
      <c r="AG543" s="135"/>
      <c r="AH543" s="135"/>
      <c r="AI543" s="135"/>
      <c r="AJ543" s="135"/>
      <c r="AK543" s="65"/>
      <c r="AL543" s="65"/>
      <c r="AM543" s="65"/>
      <c r="AN543" s="135"/>
      <c r="AO543" s="135"/>
      <c r="AP543" s="135"/>
      <c r="AQ543" s="63"/>
      <c r="AR543" s="135"/>
      <c r="AS543" s="135"/>
      <c r="AT543" s="135"/>
      <c r="AU543" s="63"/>
      <c r="AV543" s="63"/>
      <c r="AW543" s="63"/>
      <c r="AX543" s="63"/>
      <c r="BC543" s="24"/>
      <c r="BD543" s="24"/>
    </row>
    <row r="544" spans="32:56" ht="15" customHeight="1" x14ac:dyDescent="0.2">
      <c r="AF544" s="134"/>
      <c r="AG544" s="135"/>
      <c r="AH544" s="135"/>
      <c r="AI544" s="135"/>
      <c r="AJ544" s="135"/>
      <c r="AK544" s="65"/>
      <c r="AL544" s="65"/>
      <c r="AM544" s="65"/>
      <c r="AN544" s="135"/>
      <c r="AO544" s="135"/>
      <c r="AP544" s="135"/>
      <c r="AQ544" s="63"/>
      <c r="AR544" s="135"/>
      <c r="AS544" s="135"/>
      <c r="AT544" s="135"/>
      <c r="AU544" s="63"/>
      <c r="AV544" s="63"/>
      <c r="AW544" s="63"/>
      <c r="AX544" s="63"/>
      <c r="BC544" s="24"/>
      <c r="BD544" s="24"/>
    </row>
    <row r="545" spans="32:56" ht="15" customHeight="1" x14ac:dyDescent="0.2">
      <c r="AF545" s="134"/>
      <c r="AG545" s="135"/>
      <c r="AH545" s="135"/>
      <c r="AI545" s="135"/>
      <c r="AJ545" s="135"/>
      <c r="AK545" s="65"/>
      <c r="AL545" s="65"/>
      <c r="AM545" s="65"/>
      <c r="AN545" s="135"/>
      <c r="AO545" s="135"/>
      <c r="AP545" s="135"/>
      <c r="AQ545" s="63"/>
      <c r="AR545" s="135"/>
      <c r="AS545" s="135"/>
      <c r="AT545" s="135"/>
      <c r="AU545" s="63"/>
      <c r="AV545" s="63"/>
      <c r="AW545" s="63"/>
      <c r="AX545" s="63"/>
      <c r="BC545" s="24"/>
      <c r="BD545" s="24"/>
    </row>
    <row r="546" spans="32:56" ht="15" customHeight="1" x14ac:dyDescent="0.2">
      <c r="AF546" s="134"/>
      <c r="AG546" s="135"/>
      <c r="AH546" s="135"/>
      <c r="AI546" s="135"/>
      <c r="AJ546" s="135"/>
      <c r="AK546" s="65"/>
      <c r="AL546" s="65"/>
      <c r="AM546" s="65"/>
      <c r="AN546" s="135"/>
      <c r="AO546" s="135"/>
      <c r="AP546" s="135"/>
      <c r="AQ546" s="63"/>
      <c r="AR546" s="135"/>
      <c r="AS546" s="135"/>
      <c r="AT546" s="135"/>
      <c r="AU546" s="63"/>
      <c r="AV546" s="63"/>
      <c r="AW546" s="63"/>
      <c r="AX546" s="63"/>
      <c r="BC546" s="24"/>
      <c r="BD546" s="24"/>
    </row>
    <row r="547" spans="32:56" ht="15" customHeight="1" x14ac:dyDescent="0.2">
      <c r="AF547" s="134"/>
      <c r="AG547" s="135"/>
      <c r="AH547" s="135"/>
      <c r="AI547" s="135"/>
      <c r="AJ547" s="135"/>
      <c r="AK547" s="65"/>
      <c r="AL547" s="65"/>
      <c r="AM547" s="65"/>
      <c r="AN547" s="135"/>
      <c r="AO547" s="135"/>
      <c r="AP547" s="135"/>
      <c r="AQ547" s="63"/>
      <c r="AR547" s="135"/>
      <c r="AS547" s="135"/>
      <c r="AT547" s="135"/>
      <c r="AU547" s="63"/>
      <c r="AV547" s="63"/>
      <c r="AW547" s="63"/>
      <c r="AX547" s="63"/>
      <c r="BC547" s="24"/>
      <c r="BD547" s="24"/>
    </row>
    <row r="548" spans="32:56" ht="15" customHeight="1" x14ac:dyDescent="0.2">
      <c r="AF548" s="134"/>
      <c r="AG548" s="135"/>
      <c r="AH548" s="135"/>
      <c r="AI548" s="135"/>
      <c r="AJ548" s="135"/>
      <c r="AK548" s="65"/>
      <c r="AL548" s="65"/>
      <c r="AM548" s="65"/>
      <c r="AN548" s="135"/>
      <c r="AO548" s="135"/>
      <c r="AP548" s="135"/>
      <c r="AQ548" s="63"/>
      <c r="AR548" s="135"/>
      <c r="AS548" s="135"/>
      <c r="AT548" s="135"/>
      <c r="AU548" s="63"/>
      <c r="AV548" s="63"/>
      <c r="AW548" s="63"/>
      <c r="AX548" s="63"/>
      <c r="BC548" s="24"/>
      <c r="BD548" s="24"/>
    </row>
    <row r="549" spans="32:56" ht="15" customHeight="1" x14ac:dyDescent="0.2">
      <c r="AF549" s="134"/>
      <c r="AG549" s="135"/>
      <c r="AH549" s="135"/>
      <c r="AI549" s="135"/>
      <c r="AJ549" s="135"/>
      <c r="AK549" s="65"/>
      <c r="AL549" s="65"/>
      <c r="AM549" s="65"/>
      <c r="AN549" s="135"/>
      <c r="AO549" s="135"/>
      <c r="AP549" s="135"/>
      <c r="AQ549" s="63"/>
      <c r="AR549" s="135"/>
      <c r="AS549" s="135"/>
      <c r="AT549" s="135"/>
      <c r="AU549" s="63"/>
      <c r="AV549" s="63"/>
      <c r="AW549" s="63"/>
      <c r="AX549" s="63"/>
      <c r="BC549" s="24"/>
      <c r="BD549" s="24"/>
    </row>
    <row r="550" spans="32:56" ht="15" customHeight="1" x14ac:dyDescent="0.2">
      <c r="AF550" s="134"/>
      <c r="AG550" s="135"/>
      <c r="AH550" s="135"/>
      <c r="AI550" s="135"/>
      <c r="AJ550" s="135"/>
      <c r="AK550" s="65"/>
      <c r="AL550" s="65"/>
      <c r="AM550" s="65"/>
      <c r="AN550" s="135"/>
      <c r="AO550" s="135"/>
      <c r="AP550" s="135"/>
      <c r="AQ550" s="63"/>
      <c r="AR550" s="135"/>
      <c r="AS550" s="135"/>
      <c r="AT550" s="135"/>
      <c r="AU550" s="63"/>
      <c r="AV550" s="63"/>
      <c r="AW550" s="63"/>
      <c r="AX550" s="63"/>
      <c r="BC550" s="24"/>
      <c r="BD550" s="24"/>
    </row>
    <row r="551" spans="32:56" ht="15" customHeight="1" x14ac:dyDescent="0.2">
      <c r="AF551" s="134"/>
      <c r="AG551" s="135"/>
      <c r="AH551" s="135"/>
      <c r="AI551" s="135"/>
      <c r="AJ551" s="135"/>
      <c r="AK551" s="65"/>
      <c r="AL551" s="65"/>
      <c r="AM551" s="65"/>
      <c r="AN551" s="135"/>
      <c r="AO551" s="135"/>
      <c r="AP551" s="135"/>
      <c r="AQ551" s="63"/>
      <c r="AR551" s="135"/>
      <c r="AS551" s="135"/>
      <c r="AT551" s="135"/>
      <c r="AU551" s="63"/>
      <c r="AV551" s="63"/>
      <c r="AW551" s="63"/>
      <c r="AX551" s="63"/>
      <c r="BC551" s="24"/>
      <c r="BD551" s="24"/>
    </row>
    <row r="552" spans="32:56" ht="15" customHeight="1" x14ac:dyDescent="0.2">
      <c r="AF552" s="134"/>
      <c r="AG552" s="135"/>
      <c r="AH552" s="135"/>
      <c r="AI552" s="135"/>
      <c r="AJ552" s="135"/>
      <c r="AK552" s="65"/>
      <c r="AL552" s="65"/>
      <c r="AM552" s="65"/>
      <c r="AN552" s="135"/>
      <c r="AO552" s="135"/>
      <c r="AP552" s="135"/>
      <c r="AQ552" s="63"/>
      <c r="AR552" s="135"/>
      <c r="AS552" s="135"/>
      <c r="AT552" s="135"/>
      <c r="AU552" s="63"/>
      <c r="AV552" s="63"/>
      <c r="AW552" s="63"/>
      <c r="AX552" s="63"/>
      <c r="BC552" s="24"/>
      <c r="BD552" s="24"/>
    </row>
    <row r="553" spans="32:56" ht="15" customHeight="1" x14ac:dyDescent="0.2">
      <c r="AF553" s="134"/>
      <c r="AG553" s="135"/>
      <c r="AH553" s="135"/>
      <c r="AI553" s="135"/>
      <c r="AJ553" s="135"/>
      <c r="AK553" s="65"/>
      <c r="AL553" s="65"/>
      <c r="AM553" s="65"/>
      <c r="AN553" s="135"/>
      <c r="AO553" s="135"/>
      <c r="AP553" s="135"/>
      <c r="AQ553" s="63"/>
      <c r="AR553" s="135"/>
      <c r="AS553" s="135"/>
      <c r="AT553" s="135"/>
      <c r="AU553" s="63"/>
      <c r="AV553" s="63"/>
      <c r="AW553" s="63"/>
      <c r="AX553" s="63"/>
      <c r="BC553" s="24"/>
      <c r="BD553" s="24"/>
    </row>
    <row r="554" spans="32:56" ht="15" customHeight="1" x14ac:dyDescent="0.2">
      <c r="AF554" s="134"/>
      <c r="AG554" s="135"/>
      <c r="AH554" s="135"/>
      <c r="AI554" s="135"/>
      <c r="AJ554" s="135"/>
      <c r="AK554" s="65"/>
      <c r="AL554" s="65"/>
      <c r="AM554" s="65"/>
      <c r="AN554" s="135"/>
      <c r="AO554" s="135"/>
      <c r="AP554" s="135"/>
      <c r="AQ554" s="63"/>
      <c r="AR554" s="135"/>
      <c r="AS554" s="135"/>
      <c r="AT554" s="135"/>
      <c r="AU554" s="63"/>
      <c r="AV554" s="63"/>
      <c r="AW554" s="63"/>
      <c r="AX554" s="63"/>
      <c r="BC554" s="24"/>
      <c r="BD554" s="24"/>
    </row>
    <row r="555" spans="32:56" ht="15" customHeight="1" x14ac:dyDescent="0.2">
      <c r="AF555" s="134"/>
      <c r="AG555" s="135"/>
      <c r="AH555" s="135"/>
      <c r="AI555" s="135"/>
      <c r="AJ555" s="135"/>
      <c r="AK555" s="65"/>
      <c r="AL555" s="65"/>
      <c r="AM555" s="65"/>
      <c r="AN555" s="135"/>
      <c r="AO555" s="135"/>
      <c r="AP555" s="135"/>
      <c r="AQ555" s="63"/>
      <c r="AR555" s="135"/>
      <c r="AS555" s="135"/>
      <c r="AT555" s="135"/>
      <c r="AU555" s="63"/>
      <c r="AV555" s="63"/>
      <c r="AW555" s="63"/>
      <c r="AX555" s="63"/>
      <c r="BC555" s="24"/>
      <c r="BD555" s="24"/>
    </row>
    <row r="556" spans="32:56" ht="15" customHeight="1" x14ac:dyDescent="0.2">
      <c r="AF556" s="134"/>
      <c r="AG556" s="135"/>
      <c r="AH556" s="135"/>
      <c r="AI556" s="135"/>
      <c r="AJ556" s="135"/>
      <c r="AK556" s="65"/>
      <c r="AL556" s="65"/>
      <c r="AM556" s="65"/>
      <c r="AN556" s="135"/>
      <c r="AO556" s="135"/>
      <c r="AP556" s="135"/>
      <c r="AQ556" s="63"/>
      <c r="AR556" s="135"/>
      <c r="AS556" s="135"/>
      <c r="AT556" s="135"/>
      <c r="AU556" s="63"/>
      <c r="AV556" s="63"/>
      <c r="AW556" s="63"/>
      <c r="AX556" s="63"/>
      <c r="BC556" s="24"/>
      <c r="BD556" s="24"/>
    </row>
    <row r="557" spans="32:56" ht="15" customHeight="1" x14ac:dyDescent="0.2">
      <c r="AF557" s="134"/>
      <c r="AG557" s="135"/>
      <c r="AH557" s="135"/>
      <c r="AI557" s="135"/>
      <c r="AJ557" s="135"/>
      <c r="AK557" s="65"/>
      <c r="AL557" s="65"/>
      <c r="AM557" s="65"/>
      <c r="AN557" s="135"/>
      <c r="AO557" s="135"/>
      <c r="AP557" s="135"/>
      <c r="AQ557" s="63"/>
      <c r="AR557" s="135"/>
      <c r="AS557" s="135"/>
      <c r="AT557" s="135"/>
      <c r="AU557" s="63"/>
      <c r="AV557" s="63"/>
      <c r="AW557" s="63"/>
      <c r="AX557" s="63"/>
      <c r="BC557" s="24"/>
      <c r="BD557" s="24"/>
    </row>
    <row r="558" spans="32:56" ht="15" customHeight="1" x14ac:dyDescent="0.2">
      <c r="AF558" s="134"/>
      <c r="AG558" s="135"/>
      <c r="AH558" s="135"/>
      <c r="AI558" s="135"/>
      <c r="AJ558" s="135"/>
      <c r="AK558" s="65"/>
      <c r="AL558" s="65"/>
      <c r="AM558" s="65"/>
      <c r="AN558" s="135"/>
      <c r="AO558" s="135"/>
      <c r="AP558" s="135"/>
      <c r="AQ558" s="63"/>
      <c r="AR558" s="135"/>
      <c r="AS558" s="135"/>
      <c r="AT558" s="135"/>
      <c r="AU558" s="63"/>
      <c r="AV558" s="63"/>
      <c r="AW558" s="63"/>
      <c r="AX558" s="63"/>
      <c r="BC558" s="24"/>
      <c r="BD558" s="24"/>
    </row>
    <row r="559" spans="32:56" ht="15" customHeight="1" x14ac:dyDescent="0.2">
      <c r="AF559" s="134"/>
      <c r="AG559" s="135"/>
      <c r="AH559" s="135"/>
      <c r="AI559" s="135"/>
      <c r="AJ559" s="135"/>
      <c r="AK559" s="65"/>
      <c r="AL559" s="65"/>
      <c r="AM559" s="65"/>
      <c r="AN559" s="135"/>
      <c r="AO559" s="135"/>
      <c r="AP559" s="135"/>
      <c r="AQ559" s="63"/>
      <c r="AR559" s="135"/>
      <c r="AS559" s="135"/>
      <c r="AT559" s="135"/>
      <c r="AU559" s="63"/>
      <c r="AV559" s="63"/>
      <c r="AW559" s="63"/>
      <c r="AX559" s="63"/>
      <c r="BC559" s="24"/>
      <c r="BD559" s="24"/>
    </row>
    <row r="560" spans="32:56" ht="15" customHeight="1" x14ac:dyDescent="0.2">
      <c r="AF560" s="134"/>
      <c r="AG560" s="135"/>
      <c r="AH560" s="135"/>
      <c r="AI560" s="135"/>
      <c r="AJ560" s="135"/>
      <c r="AK560" s="65"/>
      <c r="AL560" s="65"/>
      <c r="AM560" s="65"/>
      <c r="AN560" s="135"/>
      <c r="AO560" s="135"/>
      <c r="AP560" s="135"/>
      <c r="AQ560" s="63"/>
      <c r="AR560" s="135"/>
      <c r="AS560" s="135"/>
      <c r="AT560" s="135"/>
      <c r="AU560" s="63"/>
      <c r="AV560" s="63"/>
      <c r="AW560" s="63"/>
      <c r="AX560" s="63"/>
      <c r="BC560" s="24"/>
      <c r="BD560" s="24"/>
    </row>
    <row r="561" spans="32:56" ht="15" customHeight="1" x14ac:dyDescent="0.2">
      <c r="AF561" s="134"/>
      <c r="AG561" s="135"/>
      <c r="AH561" s="135"/>
      <c r="AI561" s="135"/>
      <c r="AJ561" s="135"/>
      <c r="AK561" s="65"/>
      <c r="AL561" s="65"/>
      <c r="AM561" s="65"/>
      <c r="AN561" s="135"/>
      <c r="AO561" s="135"/>
      <c r="AP561" s="135"/>
      <c r="AQ561" s="63"/>
      <c r="AR561" s="135"/>
      <c r="AS561" s="135"/>
      <c r="AT561" s="135"/>
      <c r="AU561" s="63"/>
      <c r="AV561" s="63"/>
      <c r="AW561" s="63"/>
      <c r="AX561" s="63"/>
      <c r="BC561" s="24"/>
      <c r="BD561" s="24"/>
    </row>
    <row r="562" spans="32:56" ht="15" customHeight="1" x14ac:dyDescent="0.2">
      <c r="AF562" s="134"/>
      <c r="AG562" s="135"/>
      <c r="AH562" s="135"/>
      <c r="AI562" s="135"/>
      <c r="AJ562" s="135"/>
      <c r="AK562" s="65"/>
      <c r="AL562" s="65"/>
      <c r="AM562" s="65"/>
      <c r="AN562" s="135"/>
      <c r="AO562" s="135"/>
      <c r="AP562" s="135"/>
      <c r="AQ562" s="63"/>
      <c r="AR562" s="135"/>
      <c r="AS562" s="135"/>
      <c r="AT562" s="135"/>
      <c r="AU562" s="63"/>
      <c r="AV562" s="63"/>
      <c r="AW562" s="63"/>
      <c r="AX562" s="63"/>
      <c r="BC562" s="24"/>
      <c r="BD562" s="24"/>
    </row>
    <row r="563" spans="32:56" ht="15" customHeight="1" x14ac:dyDescent="0.2">
      <c r="AF563" s="134"/>
      <c r="AG563" s="135"/>
      <c r="AH563" s="135"/>
      <c r="AI563" s="135"/>
      <c r="AJ563" s="135"/>
      <c r="AK563" s="65"/>
      <c r="AL563" s="65"/>
      <c r="AM563" s="65"/>
      <c r="AN563" s="135"/>
      <c r="AO563" s="135"/>
      <c r="AP563" s="135"/>
      <c r="AQ563" s="63"/>
      <c r="AR563" s="135"/>
      <c r="AS563" s="135"/>
      <c r="AT563" s="135"/>
      <c r="AU563" s="63"/>
      <c r="AV563" s="63"/>
      <c r="AW563" s="63"/>
      <c r="AX563" s="63"/>
      <c r="BC563" s="24"/>
      <c r="BD563" s="24"/>
    </row>
    <row r="564" spans="32:56" ht="15" customHeight="1" x14ac:dyDescent="0.2">
      <c r="AF564" s="134"/>
      <c r="AG564" s="135"/>
      <c r="AH564" s="135"/>
      <c r="AI564" s="135"/>
      <c r="AJ564" s="135"/>
      <c r="AK564" s="65"/>
      <c r="AL564" s="65"/>
      <c r="AM564" s="65"/>
      <c r="AN564" s="135"/>
      <c r="AO564" s="135"/>
      <c r="AP564" s="135"/>
      <c r="AQ564" s="63"/>
      <c r="AR564" s="135"/>
      <c r="AS564" s="135"/>
      <c r="AT564" s="135"/>
      <c r="AU564" s="63"/>
      <c r="AV564" s="63"/>
      <c r="AW564" s="63"/>
      <c r="AX564" s="63"/>
      <c r="BC564" s="24"/>
      <c r="BD564" s="24"/>
    </row>
    <row r="565" spans="32:56" ht="15" customHeight="1" x14ac:dyDescent="0.2">
      <c r="AF565" s="134"/>
      <c r="AG565" s="135"/>
      <c r="AH565" s="135"/>
      <c r="AI565" s="135"/>
      <c r="AJ565" s="135"/>
      <c r="AK565" s="65"/>
      <c r="AL565" s="65"/>
      <c r="AM565" s="65"/>
      <c r="AN565" s="135"/>
      <c r="AO565" s="135"/>
      <c r="AP565" s="135"/>
      <c r="AQ565" s="63"/>
      <c r="AR565" s="135"/>
      <c r="AS565" s="135"/>
      <c r="AT565" s="135"/>
      <c r="AU565" s="63"/>
      <c r="AV565" s="63"/>
      <c r="AW565" s="63"/>
      <c r="AX565" s="63"/>
      <c r="BC565" s="24"/>
      <c r="BD565" s="24"/>
    </row>
    <row r="566" spans="32:56" ht="15" customHeight="1" x14ac:dyDescent="0.2">
      <c r="AF566" s="134"/>
      <c r="AG566" s="135"/>
      <c r="AH566" s="135"/>
      <c r="AI566" s="135"/>
      <c r="AJ566" s="135"/>
      <c r="AK566" s="65"/>
      <c r="AL566" s="65"/>
      <c r="AM566" s="65"/>
      <c r="AN566" s="135"/>
      <c r="AO566" s="135"/>
      <c r="AP566" s="135"/>
      <c r="AQ566" s="63"/>
      <c r="AR566" s="135"/>
      <c r="AS566" s="135"/>
      <c r="AT566" s="135"/>
      <c r="AU566" s="63"/>
      <c r="AV566" s="63"/>
      <c r="AW566" s="63"/>
      <c r="AX566" s="63"/>
      <c r="BC566" s="24"/>
      <c r="BD566" s="24"/>
    </row>
    <row r="567" spans="32:56" ht="15" customHeight="1" x14ac:dyDescent="0.2">
      <c r="AF567" s="134"/>
      <c r="AG567" s="135"/>
      <c r="AH567" s="135"/>
      <c r="AI567" s="135"/>
      <c r="AJ567" s="135"/>
      <c r="AK567" s="65"/>
      <c r="AL567" s="65"/>
      <c r="AM567" s="65"/>
      <c r="AN567" s="135"/>
      <c r="AO567" s="135"/>
      <c r="AP567" s="135"/>
      <c r="AQ567" s="63"/>
      <c r="AR567" s="135"/>
      <c r="AS567" s="135"/>
      <c r="AT567" s="135"/>
      <c r="AU567" s="63"/>
      <c r="AV567" s="63"/>
      <c r="AW567" s="63"/>
      <c r="AX567" s="63"/>
      <c r="BC567" s="24"/>
      <c r="BD567" s="24"/>
    </row>
    <row r="568" spans="32:56" ht="15" customHeight="1" x14ac:dyDescent="0.2">
      <c r="AF568" s="134"/>
      <c r="AG568" s="135"/>
      <c r="AH568" s="135"/>
      <c r="AI568" s="135"/>
      <c r="AJ568" s="135"/>
      <c r="AK568" s="65"/>
      <c r="AL568" s="65"/>
      <c r="AM568" s="65"/>
      <c r="AN568" s="135"/>
      <c r="AO568" s="135"/>
      <c r="AP568" s="135"/>
      <c r="AQ568" s="63"/>
      <c r="AR568" s="135"/>
      <c r="AS568" s="135"/>
      <c r="AT568" s="135"/>
      <c r="AU568" s="63"/>
      <c r="AV568" s="63"/>
      <c r="AW568" s="63"/>
      <c r="AX568" s="63"/>
      <c r="BC568" s="24"/>
      <c r="BD568" s="24"/>
    </row>
    <row r="569" spans="32:56" ht="15" customHeight="1" x14ac:dyDescent="0.2">
      <c r="AF569" s="134"/>
      <c r="AG569" s="135"/>
      <c r="AH569" s="135"/>
      <c r="AI569" s="135"/>
      <c r="AJ569" s="135"/>
      <c r="AK569" s="65"/>
      <c r="AL569" s="65"/>
      <c r="AM569" s="65"/>
      <c r="AN569" s="135"/>
      <c r="AO569" s="135"/>
      <c r="AP569" s="135"/>
      <c r="AQ569" s="63"/>
      <c r="AR569" s="135"/>
      <c r="AS569" s="135"/>
      <c r="AT569" s="135"/>
      <c r="AU569" s="63"/>
      <c r="AV569" s="63"/>
      <c r="AW569" s="63"/>
      <c r="AX569" s="63"/>
      <c r="BC569" s="24"/>
      <c r="BD569" s="24"/>
    </row>
    <row r="570" spans="32:56" ht="15" customHeight="1" x14ac:dyDescent="0.2">
      <c r="AF570" s="134"/>
      <c r="AG570" s="135"/>
      <c r="AH570" s="135"/>
      <c r="AI570" s="135"/>
      <c r="AJ570" s="135"/>
      <c r="AK570" s="65"/>
      <c r="AL570" s="65"/>
      <c r="AM570" s="65"/>
      <c r="AN570" s="135"/>
      <c r="AO570" s="135"/>
      <c r="AP570" s="135"/>
      <c r="AQ570" s="63"/>
      <c r="AR570" s="135"/>
      <c r="AS570" s="135"/>
      <c r="AT570" s="135"/>
      <c r="AU570" s="63"/>
      <c r="AV570" s="63"/>
      <c r="AW570" s="63"/>
      <c r="AX570" s="63"/>
      <c r="BC570" s="24"/>
      <c r="BD570" s="24"/>
    </row>
    <row r="571" spans="32:56" ht="15" customHeight="1" x14ac:dyDescent="0.2">
      <c r="AF571" s="134"/>
      <c r="AG571" s="135"/>
      <c r="AH571" s="135"/>
      <c r="AI571" s="135"/>
      <c r="AJ571" s="135"/>
      <c r="AK571" s="65"/>
      <c r="AL571" s="65"/>
      <c r="AM571" s="65"/>
      <c r="AN571" s="135"/>
      <c r="AO571" s="135"/>
      <c r="AP571" s="135"/>
      <c r="AQ571" s="63"/>
      <c r="AR571" s="135"/>
      <c r="AS571" s="135"/>
      <c r="AT571" s="135"/>
      <c r="AU571" s="63"/>
      <c r="AV571" s="63"/>
      <c r="AW571" s="63"/>
      <c r="AX571" s="63"/>
      <c r="BC571" s="24"/>
      <c r="BD571" s="24"/>
    </row>
    <row r="572" spans="32:56" ht="15" customHeight="1" x14ac:dyDescent="0.2">
      <c r="AF572" s="134"/>
      <c r="AG572" s="135"/>
      <c r="AH572" s="135"/>
      <c r="AI572" s="135"/>
      <c r="AJ572" s="135"/>
      <c r="AK572" s="65"/>
      <c r="AL572" s="65"/>
      <c r="AM572" s="65"/>
      <c r="AN572" s="135"/>
      <c r="AO572" s="135"/>
      <c r="AP572" s="135"/>
      <c r="AQ572" s="63"/>
      <c r="AR572" s="135"/>
      <c r="AS572" s="135"/>
      <c r="AT572" s="135"/>
      <c r="AU572" s="63"/>
      <c r="AV572" s="63"/>
      <c r="AW572" s="63"/>
      <c r="AX572" s="63"/>
      <c r="BC572" s="24"/>
      <c r="BD572" s="24"/>
    </row>
    <row r="573" spans="32:56" ht="15" customHeight="1" x14ac:dyDescent="0.2">
      <c r="AF573" s="134"/>
      <c r="AG573" s="135"/>
      <c r="AH573" s="135"/>
      <c r="AI573" s="135"/>
      <c r="AJ573" s="135"/>
      <c r="AK573" s="65"/>
      <c r="AL573" s="65"/>
      <c r="AM573" s="65"/>
      <c r="AN573" s="135"/>
      <c r="AO573" s="135"/>
      <c r="AP573" s="135"/>
      <c r="AQ573" s="63"/>
      <c r="AR573" s="135"/>
      <c r="AS573" s="135"/>
      <c r="AT573" s="135"/>
      <c r="AU573" s="63"/>
      <c r="AV573" s="63"/>
      <c r="AW573" s="63"/>
      <c r="AX573" s="63"/>
      <c r="BC573" s="24"/>
      <c r="BD573" s="24"/>
    </row>
    <row r="574" spans="32:56" ht="15" customHeight="1" x14ac:dyDescent="0.2">
      <c r="AF574" s="134"/>
      <c r="AG574" s="135"/>
      <c r="AH574" s="135"/>
      <c r="AI574" s="135"/>
      <c r="AJ574" s="135"/>
      <c r="AK574" s="65"/>
      <c r="AL574" s="65"/>
      <c r="AM574" s="65"/>
      <c r="AN574" s="135"/>
      <c r="AO574" s="135"/>
      <c r="AP574" s="135"/>
      <c r="AQ574" s="63"/>
      <c r="AR574" s="135"/>
      <c r="AS574" s="135"/>
      <c r="AT574" s="135"/>
      <c r="AU574" s="63"/>
      <c r="AV574" s="63"/>
      <c r="AW574" s="63"/>
      <c r="AX574" s="63"/>
      <c r="BC574" s="24"/>
      <c r="BD574" s="24"/>
    </row>
    <row r="575" spans="32:56" ht="15" customHeight="1" x14ac:dyDescent="0.2">
      <c r="AF575" s="134"/>
      <c r="AG575" s="135"/>
      <c r="AH575" s="135"/>
      <c r="AI575" s="135"/>
      <c r="AJ575" s="135"/>
      <c r="AK575" s="65"/>
      <c r="AL575" s="65"/>
      <c r="AM575" s="65"/>
      <c r="AN575" s="135"/>
      <c r="AO575" s="135"/>
      <c r="AP575" s="135"/>
      <c r="AQ575" s="63"/>
      <c r="AR575" s="135"/>
      <c r="AS575" s="135"/>
      <c r="AT575" s="135"/>
      <c r="AU575" s="63"/>
      <c r="AV575" s="63"/>
      <c r="AW575" s="63"/>
      <c r="AX575" s="63"/>
      <c r="BC575" s="24"/>
      <c r="BD575" s="24"/>
    </row>
    <row r="576" spans="32:56" ht="15" customHeight="1" x14ac:dyDescent="0.2">
      <c r="AF576" s="134"/>
      <c r="AG576" s="135"/>
      <c r="AH576" s="135"/>
      <c r="AI576" s="135"/>
      <c r="AJ576" s="135"/>
      <c r="AK576" s="65"/>
      <c r="AL576" s="65"/>
      <c r="AM576" s="65"/>
      <c r="AN576" s="135"/>
      <c r="AO576" s="135"/>
      <c r="AP576" s="135"/>
      <c r="AQ576" s="63"/>
      <c r="AR576" s="135"/>
      <c r="AS576" s="135"/>
      <c r="AT576" s="135"/>
      <c r="AU576" s="63"/>
      <c r="AV576" s="63"/>
      <c r="AW576" s="63"/>
      <c r="AX576" s="63"/>
      <c r="BC576" s="24"/>
      <c r="BD576" s="24"/>
    </row>
    <row r="577" spans="32:56" ht="15" customHeight="1" x14ac:dyDescent="0.2">
      <c r="AF577" s="134"/>
      <c r="AG577" s="135"/>
      <c r="AH577" s="135"/>
      <c r="AI577" s="135"/>
      <c r="AJ577" s="135"/>
      <c r="AK577" s="65"/>
      <c r="AL577" s="65"/>
      <c r="AM577" s="65"/>
      <c r="AN577" s="135"/>
      <c r="AO577" s="135"/>
      <c r="AP577" s="135"/>
      <c r="AQ577" s="63"/>
      <c r="AR577" s="135"/>
      <c r="AS577" s="135"/>
      <c r="AT577" s="135"/>
      <c r="AU577" s="63"/>
      <c r="AV577" s="63"/>
      <c r="AW577" s="63"/>
      <c r="AX577" s="63"/>
      <c r="BC577" s="24"/>
      <c r="BD577" s="24"/>
    </row>
    <row r="578" spans="32:56" ht="15" customHeight="1" x14ac:dyDescent="0.2">
      <c r="AF578" s="134"/>
      <c r="AG578" s="135"/>
      <c r="AH578" s="135"/>
      <c r="AI578" s="135"/>
      <c r="AJ578" s="135"/>
      <c r="AK578" s="65"/>
      <c r="AL578" s="65"/>
      <c r="AM578" s="65"/>
      <c r="AN578" s="135"/>
      <c r="AO578" s="135"/>
      <c r="AP578" s="135"/>
      <c r="AQ578" s="63"/>
      <c r="AR578" s="135"/>
      <c r="AS578" s="135"/>
      <c r="AT578" s="135"/>
      <c r="AU578" s="63"/>
      <c r="AV578" s="63"/>
      <c r="AW578" s="63"/>
      <c r="AX578" s="63"/>
      <c r="BC578" s="24"/>
      <c r="BD578" s="24"/>
    </row>
    <row r="579" spans="32:56" ht="15" customHeight="1" x14ac:dyDescent="0.2">
      <c r="AF579" s="134"/>
      <c r="AG579" s="135"/>
      <c r="AH579" s="135"/>
      <c r="AI579" s="135"/>
      <c r="AJ579" s="135"/>
      <c r="AK579" s="65"/>
      <c r="AL579" s="65"/>
      <c r="AM579" s="65"/>
      <c r="AN579" s="135"/>
      <c r="AO579" s="135"/>
      <c r="AP579" s="135"/>
      <c r="AQ579" s="63"/>
      <c r="AR579" s="135"/>
      <c r="AS579" s="135"/>
      <c r="AT579" s="135"/>
      <c r="AU579" s="63"/>
      <c r="AV579" s="63"/>
      <c r="AW579" s="63"/>
      <c r="AX579" s="63"/>
      <c r="BC579" s="24"/>
      <c r="BD579" s="24"/>
    </row>
    <row r="580" spans="32:56" ht="15" customHeight="1" x14ac:dyDescent="0.2">
      <c r="AF580" s="134"/>
      <c r="AG580" s="135"/>
      <c r="AH580" s="135"/>
      <c r="AI580" s="135"/>
      <c r="AJ580" s="135"/>
      <c r="AK580" s="65"/>
      <c r="AL580" s="65"/>
      <c r="AM580" s="65"/>
      <c r="AN580" s="135"/>
      <c r="AO580" s="135"/>
      <c r="AP580" s="135"/>
      <c r="AQ580" s="63"/>
      <c r="AR580" s="135"/>
      <c r="AS580" s="135"/>
      <c r="AT580" s="135"/>
      <c r="AU580" s="63"/>
      <c r="AV580" s="63"/>
      <c r="AW580" s="63"/>
      <c r="AX580" s="63"/>
      <c r="BC580" s="24"/>
      <c r="BD580" s="24"/>
    </row>
    <row r="581" spans="32:56" ht="15" customHeight="1" x14ac:dyDescent="0.2">
      <c r="AF581" s="134"/>
      <c r="AG581" s="135"/>
      <c r="AH581" s="135"/>
      <c r="AI581" s="135"/>
      <c r="AJ581" s="135"/>
      <c r="AK581" s="65"/>
      <c r="AL581" s="65"/>
      <c r="AM581" s="65"/>
      <c r="AN581" s="135"/>
      <c r="AO581" s="135"/>
      <c r="AP581" s="135"/>
      <c r="AQ581" s="63"/>
      <c r="AR581" s="135"/>
      <c r="AS581" s="135"/>
      <c r="AT581" s="135"/>
      <c r="AU581" s="63"/>
      <c r="AV581" s="63"/>
      <c r="AW581" s="63"/>
      <c r="AX581" s="63"/>
      <c r="BC581" s="24"/>
      <c r="BD581" s="24"/>
    </row>
    <row r="582" spans="32:56" ht="15" customHeight="1" x14ac:dyDescent="0.2">
      <c r="AF582" s="134"/>
      <c r="AG582" s="135"/>
      <c r="AH582" s="135"/>
      <c r="AI582" s="135"/>
      <c r="AJ582" s="135"/>
      <c r="AK582" s="65"/>
      <c r="AL582" s="65"/>
      <c r="AM582" s="65"/>
      <c r="AN582" s="135"/>
      <c r="AO582" s="135"/>
      <c r="AP582" s="135"/>
      <c r="AQ582" s="63"/>
      <c r="AR582" s="135"/>
      <c r="AS582" s="135"/>
      <c r="AT582" s="135"/>
      <c r="AU582" s="63"/>
      <c r="AV582" s="63"/>
      <c r="AW582" s="63"/>
      <c r="AX582" s="63"/>
      <c r="BC582" s="24"/>
      <c r="BD582" s="24"/>
    </row>
    <row r="583" spans="32:56" ht="15" customHeight="1" x14ac:dyDescent="0.2">
      <c r="AF583" s="134"/>
      <c r="AG583" s="135"/>
      <c r="AH583" s="135"/>
      <c r="AI583" s="135"/>
      <c r="AJ583" s="135"/>
      <c r="AK583" s="65"/>
      <c r="AL583" s="65"/>
      <c r="AM583" s="65"/>
      <c r="AN583" s="135"/>
      <c r="AO583" s="135"/>
      <c r="AP583" s="135"/>
      <c r="AQ583" s="63"/>
      <c r="AR583" s="135"/>
      <c r="AS583" s="135"/>
      <c r="AT583" s="135"/>
      <c r="AU583" s="63"/>
      <c r="AV583" s="63"/>
      <c r="AW583" s="63"/>
      <c r="AX583" s="63"/>
      <c r="BC583" s="24"/>
      <c r="BD583" s="24"/>
    </row>
    <row r="584" spans="32:56" ht="15" customHeight="1" x14ac:dyDescent="0.2">
      <c r="AF584" s="134"/>
      <c r="AG584" s="135"/>
      <c r="AH584" s="135"/>
      <c r="AI584" s="135"/>
      <c r="AJ584" s="135"/>
      <c r="AK584" s="65"/>
      <c r="AL584" s="65"/>
      <c r="AM584" s="65"/>
      <c r="AN584" s="135"/>
      <c r="AO584" s="135"/>
      <c r="AP584" s="135"/>
      <c r="AQ584" s="63"/>
      <c r="AR584" s="135"/>
      <c r="AS584" s="135"/>
      <c r="AT584" s="135"/>
      <c r="AU584" s="63"/>
      <c r="AV584" s="63"/>
      <c r="AW584" s="63"/>
      <c r="AX584" s="63"/>
      <c r="BC584" s="24"/>
      <c r="BD584" s="24"/>
    </row>
    <row r="585" spans="32:56" ht="15" customHeight="1" x14ac:dyDescent="0.2">
      <c r="AF585" s="134"/>
      <c r="AG585" s="135"/>
      <c r="AH585" s="135"/>
      <c r="AI585" s="135"/>
      <c r="AJ585" s="135"/>
      <c r="AK585" s="65"/>
      <c r="AL585" s="65"/>
      <c r="AM585" s="65"/>
      <c r="AN585" s="135"/>
      <c r="AO585" s="135"/>
      <c r="AP585" s="135"/>
      <c r="AQ585" s="63"/>
      <c r="AR585" s="135"/>
      <c r="AS585" s="135"/>
      <c r="AT585" s="135"/>
      <c r="AU585" s="63"/>
      <c r="AV585" s="63"/>
      <c r="AW585" s="63"/>
      <c r="AX585" s="63"/>
      <c r="BC585" s="24"/>
      <c r="BD585" s="24"/>
    </row>
    <row r="586" spans="32:56" ht="15" customHeight="1" x14ac:dyDescent="0.2">
      <c r="AF586" s="134"/>
      <c r="AG586" s="135"/>
      <c r="AH586" s="135"/>
      <c r="AI586" s="135"/>
      <c r="AJ586" s="135"/>
      <c r="AK586" s="65"/>
      <c r="AL586" s="65"/>
      <c r="AM586" s="65"/>
      <c r="AN586" s="135"/>
      <c r="AO586" s="135"/>
      <c r="AP586" s="135"/>
      <c r="AQ586" s="63"/>
      <c r="AR586" s="135"/>
      <c r="AS586" s="135"/>
      <c r="AT586" s="135"/>
      <c r="AU586" s="63"/>
      <c r="AV586" s="63"/>
      <c r="AW586" s="63"/>
      <c r="AX586" s="63"/>
      <c r="BC586" s="24"/>
      <c r="BD586" s="24"/>
    </row>
    <row r="587" spans="32:56" ht="15" customHeight="1" x14ac:dyDescent="0.2">
      <c r="AF587" s="134"/>
      <c r="AG587" s="135"/>
      <c r="AH587" s="135"/>
      <c r="AI587" s="135"/>
      <c r="AJ587" s="135"/>
      <c r="AK587" s="65"/>
      <c r="AL587" s="65"/>
      <c r="AM587" s="65"/>
      <c r="AN587" s="135"/>
      <c r="AO587" s="135"/>
      <c r="AP587" s="135"/>
      <c r="AQ587" s="63"/>
      <c r="AR587" s="135"/>
      <c r="AS587" s="135"/>
      <c r="AT587" s="135"/>
      <c r="AU587" s="63"/>
      <c r="AV587" s="63"/>
      <c r="AW587" s="63"/>
      <c r="AX587" s="63"/>
      <c r="BC587" s="24"/>
      <c r="BD587" s="24"/>
    </row>
    <row r="588" spans="32:56" ht="15" customHeight="1" x14ac:dyDescent="0.2">
      <c r="AF588" s="134"/>
      <c r="AG588" s="135"/>
      <c r="AH588" s="135"/>
      <c r="AI588" s="135"/>
      <c r="AJ588" s="135"/>
      <c r="AK588" s="65"/>
      <c r="AL588" s="65"/>
      <c r="AM588" s="65"/>
      <c r="AN588" s="135"/>
      <c r="AO588" s="135"/>
      <c r="AP588" s="135"/>
      <c r="AQ588" s="63"/>
      <c r="AR588" s="135"/>
      <c r="AS588" s="135"/>
      <c r="AT588" s="135"/>
      <c r="AU588" s="63"/>
      <c r="AV588" s="63"/>
      <c r="AW588" s="63"/>
      <c r="AX588" s="63"/>
      <c r="BC588" s="24"/>
      <c r="BD588" s="24"/>
    </row>
    <row r="589" spans="32:56" ht="15" customHeight="1" x14ac:dyDescent="0.2">
      <c r="AF589" s="134"/>
      <c r="AG589" s="135"/>
      <c r="AH589" s="135"/>
      <c r="AI589" s="135"/>
      <c r="AJ589" s="135"/>
      <c r="AK589" s="65"/>
      <c r="AL589" s="65"/>
      <c r="AM589" s="65"/>
      <c r="AN589" s="135"/>
      <c r="AO589" s="135"/>
      <c r="AP589" s="135"/>
      <c r="AQ589" s="63"/>
      <c r="AR589" s="135"/>
      <c r="AS589" s="135"/>
      <c r="AT589" s="135"/>
      <c r="AU589" s="63"/>
      <c r="AV589" s="63"/>
      <c r="AW589" s="63"/>
      <c r="AX589" s="63"/>
      <c r="BC589" s="24"/>
      <c r="BD589" s="24"/>
    </row>
    <row r="590" spans="32:56" ht="15" customHeight="1" x14ac:dyDescent="0.2">
      <c r="AF590" s="134"/>
      <c r="AG590" s="135"/>
      <c r="AH590" s="135"/>
      <c r="AI590" s="135"/>
      <c r="AJ590" s="135"/>
      <c r="AK590" s="65"/>
      <c r="AL590" s="65"/>
      <c r="AM590" s="65"/>
      <c r="AN590" s="135"/>
      <c r="AO590" s="135"/>
      <c r="AP590" s="135"/>
      <c r="AQ590" s="63"/>
      <c r="AR590" s="135"/>
      <c r="AS590" s="135"/>
      <c r="AT590" s="135"/>
      <c r="AU590" s="63"/>
      <c r="AV590" s="63"/>
      <c r="AW590" s="63"/>
      <c r="AX590" s="63"/>
      <c r="BC590" s="24"/>
      <c r="BD590" s="24"/>
    </row>
    <row r="591" spans="32:56" ht="15" customHeight="1" x14ac:dyDescent="0.2">
      <c r="AF591" s="134"/>
      <c r="AG591" s="135"/>
      <c r="AH591" s="135"/>
      <c r="AI591" s="135"/>
      <c r="AJ591" s="135"/>
      <c r="AK591" s="65"/>
      <c r="AL591" s="65"/>
      <c r="AM591" s="65"/>
      <c r="AN591" s="135"/>
      <c r="AO591" s="135"/>
      <c r="AP591" s="135"/>
      <c r="AQ591" s="63"/>
      <c r="AR591" s="135"/>
      <c r="AS591" s="135"/>
      <c r="AT591" s="135"/>
      <c r="AU591" s="63"/>
      <c r="AV591" s="63"/>
      <c r="AW591" s="63"/>
      <c r="AX591" s="63"/>
      <c r="BC591" s="24"/>
      <c r="BD591" s="24"/>
    </row>
    <row r="592" spans="32:56" ht="15" customHeight="1" x14ac:dyDescent="0.2">
      <c r="AF592" s="134"/>
      <c r="AG592" s="135"/>
      <c r="AH592" s="135"/>
      <c r="AI592" s="135"/>
      <c r="AJ592" s="135"/>
      <c r="AK592" s="65"/>
      <c r="AL592" s="65"/>
      <c r="AM592" s="65"/>
      <c r="AN592" s="135"/>
      <c r="AO592" s="135"/>
      <c r="AP592" s="135"/>
      <c r="AQ592" s="63"/>
      <c r="AR592" s="135"/>
      <c r="AS592" s="135"/>
      <c r="AT592" s="135"/>
      <c r="AU592" s="63"/>
      <c r="AV592" s="63"/>
      <c r="AW592" s="63"/>
      <c r="AX592" s="63"/>
      <c r="BC592" s="24"/>
      <c r="BD592" s="24"/>
    </row>
    <row r="593" spans="32:56" ht="15" customHeight="1" x14ac:dyDescent="0.2">
      <c r="AF593" s="134"/>
      <c r="AG593" s="135"/>
      <c r="AH593" s="135"/>
      <c r="AI593" s="135"/>
      <c r="AJ593" s="135"/>
      <c r="AK593" s="65"/>
      <c r="AL593" s="65"/>
      <c r="AM593" s="65"/>
      <c r="AN593" s="135"/>
      <c r="AO593" s="135"/>
      <c r="AP593" s="135"/>
      <c r="AQ593" s="63"/>
      <c r="AR593" s="135"/>
      <c r="AS593" s="135"/>
      <c r="AT593" s="135"/>
      <c r="AU593" s="63"/>
      <c r="AV593" s="63"/>
      <c r="AW593" s="63"/>
      <c r="AX593" s="63"/>
      <c r="BC593" s="24"/>
      <c r="BD593" s="24"/>
    </row>
    <row r="594" spans="32:56" ht="15" customHeight="1" x14ac:dyDescent="0.2">
      <c r="AF594" s="134"/>
      <c r="AG594" s="135"/>
      <c r="AH594" s="135"/>
      <c r="AI594" s="135"/>
      <c r="AJ594" s="135"/>
      <c r="AK594" s="65"/>
      <c r="AL594" s="65"/>
      <c r="AM594" s="65"/>
      <c r="AN594" s="135"/>
      <c r="AO594" s="135"/>
      <c r="AP594" s="135"/>
      <c r="AQ594" s="63"/>
      <c r="AR594" s="135"/>
      <c r="AS594" s="135"/>
      <c r="AT594" s="135"/>
      <c r="AU594" s="63"/>
      <c r="AV594" s="63"/>
      <c r="AW594" s="63"/>
      <c r="AX594" s="63"/>
      <c r="BC594" s="24"/>
      <c r="BD594" s="24"/>
    </row>
    <row r="595" spans="32:56" ht="15" customHeight="1" x14ac:dyDescent="0.2">
      <c r="AF595" s="134"/>
      <c r="AG595" s="135"/>
      <c r="AH595" s="135"/>
      <c r="AI595" s="135"/>
      <c r="AJ595" s="135"/>
      <c r="AK595" s="65"/>
      <c r="AL595" s="65"/>
      <c r="AM595" s="65"/>
      <c r="AN595" s="135"/>
      <c r="AO595" s="135"/>
      <c r="AP595" s="135"/>
      <c r="AQ595" s="63"/>
      <c r="AR595" s="135"/>
      <c r="AS595" s="135"/>
      <c r="AT595" s="135"/>
      <c r="AU595" s="63"/>
      <c r="AV595" s="63"/>
      <c r="AW595" s="63"/>
      <c r="AX595" s="63"/>
      <c r="BC595" s="24"/>
      <c r="BD595" s="24"/>
    </row>
    <row r="596" spans="32:56" ht="15" customHeight="1" x14ac:dyDescent="0.2">
      <c r="AF596" s="134"/>
      <c r="AG596" s="135"/>
      <c r="AH596" s="135"/>
      <c r="AI596" s="135"/>
      <c r="AJ596" s="135"/>
      <c r="AK596" s="65"/>
      <c r="AL596" s="65"/>
      <c r="AM596" s="65"/>
      <c r="AN596" s="135"/>
      <c r="AO596" s="135"/>
      <c r="AP596" s="135"/>
      <c r="AQ596" s="63"/>
      <c r="AR596" s="135"/>
      <c r="AS596" s="135"/>
      <c r="AT596" s="135"/>
      <c r="AU596" s="63"/>
      <c r="AV596" s="63"/>
      <c r="AW596" s="63"/>
      <c r="AX596" s="63"/>
      <c r="BC596" s="24"/>
      <c r="BD596" s="24"/>
    </row>
    <row r="597" spans="32:56" ht="15" customHeight="1" x14ac:dyDescent="0.2">
      <c r="AF597" s="134"/>
      <c r="AG597" s="135"/>
      <c r="AH597" s="135"/>
      <c r="AI597" s="135"/>
      <c r="AJ597" s="135"/>
      <c r="AK597" s="65"/>
      <c r="AL597" s="65"/>
      <c r="AM597" s="65"/>
      <c r="AN597" s="135"/>
      <c r="AO597" s="135"/>
      <c r="AP597" s="135"/>
      <c r="AQ597" s="63"/>
      <c r="AR597" s="135"/>
      <c r="AS597" s="135"/>
      <c r="AT597" s="135"/>
      <c r="AU597" s="63"/>
      <c r="AV597" s="63"/>
      <c r="AW597" s="63"/>
      <c r="AX597" s="63"/>
      <c r="BC597" s="24"/>
      <c r="BD597" s="24"/>
    </row>
    <row r="598" spans="32:56" ht="15" customHeight="1" x14ac:dyDescent="0.2">
      <c r="AF598" s="134"/>
      <c r="AG598" s="135"/>
      <c r="AH598" s="135"/>
      <c r="AI598" s="135"/>
      <c r="AJ598" s="135"/>
      <c r="AK598" s="65"/>
      <c r="AL598" s="65"/>
      <c r="AM598" s="65"/>
      <c r="AN598" s="135"/>
      <c r="AO598" s="135"/>
      <c r="AP598" s="135"/>
      <c r="AQ598" s="63"/>
      <c r="AR598" s="135"/>
      <c r="AS598" s="135"/>
      <c r="AT598" s="135"/>
      <c r="AU598" s="63"/>
      <c r="AV598" s="63"/>
      <c r="AW598" s="63"/>
      <c r="AX598" s="63"/>
      <c r="BC598" s="24"/>
      <c r="BD598" s="24"/>
    </row>
    <row r="599" spans="32:56" ht="15" customHeight="1" x14ac:dyDescent="0.2">
      <c r="AF599" s="134"/>
      <c r="AG599" s="135"/>
      <c r="AH599" s="135"/>
      <c r="AI599" s="135"/>
      <c r="AJ599" s="135"/>
      <c r="AK599" s="65"/>
      <c r="AL599" s="65"/>
      <c r="AM599" s="65"/>
      <c r="AN599" s="135"/>
      <c r="AO599" s="135"/>
      <c r="AP599" s="135"/>
      <c r="AQ599" s="63"/>
      <c r="AR599" s="135"/>
      <c r="AS599" s="135"/>
      <c r="AT599" s="135"/>
      <c r="AU599" s="63"/>
      <c r="AV599" s="63"/>
      <c r="AW599" s="63"/>
      <c r="AX599" s="63"/>
      <c r="BC599" s="24"/>
      <c r="BD599" s="24"/>
    </row>
    <row r="600" spans="32:56" ht="15" customHeight="1" x14ac:dyDescent="0.2">
      <c r="AF600" s="134"/>
      <c r="AG600" s="135"/>
      <c r="AH600" s="135"/>
      <c r="AI600" s="135"/>
      <c r="AJ600" s="135"/>
      <c r="AK600" s="65"/>
      <c r="AL600" s="65"/>
      <c r="AM600" s="65"/>
      <c r="AN600" s="135"/>
      <c r="AO600" s="135"/>
      <c r="AP600" s="135"/>
      <c r="AQ600" s="63"/>
      <c r="AR600" s="135"/>
      <c r="AS600" s="135"/>
      <c r="AT600" s="135"/>
      <c r="AU600" s="63"/>
      <c r="AV600" s="63"/>
      <c r="AW600" s="63"/>
      <c r="AX600" s="63"/>
      <c r="BC600" s="24"/>
      <c r="BD600" s="24"/>
    </row>
    <row r="601" spans="32:56" ht="15" customHeight="1" x14ac:dyDescent="0.2">
      <c r="AF601" s="134"/>
      <c r="AG601" s="135"/>
      <c r="AH601" s="135"/>
      <c r="AI601" s="135"/>
      <c r="AJ601" s="135"/>
      <c r="AK601" s="65"/>
      <c r="AL601" s="65"/>
      <c r="AM601" s="65"/>
      <c r="AN601" s="135"/>
      <c r="AO601" s="135"/>
      <c r="AP601" s="135"/>
      <c r="AQ601" s="63"/>
      <c r="AR601" s="135"/>
      <c r="AS601" s="135"/>
      <c r="AT601" s="135"/>
      <c r="AU601" s="63"/>
      <c r="AV601" s="63"/>
      <c r="AW601" s="63"/>
      <c r="AX601" s="63"/>
      <c r="BC601" s="24"/>
      <c r="BD601" s="24"/>
    </row>
    <row r="602" spans="32:56" ht="15" customHeight="1" x14ac:dyDescent="0.2">
      <c r="AF602" s="134"/>
      <c r="AG602" s="135"/>
      <c r="AH602" s="135"/>
      <c r="AI602" s="135"/>
      <c r="AJ602" s="135"/>
      <c r="AK602" s="65"/>
      <c r="AL602" s="65"/>
      <c r="AM602" s="65"/>
      <c r="AN602" s="135"/>
      <c r="AO602" s="135"/>
      <c r="AP602" s="135"/>
      <c r="AQ602" s="63"/>
      <c r="AR602" s="135"/>
      <c r="AS602" s="135"/>
      <c r="AT602" s="135"/>
      <c r="AU602" s="63"/>
      <c r="AV602" s="63"/>
      <c r="AW602" s="63"/>
      <c r="AX602" s="63"/>
      <c r="BC602" s="24"/>
      <c r="BD602" s="24"/>
    </row>
    <row r="603" spans="32:56" ht="15" customHeight="1" x14ac:dyDescent="0.2">
      <c r="AF603" s="134"/>
      <c r="AG603" s="135"/>
      <c r="AH603" s="135"/>
      <c r="AI603" s="135"/>
      <c r="AJ603" s="135"/>
      <c r="AK603" s="65"/>
      <c r="AL603" s="65"/>
      <c r="AM603" s="65"/>
      <c r="AN603" s="135"/>
      <c r="AO603" s="135"/>
      <c r="AP603" s="135"/>
      <c r="AQ603" s="63"/>
      <c r="AR603" s="135"/>
      <c r="AS603" s="135"/>
      <c r="AT603" s="135"/>
      <c r="AU603" s="63"/>
      <c r="AV603" s="63"/>
      <c r="AW603" s="63"/>
      <c r="AX603" s="63"/>
      <c r="BC603" s="24"/>
      <c r="BD603" s="24"/>
    </row>
    <row r="604" spans="32:56" ht="15" customHeight="1" x14ac:dyDescent="0.2">
      <c r="AF604" s="134"/>
      <c r="AG604" s="135"/>
      <c r="AH604" s="135"/>
      <c r="AI604" s="135"/>
      <c r="AJ604" s="135"/>
      <c r="AK604" s="65"/>
      <c r="AL604" s="65"/>
      <c r="AM604" s="65"/>
      <c r="AN604" s="135"/>
      <c r="AO604" s="135"/>
      <c r="AP604" s="135"/>
      <c r="AQ604" s="63"/>
      <c r="AR604" s="135"/>
      <c r="AS604" s="135"/>
      <c r="AT604" s="135"/>
      <c r="AU604" s="63"/>
      <c r="AV604" s="63"/>
      <c r="AW604" s="63"/>
      <c r="AX604" s="63"/>
      <c r="BC604" s="24"/>
      <c r="BD604" s="24"/>
    </row>
    <row r="605" spans="32:56" ht="15" customHeight="1" x14ac:dyDescent="0.2">
      <c r="AF605" s="134"/>
      <c r="AG605" s="135"/>
      <c r="AH605" s="135"/>
      <c r="AI605" s="135"/>
      <c r="AJ605" s="135"/>
      <c r="AK605" s="65"/>
      <c r="AL605" s="65"/>
      <c r="AM605" s="65"/>
      <c r="AN605" s="135"/>
      <c r="AO605" s="135"/>
      <c r="AP605" s="135"/>
      <c r="AQ605" s="63"/>
      <c r="AR605" s="135"/>
      <c r="AS605" s="135"/>
      <c r="AT605" s="135"/>
      <c r="AU605" s="63"/>
      <c r="AV605" s="63"/>
      <c r="AW605" s="63"/>
      <c r="AX605" s="63"/>
      <c r="BC605" s="24"/>
      <c r="BD605" s="24"/>
    </row>
    <row r="606" spans="32:56" ht="15" customHeight="1" x14ac:dyDescent="0.2">
      <c r="AF606" s="134"/>
      <c r="AG606" s="135"/>
      <c r="AH606" s="135"/>
      <c r="AI606" s="135"/>
      <c r="AJ606" s="135"/>
      <c r="AK606" s="65"/>
      <c r="AL606" s="65"/>
      <c r="AM606" s="65"/>
      <c r="AN606" s="135"/>
      <c r="AO606" s="135"/>
      <c r="AP606" s="135"/>
      <c r="AQ606" s="63"/>
      <c r="AR606" s="135"/>
      <c r="AS606" s="135"/>
      <c r="AT606" s="135"/>
      <c r="AU606" s="63"/>
      <c r="AV606" s="63"/>
      <c r="AW606" s="63"/>
      <c r="AX606" s="63"/>
      <c r="BC606" s="24"/>
      <c r="BD606" s="24"/>
    </row>
    <row r="607" spans="32:56" ht="15" customHeight="1" x14ac:dyDescent="0.2">
      <c r="AF607" s="134"/>
      <c r="AG607" s="135"/>
      <c r="AH607" s="135"/>
      <c r="AI607" s="135"/>
      <c r="AJ607" s="135"/>
      <c r="AK607" s="65"/>
      <c r="AL607" s="65"/>
      <c r="AM607" s="65"/>
      <c r="AN607" s="135"/>
      <c r="AO607" s="135"/>
      <c r="AP607" s="135"/>
      <c r="AQ607" s="63"/>
      <c r="AR607" s="135"/>
      <c r="AS607" s="135"/>
      <c r="AT607" s="135"/>
      <c r="AU607" s="63"/>
      <c r="AV607" s="63"/>
      <c r="AW607" s="63"/>
      <c r="AX607" s="63"/>
      <c r="BC607" s="24"/>
      <c r="BD607" s="24"/>
    </row>
    <row r="608" spans="32:56" ht="15" customHeight="1" x14ac:dyDescent="0.2">
      <c r="AF608" s="134"/>
      <c r="AG608" s="135"/>
      <c r="AH608" s="135"/>
      <c r="AI608" s="135"/>
      <c r="AJ608" s="135"/>
      <c r="AK608" s="65"/>
      <c r="AL608" s="65"/>
      <c r="AM608" s="65"/>
      <c r="AN608" s="135"/>
      <c r="AO608" s="135"/>
      <c r="AP608" s="135"/>
      <c r="AQ608" s="63"/>
      <c r="AR608" s="135"/>
      <c r="AS608" s="135"/>
      <c r="AT608" s="135"/>
      <c r="AU608" s="63"/>
      <c r="AV608" s="63"/>
      <c r="AW608" s="63"/>
      <c r="AX608" s="63"/>
      <c r="BC608" s="24"/>
      <c r="BD608" s="24"/>
    </row>
    <row r="609" spans="32:56" ht="15" customHeight="1" x14ac:dyDescent="0.2">
      <c r="AF609" s="134"/>
      <c r="AG609" s="135"/>
      <c r="AH609" s="135"/>
      <c r="AI609" s="135"/>
      <c r="AJ609" s="135"/>
      <c r="AK609" s="65"/>
      <c r="AL609" s="65"/>
      <c r="AM609" s="65"/>
      <c r="AN609" s="135"/>
      <c r="AO609" s="135"/>
      <c r="AP609" s="135"/>
      <c r="AQ609" s="63"/>
      <c r="AR609" s="135"/>
      <c r="AS609" s="135"/>
      <c r="AT609" s="135"/>
      <c r="AU609" s="63"/>
      <c r="AV609" s="63"/>
      <c r="AW609" s="63"/>
      <c r="AX609" s="63"/>
      <c r="BC609" s="24"/>
      <c r="BD609" s="24"/>
    </row>
    <row r="610" spans="32:56" ht="15" customHeight="1" x14ac:dyDescent="0.2">
      <c r="AF610" s="134"/>
      <c r="AG610" s="135"/>
      <c r="AH610" s="135"/>
      <c r="AI610" s="135"/>
      <c r="AJ610" s="135"/>
      <c r="AK610" s="65"/>
      <c r="AL610" s="65"/>
      <c r="AM610" s="65"/>
      <c r="AN610" s="135"/>
      <c r="AO610" s="135"/>
      <c r="AP610" s="135"/>
      <c r="AQ610" s="63"/>
      <c r="AR610" s="135"/>
      <c r="AS610" s="135"/>
      <c r="AT610" s="135"/>
      <c r="AU610" s="63"/>
      <c r="AV610" s="63"/>
      <c r="AW610" s="63"/>
      <c r="AX610" s="63"/>
      <c r="BC610" s="24"/>
      <c r="BD610" s="24"/>
    </row>
    <row r="611" spans="32:56" ht="15" customHeight="1" x14ac:dyDescent="0.2">
      <c r="AF611" s="134"/>
      <c r="AG611" s="135"/>
      <c r="AH611" s="135"/>
      <c r="AI611" s="135"/>
      <c r="AJ611" s="135"/>
      <c r="AK611" s="65"/>
      <c r="AL611" s="65"/>
      <c r="AM611" s="65"/>
      <c r="AN611" s="135"/>
      <c r="AO611" s="135"/>
      <c r="AP611" s="135"/>
      <c r="AQ611" s="63"/>
      <c r="AR611" s="135"/>
      <c r="AS611" s="135"/>
      <c r="AT611" s="135"/>
      <c r="AU611" s="63"/>
      <c r="AV611" s="63"/>
      <c r="AW611" s="63"/>
      <c r="AX611" s="63"/>
      <c r="BC611" s="24"/>
      <c r="BD611" s="24"/>
    </row>
    <row r="612" spans="32:56" ht="15" customHeight="1" x14ac:dyDescent="0.2">
      <c r="AF612" s="134"/>
      <c r="AG612" s="135"/>
      <c r="AH612" s="135"/>
      <c r="AI612" s="135"/>
      <c r="AJ612" s="135"/>
      <c r="AK612" s="65"/>
      <c r="AL612" s="65"/>
      <c r="AM612" s="65"/>
      <c r="AN612" s="135"/>
      <c r="AO612" s="135"/>
      <c r="AP612" s="135"/>
      <c r="AQ612" s="63"/>
      <c r="AR612" s="135"/>
      <c r="AS612" s="135"/>
      <c r="AT612" s="135"/>
      <c r="AU612" s="63"/>
      <c r="AV612" s="63"/>
      <c r="AW612" s="63"/>
      <c r="AX612" s="63"/>
      <c r="BC612" s="24"/>
      <c r="BD612" s="24"/>
    </row>
    <row r="613" spans="32:56" ht="15" customHeight="1" x14ac:dyDescent="0.2">
      <c r="AF613" s="134"/>
      <c r="AG613" s="135"/>
      <c r="AH613" s="135"/>
      <c r="AI613" s="135"/>
      <c r="AJ613" s="135"/>
      <c r="AK613" s="65"/>
      <c r="AL613" s="65"/>
      <c r="AM613" s="65"/>
      <c r="AN613" s="135"/>
      <c r="AO613" s="135"/>
      <c r="AP613" s="135"/>
      <c r="AQ613" s="63"/>
      <c r="AR613" s="135"/>
      <c r="AS613" s="135"/>
      <c r="AT613" s="135"/>
      <c r="AU613" s="63"/>
      <c r="AV613" s="63"/>
      <c r="AW613" s="63"/>
      <c r="AX613" s="63"/>
      <c r="BC613" s="24"/>
      <c r="BD613" s="24"/>
    </row>
    <row r="614" spans="32:56" ht="15" customHeight="1" x14ac:dyDescent="0.2">
      <c r="AF614" s="134"/>
      <c r="AG614" s="135"/>
      <c r="AH614" s="135"/>
      <c r="AI614" s="135"/>
      <c r="AJ614" s="135"/>
      <c r="AK614" s="65"/>
      <c r="AL614" s="65"/>
      <c r="AM614" s="65"/>
      <c r="AN614" s="135"/>
      <c r="AO614" s="135"/>
      <c r="AP614" s="135"/>
      <c r="AQ614" s="63"/>
      <c r="AR614" s="135"/>
      <c r="AS614" s="135"/>
      <c r="AT614" s="135"/>
      <c r="AU614" s="63"/>
      <c r="AV614" s="63"/>
      <c r="AW614" s="63"/>
      <c r="AX614" s="63"/>
      <c r="BC614" s="24"/>
      <c r="BD614" s="24"/>
    </row>
    <row r="615" spans="32:56" ht="15" customHeight="1" x14ac:dyDescent="0.2">
      <c r="AF615" s="134"/>
      <c r="AG615" s="135"/>
      <c r="AH615" s="135"/>
      <c r="AI615" s="135"/>
      <c r="AJ615" s="135"/>
      <c r="AK615" s="65"/>
      <c r="AL615" s="65"/>
      <c r="AM615" s="65"/>
      <c r="AN615" s="135"/>
      <c r="AO615" s="135"/>
      <c r="AP615" s="135"/>
      <c r="AQ615" s="63"/>
      <c r="AR615" s="135"/>
      <c r="AS615" s="135"/>
      <c r="AT615" s="135"/>
      <c r="AU615" s="63"/>
      <c r="AV615" s="63"/>
      <c r="AW615" s="63"/>
      <c r="AX615" s="63"/>
      <c r="BC615" s="24"/>
      <c r="BD615" s="24"/>
    </row>
    <row r="616" spans="32:56" ht="15" customHeight="1" x14ac:dyDescent="0.2">
      <c r="AF616" s="134"/>
      <c r="AG616" s="135"/>
      <c r="AH616" s="135"/>
      <c r="AI616" s="135"/>
      <c r="AJ616" s="135"/>
      <c r="AK616" s="65"/>
      <c r="AL616" s="65"/>
      <c r="AM616" s="65"/>
      <c r="AN616" s="135"/>
      <c r="AO616" s="135"/>
      <c r="AP616" s="135"/>
      <c r="AQ616" s="63"/>
      <c r="AR616" s="135"/>
      <c r="AS616" s="135"/>
      <c r="AT616" s="135"/>
      <c r="AU616" s="63"/>
      <c r="AV616" s="63"/>
      <c r="AW616" s="63"/>
      <c r="AX616" s="63"/>
      <c r="BC616" s="24"/>
      <c r="BD616" s="24"/>
    </row>
    <row r="617" spans="32:56" ht="15" customHeight="1" x14ac:dyDescent="0.2">
      <c r="AF617" s="134"/>
      <c r="AG617" s="135"/>
      <c r="AH617" s="135"/>
      <c r="AI617" s="135"/>
      <c r="AJ617" s="135"/>
      <c r="AK617" s="65"/>
      <c r="AL617" s="65"/>
      <c r="AM617" s="65"/>
      <c r="AN617" s="135"/>
      <c r="AO617" s="135"/>
      <c r="AP617" s="135"/>
      <c r="AQ617" s="63"/>
      <c r="AR617" s="135"/>
      <c r="AS617" s="135"/>
      <c r="AT617" s="135"/>
      <c r="AU617" s="63"/>
      <c r="AV617" s="63"/>
      <c r="AW617" s="63"/>
      <c r="AX617" s="63"/>
      <c r="BC617" s="24"/>
      <c r="BD617" s="24"/>
    </row>
    <row r="618" spans="32:56" ht="15" customHeight="1" x14ac:dyDescent="0.2">
      <c r="AF618" s="134"/>
      <c r="AG618" s="135"/>
      <c r="AH618" s="135"/>
      <c r="AI618" s="135"/>
      <c r="AJ618" s="135"/>
      <c r="AK618" s="65"/>
      <c r="AL618" s="65"/>
      <c r="AM618" s="65"/>
      <c r="AN618" s="135"/>
      <c r="AO618" s="135"/>
      <c r="AP618" s="135"/>
      <c r="AQ618" s="63"/>
      <c r="AR618" s="135"/>
      <c r="AS618" s="135"/>
      <c r="AT618" s="135"/>
      <c r="AU618" s="63"/>
      <c r="AV618" s="63"/>
      <c r="AW618" s="63"/>
      <c r="AX618" s="63"/>
      <c r="BC618" s="24"/>
      <c r="BD618" s="24"/>
    </row>
    <row r="619" spans="32:56" ht="15" customHeight="1" x14ac:dyDescent="0.2">
      <c r="AF619" s="134"/>
      <c r="AG619" s="135"/>
      <c r="AH619" s="135"/>
      <c r="AI619" s="135"/>
      <c r="AJ619" s="135"/>
      <c r="AK619" s="65"/>
      <c r="AL619" s="65"/>
      <c r="AM619" s="65"/>
      <c r="AN619" s="135"/>
      <c r="AO619" s="135"/>
      <c r="AP619" s="135"/>
      <c r="AQ619" s="63"/>
      <c r="AR619" s="135"/>
      <c r="AS619" s="135"/>
      <c r="AT619" s="135"/>
      <c r="AU619" s="63"/>
      <c r="AV619" s="63"/>
      <c r="AW619" s="63"/>
      <c r="AX619" s="63"/>
      <c r="BC619" s="24"/>
      <c r="BD619" s="24"/>
    </row>
    <row r="620" spans="32:56" ht="15" customHeight="1" x14ac:dyDescent="0.2">
      <c r="AF620" s="134"/>
      <c r="AG620" s="135"/>
      <c r="AH620" s="135"/>
      <c r="AI620" s="135"/>
      <c r="AJ620" s="135"/>
      <c r="AK620" s="65"/>
      <c r="AL620" s="65"/>
      <c r="AM620" s="65"/>
      <c r="AN620" s="135"/>
      <c r="AO620" s="135"/>
      <c r="AP620" s="135"/>
      <c r="AQ620" s="63"/>
      <c r="AR620" s="135"/>
      <c r="AS620" s="135"/>
      <c r="AT620" s="135"/>
      <c r="AU620" s="63"/>
      <c r="AV620" s="63"/>
      <c r="AW620" s="63"/>
      <c r="AX620" s="63"/>
      <c r="BC620" s="24"/>
      <c r="BD620" s="24"/>
    </row>
    <row r="621" spans="32:56" ht="15" customHeight="1" x14ac:dyDescent="0.2">
      <c r="AF621" s="134"/>
      <c r="AG621" s="135"/>
      <c r="AH621" s="135"/>
      <c r="AI621" s="135"/>
      <c r="AJ621" s="135"/>
      <c r="AK621" s="65"/>
      <c r="AL621" s="65"/>
      <c r="AM621" s="65"/>
      <c r="AN621" s="135"/>
      <c r="AO621" s="135"/>
      <c r="AP621" s="135"/>
      <c r="AQ621" s="63"/>
      <c r="AR621" s="135"/>
      <c r="AS621" s="135"/>
      <c r="AT621" s="135"/>
      <c r="AU621" s="63"/>
      <c r="AV621" s="63"/>
      <c r="AW621" s="63"/>
      <c r="AX621" s="63"/>
      <c r="BC621" s="24"/>
      <c r="BD621" s="24"/>
    </row>
    <row r="622" spans="32:56" ht="15" customHeight="1" x14ac:dyDescent="0.2">
      <c r="AF622" s="134"/>
      <c r="AG622" s="135"/>
      <c r="AH622" s="135"/>
      <c r="AI622" s="135"/>
      <c r="AJ622" s="135"/>
      <c r="AK622" s="65"/>
      <c r="AL622" s="65"/>
      <c r="AM622" s="65"/>
      <c r="AN622" s="135"/>
      <c r="AO622" s="135"/>
      <c r="AP622" s="135"/>
      <c r="AQ622" s="63"/>
      <c r="AR622" s="135"/>
      <c r="AS622" s="135"/>
      <c r="AT622" s="135"/>
      <c r="AU622" s="63"/>
      <c r="AV622" s="63"/>
      <c r="AW622" s="63"/>
      <c r="AX622" s="63"/>
      <c r="BC622" s="24"/>
      <c r="BD622" s="24"/>
    </row>
    <row r="623" spans="32:56" ht="15" customHeight="1" x14ac:dyDescent="0.2">
      <c r="AF623" s="134"/>
      <c r="AG623" s="135"/>
      <c r="AH623" s="135"/>
      <c r="AI623" s="135"/>
      <c r="AJ623" s="135"/>
      <c r="AK623" s="65"/>
      <c r="AL623" s="65"/>
      <c r="AM623" s="65"/>
      <c r="AN623" s="135"/>
      <c r="AO623" s="135"/>
      <c r="AP623" s="135"/>
      <c r="AQ623" s="63"/>
      <c r="AR623" s="135"/>
      <c r="AS623" s="135"/>
      <c r="AT623" s="135"/>
      <c r="AU623" s="63"/>
      <c r="AV623" s="63"/>
      <c r="AW623" s="63"/>
      <c r="AX623" s="63"/>
      <c r="BC623" s="24"/>
      <c r="BD623" s="24"/>
    </row>
    <row r="624" spans="32:56" ht="15" customHeight="1" x14ac:dyDescent="0.2">
      <c r="AF624" s="134"/>
      <c r="AG624" s="135"/>
      <c r="AH624" s="135"/>
      <c r="AI624" s="135"/>
      <c r="AJ624" s="135"/>
      <c r="AK624" s="65"/>
      <c r="AL624" s="65"/>
      <c r="AM624" s="65"/>
      <c r="AN624" s="135"/>
      <c r="AO624" s="135"/>
      <c r="AP624" s="135"/>
      <c r="AQ624" s="63"/>
      <c r="AR624" s="135"/>
      <c r="AS624" s="135"/>
      <c r="AT624" s="135"/>
      <c r="AU624" s="63"/>
      <c r="AV624" s="63"/>
      <c r="AW624" s="63"/>
      <c r="AX624" s="63"/>
      <c r="BC624" s="24"/>
      <c r="BD624" s="24"/>
    </row>
    <row r="625" spans="32:56" ht="15" customHeight="1" x14ac:dyDescent="0.2">
      <c r="AF625" s="134"/>
      <c r="AG625" s="135"/>
      <c r="AH625" s="135"/>
      <c r="AI625" s="135"/>
      <c r="AJ625" s="135"/>
      <c r="AK625" s="65"/>
      <c r="AL625" s="65"/>
      <c r="AM625" s="65"/>
      <c r="AN625" s="135"/>
      <c r="AO625" s="135"/>
      <c r="AP625" s="135"/>
      <c r="AQ625" s="63"/>
      <c r="AR625" s="135"/>
      <c r="AS625" s="135"/>
      <c r="AT625" s="135"/>
      <c r="AU625" s="63"/>
      <c r="AV625" s="63"/>
      <c r="AW625" s="63"/>
      <c r="AX625" s="63"/>
      <c r="BC625" s="24"/>
      <c r="BD625" s="24"/>
    </row>
    <row r="626" spans="32:56" ht="15" customHeight="1" x14ac:dyDescent="0.2">
      <c r="AF626" s="134"/>
      <c r="AG626" s="135"/>
      <c r="AH626" s="135"/>
      <c r="AI626" s="135"/>
      <c r="AJ626" s="135"/>
      <c r="AK626" s="65"/>
      <c r="AL626" s="65"/>
      <c r="AM626" s="65"/>
      <c r="AN626" s="135"/>
      <c r="AO626" s="135"/>
      <c r="AP626" s="135"/>
      <c r="AQ626" s="63"/>
      <c r="AR626" s="135"/>
      <c r="AS626" s="135"/>
      <c r="AT626" s="135"/>
      <c r="AU626" s="63"/>
      <c r="AV626" s="63"/>
      <c r="AW626" s="63"/>
      <c r="AX626" s="63"/>
      <c r="BC626" s="24"/>
      <c r="BD626" s="24"/>
    </row>
    <row r="627" spans="32:56" ht="15" customHeight="1" x14ac:dyDescent="0.2">
      <c r="AF627" s="134"/>
      <c r="AG627" s="135"/>
      <c r="AH627" s="135"/>
      <c r="AI627" s="135"/>
      <c r="AJ627" s="135"/>
      <c r="AK627" s="65"/>
      <c r="AL627" s="65"/>
      <c r="AM627" s="65"/>
      <c r="AN627" s="135"/>
      <c r="AO627" s="135"/>
      <c r="AP627" s="135"/>
      <c r="AQ627" s="63"/>
      <c r="AR627" s="135"/>
      <c r="AS627" s="135"/>
      <c r="AT627" s="135"/>
      <c r="AU627" s="63"/>
      <c r="AV627" s="63"/>
      <c r="AW627" s="63"/>
      <c r="AX627" s="63"/>
      <c r="BC627" s="24"/>
      <c r="BD627" s="24"/>
    </row>
    <row r="628" spans="32:56" ht="15" customHeight="1" x14ac:dyDescent="0.2">
      <c r="AF628" s="134"/>
      <c r="AG628" s="135"/>
      <c r="AH628" s="135"/>
      <c r="AI628" s="135"/>
      <c r="AJ628" s="135"/>
      <c r="AK628" s="65"/>
      <c r="AL628" s="65"/>
      <c r="AM628" s="65"/>
      <c r="AN628" s="135"/>
      <c r="AO628" s="135"/>
      <c r="AP628" s="135"/>
      <c r="AQ628" s="63"/>
      <c r="AR628" s="135"/>
      <c r="AS628" s="135"/>
      <c r="AT628" s="135"/>
      <c r="AU628" s="63"/>
      <c r="AV628" s="63"/>
      <c r="AW628" s="63"/>
      <c r="AX628" s="63"/>
      <c r="BC628" s="24"/>
      <c r="BD628" s="24"/>
    </row>
    <row r="629" spans="32:56" ht="15" customHeight="1" x14ac:dyDescent="0.2">
      <c r="AF629" s="134"/>
      <c r="AG629" s="135"/>
      <c r="AH629" s="135"/>
      <c r="AI629" s="135"/>
      <c r="AJ629" s="135"/>
      <c r="AK629" s="65"/>
      <c r="AL629" s="65"/>
      <c r="AM629" s="65"/>
      <c r="AN629" s="135"/>
      <c r="AO629" s="135"/>
      <c r="AP629" s="135"/>
      <c r="AQ629" s="63"/>
      <c r="AR629" s="135"/>
      <c r="AS629" s="135"/>
      <c r="AT629" s="135"/>
      <c r="AU629" s="63"/>
      <c r="AV629" s="63"/>
      <c r="AW629" s="63"/>
      <c r="AX629" s="63"/>
      <c r="BC629" s="24"/>
      <c r="BD629" s="24"/>
    </row>
    <row r="630" spans="32:56" ht="15" customHeight="1" x14ac:dyDescent="0.2">
      <c r="AF630" s="134"/>
      <c r="AG630" s="135"/>
      <c r="AH630" s="135"/>
      <c r="AI630" s="135"/>
      <c r="AJ630" s="135"/>
      <c r="AK630" s="65"/>
      <c r="AL630" s="65"/>
      <c r="AM630" s="65"/>
      <c r="AN630" s="135"/>
      <c r="AO630" s="135"/>
      <c r="AP630" s="135"/>
      <c r="AQ630" s="63"/>
      <c r="AR630" s="135"/>
      <c r="AS630" s="135"/>
      <c r="AT630" s="135"/>
      <c r="AU630" s="63"/>
      <c r="AV630" s="63"/>
      <c r="AW630" s="63"/>
      <c r="AX630" s="63"/>
      <c r="BC630" s="24"/>
      <c r="BD630" s="24"/>
    </row>
    <row r="631" spans="32:56" ht="15" customHeight="1" x14ac:dyDescent="0.2">
      <c r="AF631" s="134"/>
      <c r="AG631" s="135"/>
      <c r="AH631" s="135"/>
      <c r="AI631" s="135"/>
      <c r="AJ631" s="135"/>
      <c r="AK631" s="65"/>
      <c r="AL631" s="65"/>
      <c r="AM631" s="65"/>
      <c r="AN631" s="135"/>
      <c r="AO631" s="135"/>
      <c r="AP631" s="135"/>
      <c r="AQ631" s="63"/>
      <c r="AR631" s="135"/>
      <c r="AS631" s="135"/>
      <c r="AT631" s="135"/>
      <c r="AU631" s="63"/>
      <c r="AV631" s="63"/>
      <c r="AW631" s="63"/>
      <c r="AX631" s="63"/>
      <c r="BC631" s="24"/>
      <c r="BD631" s="24"/>
    </row>
    <row r="632" spans="32:56" ht="15" customHeight="1" x14ac:dyDescent="0.2">
      <c r="AF632" s="134"/>
      <c r="AG632" s="135"/>
      <c r="AH632" s="135"/>
      <c r="AI632" s="135"/>
      <c r="AJ632" s="135"/>
      <c r="AK632" s="65"/>
      <c r="AL632" s="65"/>
      <c r="AM632" s="65"/>
      <c r="AN632" s="135"/>
      <c r="AO632" s="135"/>
      <c r="AP632" s="135"/>
      <c r="AQ632" s="63"/>
      <c r="AR632" s="135"/>
      <c r="AS632" s="135"/>
      <c r="AT632" s="135"/>
      <c r="AU632" s="63"/>
      <c r="AV632" s="63"/>
      <c r="AW632" s="63"/>
      <c r="AX632" s="63"/>
      <c r="BC632" s="24"/>
      <c r="BD632" s="24"/>
    </row>
    <row r="633" spans="32:56" ht="15" customHeight="1" x14ac:dyDescent="0.2">
      <c r="AF633" s="134"/>
      <c r="AG633" s="135"/>
      <c r="AH633" s="135"/>
      <c r="AI633" s="135"/>
      <c r="AJ633" s="135"/>
      <c r="AK633" s="65"/>
      <c r="AL633" s="65"/>
      <c r="AM633" s="65"/>
      <c r="AN633" s="135"/>
      <c r="AO633" s="135"/>
      <c r="AP633" s="135"/>
      <c r="AQ633" s="63"/>
      <c r="AR633" s="135"/>
      <c r="AS633" s="135"/>
      <c r="AT633" s="135"/>
      <c r="AU633" s="63"/>
      <c r="AV633" s="63"/>
      <c r="AW633" s="63"/>
      <c r="AX633" s="63"/>
      <c r="BC633" s="24"/>
      <c r="BD633" s="24"/>
    </row>
    <row r="634" spans="32:56" ht="15" customHeight="1" x14ac:dyDescent="0.2">
      <c r="AF634" s="134"/>
      <c r="AG634" s="135"/>
      <c r="AH634" s="135"/>
      <c r="AI634" s="135"/>
      <c r="AJ634" s="135"/>
      <c r="AK634" s="65"/>
      <c r="AL634" s="65"/>
      <c r="AM634" s="65"/>
      <c r="AN634" s="135"/>
      <c r="AO634" s="135"/>
      <c r="AP634" s="135"/>
      <c r="AQ634" s="63"/>
      <c r="AR634" s="135"/>
      <c r="AS634" s="135"/>
      <c r="AT634" s="135"/>
      <c r="AU634" s="63"/>
      <c r="AV634" s="63"/>
      <c r="AW634" s="63"/>
      <c r="AX634" s="63"/>
      <c r="BC634" s="24"/>
      <c r="BD634" s="24"/>
    </row>
    <row r="635" spans="32:56" ht="15" customHeight="1" x14ac:dyDescent="0.2">
      <c r="AF635" s="134"/>
      <c r="AG635" s="135"/>
      <c r="AH635" s="135"/>
      <c r="AI635" s="135"/>
      <c r="AJ635" s="135"/>
      <c r="AK635" s="65"/>
      <c r="AL635" s="65"/>
      <c r="AM635" s="65"/>
      <c r="AN635" s="135"/>
      <c r="AO635" s="135"/>
      <c r="AP635" s="135"/>
      <c r="AQ635" s="63"/>
      <c r="AR635" s="135"/>
      <c r="AS635" s="135"/>
      <c r="AT635" s="135"/>
      <c r="AU635" s="63"/>
      <c r="AV635" s="63"/>
      <c r="AW635" s="63"/>
      <c r="AX635" s="63"/>
      <c r="BC635" s="24"/>
      <c r="BD635" s="24"/>
    </row>
    <row r="636" spans="32:56" ht="15" customHeight="1" x14ac:dyDescent="0.2">
      <c r="AF636" s="134"/>
      <c r="AG636" s="135"/>
      <c r="AH636" s="135"/>
      <c r="AI636" s="135"/>
      <c r="AJ636" s="135"/>
      <c r="AK636" s="65"/>
      <c r="AL636" s="65"/>
      <c r="AM636" s="65"/>
      <c r="AN636" s="135"/>
      <c r="AO636" s="135"/>
      <c r="AP636" s="135"/>
      <c r="AQ636" s="63"/>
      <c r="AR636" s="135"/>
      <c r="AS636" s="135"/>
      <c r="AT636" s="135"/>
      <c r="AU636" s="63"/>
      <c r="AV636" s="63"/>
      <c r="AW636" s="63"/>
      <c r="AX636" s="63"/>
      <c r="BC636" s="24"/>
      <c r="BD636" s="24"/>
    </row>
    <row r="637" spans="32:56" ht="15" customHeight="1" x14ac:dyDescent="0.2">
      <c r="AF637" s="134"/>
      <c r="AG637" s="135"/>
      <c r="AH637" s="135"/>
      <c r="AI637" s="135"/>
      <c r="AJ637" s="135"/>
      <c r="AK637" s="65"/>
      <c r="AL637" s="65"/>
      <c r="AM637" s="65"/>
      <c r="AN637" s="135"/>
      <c r="AO637" s="135"/>
      <c r="AP637" s="135"/>
      <c r="AQ637" s="63"/>
      <c r="AR637" s="135"/>
      <c r="AS637" s="135"/>
      <c r="AT637" s="135"/>
      <c r="AU637" s="63"/>
      <c r="AV637" s="63"/>
      <c r="AW637" s="63"/>
      <c r="AX637" s="63"/>
      <c r="BC637" s="24"/>
      <c r="BD637" s="24"/>
    </row>
    <row r="638" spans="32:56" ht="15" customHeight="1" x14ac:dyDescent="0.2">
      <c r="AF638" s="134"/>
      <c r="AG638" s="135"/>
      <c r="AH638" s="135"/>
      <c r="AI638" s="135"/>
      <c r="AJ638" s="135"/>
      <c r="AK638" s="65"/>
      <c r="AL638" s="65"/>
      <c r="AM638" s="65"/>
      <c r="AN638" s="135"/>
      <c r="AO638" s="135"/>
      <c r="AP638" s="135"/>
      <c r="AQ638" s="63"/>
      <c r="AR638" s="135"/>
      <c r="AS638" s="135"/>
      <c r="AT638" s="135"/>
      <c r="AU638" s="63"/>
      <c r="AV638" s="63"/>
      <c r="AW638" s="63"/>
      <c r="AX638" s="63"/>
      <c r="BC638" s="24"/>
      <c r="BD638" s="24"/>
    </row>
    <row r="639" spans="32:56" ht="15" customHeight="1" x14ac:dyDescent="0.2">
      <c r="AF639" s="134"/>
      <c r="AG639" s="135"/>
      <c r="AH639" s="135"/>
      <c r="AI639" s="135"/>
      <c r="AJ639" s="135"/>
      <c r="AK639" s="65"/>
      <c r="AL639" s="65"/>
      <c r="AM639" s="65"/>
      <c r="AN639" s="135"/>
      <c r="AO639" s="135"/>
      <c r="AP639" s="135"/>
      <c r="AQ639" s="63"/>
      <c r="AR639" s="135"/>
      <c r="AS639" s="135"/>
      <c r="AT639" s="135"/>
      <c r="AU639" s="63"/>
      <c r="AV639" s="63"/>
      <c r="AW639" s="63"/>
      <c r="AX639" s="63"/>
      <c r="BC639" s="24"/>
      <c r="BD639" s="24"/>
    </row>
    <row r="640" spans="32:56" ht="15" customHeight="1" x14ac:dyDescent="0.2">
      <c r="AF640" s="134"/>
      <c r="AG640" s="135"/>
      <c r="AH640" s="135"/>
      <c r="AI640" s="135"/>
      <c r="AJ640" s="135"/>
      <c r="AK640" s="65"/>
      <c r="AL640" s="65"/>
      <c r="AM640" s="65"/>
      <c r="AN640" s="135"/>
      <c r="AO640" s="135"/>
      <c r="AP640" s="135"/>
      <c r="AQ640" s="63"/>
      <c r="AR640" s="135"/>
      <c r="AS640" s="135"/>
      <c r="AT640" s="135"/>
      <c r="AU640" s="63"/>
      <c r="AV640" s="63"/>
      <c r="AW640" s="63"/>
      <c r="AX640" s="63"/>
      <c r="BC640" s="24"/>
      <c r="BD640" s="24"/>
    </row>
    <row r="641" spans="32:56" ht="15" customHeight="1" x14ac:dyDescent="0.2">
      <c r="AF641" s="134"/>
      <c r="AG641" s="135"/>
      <c r="AH641" s="135"/>
      <c r="AI641" s="135"/>
      <c r="AJ641" s="135"/>
      <c r="AK641" s="65"/>
      <c r="AL641" s="65"/>
      <c r="AM641" s="65"/>
      <c r="AN641" s="135"/>
      <c r="AO641" s="135"/>
      <c r="AP641" s="135"/>
      <c r="AQ641" s="63"/>
      <c r="AR641" s="135"/>
      <c r="AS641" s="135"/>
      <c r="AT641" s="135"/>
      <c r="AU641" s="63"/>
      <c r="AV641" s="63"/>
      <c r="AW641" s="63"/>
      <c r="AX641" s="63"/>
      <c r="BC641" s="24"/>
      <c r="BD641" s="24"/>
    </row>
    <row r="642" spans="32:56" ht="15" customHeight="1" x14ac:dyDescent="0.2">
      <c r="AF642" s="134"/>
      <c r="AG642" s="135"/>
      <c r="AH642" s="135"/>
      <c r="AI642" s="135"/>
      <c r="AJ642" s="135"/>
      <c r="AK642" s="65"/>
      <c r="AL642" s="65"/>
      <c r="AM642" s="65"/>
      <c r="AN642" s="135"/>
      <c r="AO642" s="135"/>
      <c r="AP642" s="135"/>
      <c r="AQ642" s="63"/>
      <c r="AR642" s="135"/>
      <c r="AS642" s="135"/>
      <c r="AT642" s="135"/>
      <c r="AU642" s="63"/>
      <c r="AV642" s="63"/>
      <c r="AW642" s="63"/>
      <c r="AX642" s="63"/>
      <c r="BC642" s="24"/>
      <c r="BD642" s="24"/>
    </row>
    <row r="643" spans="32:56" ht="15" customHeight="1" x14ac:dyDescent="0.2">
      <c r="AF643" s="134"/>
      <c r="AG643" s="135"/>
      <c r="AH643" s="135"/>
      <c r="AI643" s="135"/>
      <c r="AJ643" s="135"/>
      <c r="AK643" s="65"/>
      <c r="AL643" s="65"/>
      <c r="AM643" s="65"/>
      <c r="AN643" s="135"/>
      <c r="AO643" s="135"/>
      <c r="AP643" s="135"/>
      <c r="AQ643" s="63"/>
      <c r="AR643" s="135"/>
      <c r="AS643" s="135"/>
      <c r="AT643" s="135"/>
      <c r="AU643" s="63"/>
      <c r="AV643" s="63"/>
      <c r="AW643" s="63"/>
      <c r="AX643" s="63"/>
      <c r="BC643" s="24"/>
      <c r="BD643" s="24"/>
    </row>
    <row r="644" spans="32:56" ht="15" customHeight="1" x14ac:dyDescent="0.2">
      <c r="AF644" s="134"/>
      <c r="AG644" s="135"/>
      <c r="AH644" s="135"/>
      <c r="AI644" s="135"/>
      <c r="AJ644" s="135"/>
      <c r="AK644" s="65"/>
      <c r="AL644" s="65"/>
      <c r="AM644" s="65"/>
      <c r="AN644" s="135"/>
      <c r="AO644" s="135"/>
      <c r="AP644" s="135"/>
      <c r="AQ644" s="63"/>
      <c r="AR644" s="135"/>
      <c r="AS644" s="135"/>
      <c r="AT644" s="135"/>
      <c r="AU644" s="63"/>
      <c r="AV644" s="63"/>
      <c r="AW644" s="63"/>
      <c r="AX644" s="63"/>
      <c r="BC644" s="24"/>
      <c r="BD644" s="24"/>
    </row>
    <row r="645" spans="32:56" ht="15" customHeight="1" x14ac:dyDescent="0.2">
      <c r="AF645" s="134"/>
      <c r="AG645" s="135"/>
      <c r="AH645" s="135"/>
      <c r="AI645" s="135"/>
      <c r="AJ645" s="135"/>
      <c r="AK645" s="65"/>
      <c r="AL645" s="65"/>
      <c r="AM645" s="65"/>
      <c r="AN645" s="135"/>
      <c r="AO645" s="135"/>
      <c r="AP645" s="135"/>
      <c r="AQ645" s="63"/>
      <c r="AR645" s="135"/>
      <c r="AS645" s="135"/>
      <c r="AT645" s="135"/>
      <c r="AU645" s="63"/>
      <c r="AV645" s="63"/>
      <c r="AW645" s="63"/>
      <c r="AX645" s="63"/>
      <c r="BC645" s="24"/>
      <c r="BD645" s="24"/>
    </row>
    <row r="646" spans="32:56" ht="15" customHeight="1" x14ac:dyDescent="0.2">
      <c r="AF646" s="134"/>
      <c r="AG646" s="135"/>
      <c r="AH646" s="135"/>
      <c r="AI646" s="135"/>
      <c r="AJ646" s="135"/>
      <c r="AK646" s="65"/>
      <c r="AL646" s="65"/>
      <c r="AM646" s="65"/>
      <c r="AN646" s="135"/>
      <c r="AO646" s="135"/>
      <c r="AP646" s="135"/>
      <c r="AQ646" s="63"/>
      <c r="AR646" s="135"/>
      <c r="AS646" s="135"/>
      <c r="AT646" s="135"/>
      <c r="AU646" s="63"/>
      <c r="AV646" s="63"/>
      <c r="AW646" s="63"/>
      <c r="AX646" s="63"/>
      <c r="BC646" s="24"/>
      <c r="BD646" s="24"/>
    </row>
    <row r="647" spans="32:56" ht="15" customHeight="1" x14ac:dyDescent="0.2">
      <c r="AF647" s="134"/>
      <c r="AG647" s="135"/>
      <c r="AH647" s="135"/>
      <c r="AI647" s="135"/>
      <c r="AJ647" s="135"/>
      <c r="AK647" s="65"/>
      <c r="AL647" s="65"/>
      <c r="AM647" s="65"/>
      <c r="AN647" s="135"/>
      <c r="AO647" s="135"/>
      <c r="AP647" s="135"/>
      <c r="AQ647" s="63"/>
      <c r="AR647" s="135"/>
      <c r="AS647" s="135"/>
      <c r="AT647" s="135"/>
      <c r="AU647" s="63"/>
      <c r="AV647" s="63"/>
      <c r="AW647" s="63"/>
      <c r="AX647" s="63"/>
      <c r="BC647" s="24"/>
      <c r="BD647" s="24"/>
    </row>
    <row r="648" spans="32:56" ht="15" customHeight="1" x14ac:dyDescent="0.2">
      <c r="AF648" s="134"/>
      <c r="AG648" s="135"/>
      <c r="AH648" s="135"/>
      <c r="AI648" s="135"/>
      <c r="AJ648" s="135"/>
      <c r="AK648" s="65"/>
      <c r="AL648" s="65"/>
      <c r="AM648" s="65"/>
      <c r="AN648" s="135"/>
      <c r="AO648" s="135"/>
      <c r="AP648" s="135"/>
      <c r="AQ648" s="63"/>
      <c r="AR648" s="135"/>
      <c r="AS648" s="135"/>
      <c r="AT648" s="135"/>
      <c r="AU648" s="63"/>
      <c r="AV648" s="63"/>
      <c r="AW648" s="63"/>
      <c r="AX648" s="63"/>
      <c r="BC648" s="24"/>
      <c r="BD648" s="24"/>
    </row>
    <row r="649" spans="32:56" ht="15" customHeight="1" x14ac:dyDescent="0.2">
      <c r="AF649" s="134"/>
      <c r="AG649" s="135"/>
      <c r="AH649" s="135"/>
      <c r="AI649" s="135"/>
      <c r="AJ649" s="135"/>
      <c r="AK649" s="65"/>
      <c r="AL649" s="65"/>
      <c r="AM649" s="65"/>
      <c r="AN649" s="135"/>
      <c r="AO649" s="135"/>
      <c r="AP649" s="135"/>
      <c r="AQ649" s="63"/>
      <c r="AR649" s="135"/>
      <c r="AS649" s="135"/>
      <c r="AT649" s="135"/>
      <c r="AU649" s="63"/>
      <c r="AV649" s="63"/>
      <c r="AW649" s="63"/>
      <c r="AX649" s="63"/>
      <c r="BC649" s="24"/>
      <c r="BD649" s="24"/>
    </row>
    <row r="650" spans="32:56" ht="15" customHeight="1" x14ac:dyDescent="0.2">
      <c r="AF650" s="134"/>
      <c r="AG650" s="135"/>
      <c r="AH650" s="135"/>
      <c r="AI650" s="135"/>
      <c r="AJ650" s="135"/>
      <c r="AK650" s="65"/>
      <c r="AL650" s="65"/>
      <c r="AM650" s="65"/>
      <c r="AN650" s="135"/>
      <c r="AO650" s="135"/>
      <c r="AP650" s="135"/>
      <c r="AQ650" s="63"/>
      <c r="AR650" s="135"/>
      <c r="AS650" s="135"/>
      <c r="AT650" s="135"/>
      <c r="AU650" s="63"/>
      <c r="AV650" s="63"/>
      <c r="AW650" s="63"/>
      <c r="AX650" s="63"/>
      <c r="BC650" s="24"/>
      <c r="BD650" s="24"/>
    </row>
    <row r="651" spans="32:56" ht="15" customHeight="1" x14ac:dyDescent="0.2">
      <c r="AF651" s="134"/>
      <c r="AG651" s="135"/>
      <c r="AH651" s="135"/>
      <c r="AI651" s="135"/>
      <c r="AJ651" s="135"/>
      <c r="AK651" s="65"/>
      <c r="AL651" s="65"/>
      <c r="AM651" s="65"/>
      <c r="AN651" s="135"/>
      <c r="AO651" s="135"/>
      <c r="AP651" s="135"/>
      <c r="AQ651" s="63"/>
      <c r="AR651" s="135"/>
      <c r="AS651" s="135"/>
      <c r="AT651" s="135"/>
      <c r="AU651" s="63"/>
      <c r="AV651" s="63"/>
      <c r="AW651" s="63"/>
      <c r="AX651" s="63"/>
      <c r="BC651" s="24"/>
      <c r="BD651" s="24"/>
    </row>
    <row r="652" spans="32:56" ht="15" customHeight="1" x14ac:dyDescent="0.2">
      <c r="AF652" s="134"/>
      <c r="AG652" s="135"/>
      <c r="AH652" s="135"/>
      <c r="AI652" s="135"/>
      <c r="AJ652" s="135"/>
      <c r="AK652" s="65"/>
      <c r="AL652" s="65"/>
      <c r="AM652" s="65"/>
      <c r="AN652" s="135"/>
      <c r="AO652" s="135"/>
      <c r="AP652" s="135"/>
      <c r="AQ652" s="63"/>
      <c r="AR652" s="135"/>
      <c r="AS652" s="135"/>
      <c r="AT652" s="135"/>
      <c r="AU652" s="63"/>
      <c r="AV652" s="63"/>
      <c r="AW652" s="63"/>
      <c r="AX652" s="63"/>
      <c r="BC652" s="24"/>
      <c r="BD652" s="24"/>
    </row>
    <row r="653" spans="32:56" ht="15" customHeight="1" x14ac:dyDescent="0.2">
      <c r="AF653" s="134"/>
      <c r="AG653" s="135"/>
      <c r="AH653" s="135"/>
      <c r="AI653" s="135"/>
      <c r="AJ653" s="135"/>
      <c r="AK653" s="65"/>
      <c r="AL653" s="65"/>
      <c r="AM653" s="65"/>
      <c r="AN653" s="135"/>
      <c r="AO653" s="135"/>
      <c r="AP653" s="135"/>
      <c r="AQ653" s="63"/>
      <c r="AR653" s="135"/>
      <c r="AS653" s="135"/>
      <c r="AT653" s="135"/>
      <c r="AU653" s="63"/>
      <c r="AV653" s="63"/>
      <c r="AW653" s="63"/>
      <c r="AX653" s="63"/>
      <c r="BC653" s="24"/>
      <c r="BD653" s="24"/>
    </row>
    <row r="654" spans="32:56" ht="15" customHeight="1" x14ac:dyDescent="0.2">
      <c r="AF654" s="134"/>
      <c r="AG654" s="135"/>
      <c r="AH654" s="135"/>
      <c r="AI654" s="135"/>
      <c r="AJ654" s="135"/>
      <c r="AK654" s="65"/>
      <c r="AL654" s="65"/>
      <c r="AM654" s="65"/>
      <c r="AN654" s="135"/>
      <c r="AO654" s="135"/>
      <c r="AP654" s="135"/>
      <c r="AQ654" s="63"/>
      <c r="AR654" s="135"/>
      <c r="AS654" s="135"/>
      <c r="AT654" s="135"/>
      <c r="AU654" s="63"/>
      <c r="AV654" s="63"/>
      <c r="AW654" s="63"/>
      <c r="AX654" s="63"/>
      <c r="BC654" s="24"/>
      <c r="BD654" s="24"/>
    </row>
    <row r="655" spans="32:56" ht="15" customHeight="1" x14ac:dyDescent="0.2">
      <c r="AF655" s="134"/>
      <c r="AG655" s="135"/>
      <c r="AH655" s="135"/>
      <c r="AI655" s="135"/>
      <c r="AJ655" s="135"/>
      <c r="AK655" s="65"/>
      <c r="AL655" s="65"/>
      <c r="AM655" s="65"/>
      <c r="AN655" s="135"/>
      <c r="AO655" s="135"/>
      <c r="AP655" s="135"/>
      <c r="AQ655" s="63"/>
      <c r="AR655" s="135"/>
      <c r="AS655" s="135"/>
      <c r="AT655" s="135"/>
      <c r="AU655" s="63"/>
      <c r="AV655" s="63"/>
      <c r="AW655" s="63"/>
      <c r="AX655" s="63"/>
      <c r="BC655" s="24"/>
      <c r="BD655" s="24"/>
    </row>
    <row r="656" spans="32:56" ht="15" customHeight="1" x14ac:dyDescent="0.2">
      <c r="AF656" s="134"/>
      <c r="AG656" s="135"/>
      <c r="AH656" s="135"/>
      <c r="AI656" s="135"/>
      <c r="AJ656" s="135"/>
      <c r="AK656" s="65"/>
      <c r="AL656" s="65"/>
      <c r="AM656" s="65"/>
      <c r="AN656" s="135"/>
      <c r="AO656" s="135"/>
      <c r="AP656" s="135"/>
      <c r="AQ656" s="63"/>
      <c r="AR656" s="135"/>
      <c r="AS656" s="135"/>
      <c r="AT656" s="135"/>
      <c r="AU656" s="63"/>
      <c r="AV656" s="63"/>
      <c r="AW656" s="63"/>
      <c r="AX656" s="63"/>
      <c r="BC656" s="24"/>
      <c r="BD656" s="24"/>
    </row>
    <row r="657" spans="32:56" ht="15" customHeight="1" x14ac:dyDescent="0.2">
      <c r="AF657" s="134"/>
      <c r="AG657" s="135"/>
      <c r="AH657" s="135"/>
      <c r="AI657" s="135"/>
      <c r="AJ657" s="135"/>
      <c r="AK657" s="65"/>
      <c r="AL657" s="65"/>
      <c r="AM657" s="65"/>
      <c r="AN657" s="135"/>
      <c r="AO657" s="135"/>
      <c r="AP657" s="135"/>
      <c r="AQ657" s="63"/>
      <c r="AR657" s="135"/>
      <c r="AS657" s="135"/>
      <c r="AT657" s="135"/>
      <c r="AU657" s="63"/>
      <c r="AV657" s="63"/>
      <c r="AW657" s="63"/>
      <c r="AX657" s="63"/>
      <c r="BC657" s="24"/>
      <c r="BD657" s="24"/>
    </row>
    <row r="658" spans="32:56" ht="15" customHeight="1" x14ac:dyDescent="0.2">
      <c r="AF658" s="134"/>
      <c r="AG658" s="135"/>
      <c r="AH658" s="135"/>
      <c r="AI658" s="135"/>
      <c r="AJ658" s="135"/>
      <c r="AK658" s="65"/>
      <c r="AL658" s="65"/>
      <c r="AM658" s="65"/>
      <c r="AN658" s="135"/>
      <c r="AO658" s="135"/>
      <c r="AP658" s="135"/>
      <c r="AQ658" s="63"/>
      <c r="AR658" s="135"/>
      <c r="AS658" s="135"/>
      <c r="AT658" s="135"/>
      <c r="AU658" s="63"/>
      <c r="AV658" s="63"/>
      <c r="AW658" s="63"/>
      <c r="AX658" s="63"/>
      <c r="BC658" s="24"/>
      <c r="BD658" s="24"/>
    </row>
    <row r="659" spans="32:56" ht="15" customHeight="1" x14ac:dyDescent="0.2">
      <c r="AF659" s="134"/>
      <c r="AG659" s="135"/>
      <c r="AH659" s="135"/>
      <c r="AI659" s="135"/>
      <c r="AJ659" s="135"/>
      <c r="AK659" s="65"/>
      <c r="AL659" s="65"/>
      <c r="AM659" s="65"/>
      <c r="AN659" s="135"/>
      <c r="AO659" s="135"/>
      <c r="AP659" s="135"/>
      <c r="AQ659" s="63"/>
      <c r="AR659" s="135"/>
      <c r="AS659" s="135"/>
      <c r="AT659" s="135"/>
      <c r="AU659" s="63"/>
      <c r="AV659" s="63"/>
      <c r="AW659" s="63"/>
      <c r="AX659" s="63"/>
      <c r="BC659" s="24"/>
      <c r="BD659" s="24"/>
    </row>
    <row r="660" spans="32:56" ht="15" customHeight="1" x14ac:dyDescent="0.2">
      <c r="AF660" s="134"/>
      <c r="AG660" s="135"/>
      <c r="AH660" s="135"/>
      <c r="AI660" s="135"/>
      <c r="AJ660" s="135"/>
      <c r="AK660" s="65"/>
      <c r="AL660" s="65"/>
      <c r="AM660" s="65"/>
      <c r="AN660" s="135"/>
      <c r="AO660" s="135"/>
      <c r="AP660" s="135"/>
      <c r="AQ660" s="63"/>
      <c r="AR660" s="135"/>
      <c r="AS660" s="135"/>
      <c r="AT660" s="135"/>
      <c r="AU660" s="63"/>
      <c r="AV660" s="63"/>
      <c r="AW660" s="63"/>
      <c r="AX660" s="63"/>
      <c r="BC660" s="24"/>
      <c r="BD660" s="24"/>
    </row>
    <row r="661" spans="32:56" ht="15" customHeight="1" x14ac:dyDescent="0.2">
      <c r="AF661" s="134"/>
      <c r="AG661" s="135"/>
      <c r="AH661" s="135"/>
      <c r="AI661" s="135"/>
      <c r="AJ661" s="135"/>
      <c r="AK661" s="65"/>
      <c r="AL661" s="65"/>
      <c r="AM661" s="65"/>
      <c r="AN661" s="135"/>
      <c r="AO661" s="135"/>
      <c r="AP661" s="135"/>
      <c r="AQ661" s="63"/>
      <c r="AR661" s="135"/>
      <c r="AS661" s="135"/>
      <c r="AT661" s="135"/>
      <c r="AU661" s="63"/>
      <c r="AV661" s="63"/>
      <c r="AW661" s="63"/>
      <c r="AX661" s="63"/>
      <c r="BC661" s="24"/>
      <c r="BD661" s="24"/>
    </row>
    <row r="662" spans="32:56" ht="15" customHeight="1" x14ac:dyDescent="0.2">
      <c r="AF662" s="134"/>
      <c r="AG662" s="135"/>
      <c r="AH662" s="135"/>
      <c r="AI662" s="135"/>
      <c r="AJ662" s="135"/>
      <c r="AK662" s="65"/>
      <c r="AL662" s="65"/>
      <c r="AM662" s="65"/>
      <c r="AN662" s="135"/>
      <c r="AO662" s="135"/>
      <c r="AP662" s="135"/>
      <c r="AQ662" s="63"/>
      <c r="AR662" s="135"/>
      <c r="AS662" s="135"/>
      <c r="AT662" s="135"/>
      <c r="AU662" s="63"/>
      <c r="AV662" s="63"/>
      <c r="AW662" s="63"/>
      <c r="AX662" s="63"/>
      <c r="BC662" s="24"/>
      <c r="BD662" s="24"/>
    </row>
    <row r="663" spans="32:56" ht="15" customHeight="1" x14ac:dyDescent="0.2">
      <c r="AF663" s="134"/>
      <c r="AG663" s="135"/>
      <c r="AH663" s="135"/>
      <c r="AI663" s="135"/>
      <c r="AJ663" s="135"/>
      <c r="AK663" s="65"/>
      <c r="AL663" s="65"/>
      <c r="AM663" s="65"/>
      <c r="AN663" s="135"/>
      <c r="AO663" s="135"/>
      <c r="AP663" s="135"/>
      <c r="AQ663" s="63"/>
      <c r="AR663" s="135"/>
      <c r="AS663" s="135"/>
      <c r="AT663" s="135"/>
      <c r="AU663" s="63"/>
      <c r="AV663" s="63"/>
      <c r="AW663" s="63"/>
      <c r="AX663" s="63"/>
      <c r="BC663" s="24"/>
      <c r="BD663" s="24"/>
    </row>
    <row r="664" spans="32:56" ht="15" customHeight="1" x14ac:dyDescent="0.2">
      <c r="AF664" s="134"/>
      <c r="AG664" s="135"/>
      <c r="AH664" s="135"/>
      <c r="AI664" s="135"/>
      <c r="AJ664" s="135"/>
      <c r="AK664" s="65"/>
      <c r="AL664" s="65"/>
      <c r="AM664" s="65"/>
      <c r="AN664" s="135"/>
      <c r="AO664" s="135"/>
      <c r="AP664" s="135"/>
      <c r="AQ664" s="63"/>
      <c r="AR664" s="135"/>
      <c r="AS664" s="135"/>
      <c r="AT664" s="135"/>
      <c r="AU664" s="63"/>
      <c r="AV664" s="63"/>
      <c r="AW664" s="63"/>
      <c r="AX664" s="63"/>
      <c r="BC664" s="24"/>
      <c r="BD664" s="24"/>
    </row>
    <row r="665" spans="32:56" ht="15" customHeight="1" x14ac:dyDescent="0.2">
      <c r="AF665" s="134"/>
      <c r="AG665" s="135"/>
      <c r="AH665" s="135"/>
      <c r="AI665" s="135"/>
      <c r="AJ665" s="135"/>
      <c r="AK665" s="65"/>
      <c r="AL665" s="65"/>
      <c r="AM665" s="65"/>
      <c r="AN665" s="135"/>
      <c r="AO665" s="135"/>
      <c r="AP665" s="135"/>
      <c r="AQ665" s="63"/>
      <c r="AR665" s="135"/>
      <c r="AS665" s="135"/>
      <c r="AT665" s="135"/>
      <c r="AU665" s="63"/>
      <c r="AV665" s="63"/>
      <c r="AW665" s="63"/>
      <c r="AX665" s="63"/>
      <c r="BC665" s="24"/>
      <c r="BD665" s="24"/>
    </row>
    <row r="666" spans="32:56" ht="15" customHeight="1" x14ac:dyDescent="0.2">
      <c r="AF666" s="134"/>
      <c r="AG666" s="135"/>
      <c r="AH666" s="135"/>
      <c r="AI666" s="135"/>
      <c r="AJ666" s="135"/>
      <c r="AK666" s="65"/>
      <c r="AL666" s="65"/>
      <c r="AM666" s="65"/>
      <c r="AN666" s="135"/>
      <c r="AO666" s="135"/>
      <c r="AP666" s="135"/>
      <c r="AQ666" s="63"/>
      <c r="AR666" s="135"/>
      <c r="AS666" s="135"/>
      <c r="AT666" s="135"/>
      <c r="AU666" s="63"/>
      <c r="AV666" s="63"/>
      <c r="AW666" s="63"/>
      <c r="AX666" s="63"/>
      <c r="BC666" s="24"/>
      <c r="BD666" s="24"/>
    </row>
    <row r="667" spans="32:56" ht="15" customHeight="1" x14ac:dyDescent="0.2">
      <c r="AF667" s="134"/>
      <c r="AG667" s="135"/>
      <c r="AH667" s="135"/>
      <c r="AI667" s="135"/>
      <c r="AJ667" s="135"/>
      <c r="AK667" s="65"/>
      <c r="AL667" s="65"/>
      <c r="AM667" s="65"/>
      <c r="AN667" s="135"/>
      <c r="AO667" s="135"/>
      <c r="AP667" s="135"/>
      <c r="AQ667" s="63"/>
      <c r="AR667" s="135"/>
      <c r="AS667" s="135"/>
      <c r="AT667" s="135"/>
      <c r="AU667" s="63"/>
      <c r="AV667" s="63"/>
      <c r="AW667" s="63"/>
      <c r="AX667" s="63"/>
      <c r="BC667" s="24"/>
      <c r="BD667" s="24"/>
    </row>
    <row r="668" spans="32:56" ht="15" customHeight="1" x14ac:dyDescent="0.2">
      <c r="AF668" s="134"/>
      <c r="AG668" s="135"/>
      <c r="AH668" s="135"/>
      <c r="AI668" s="135"/>
      <c r="AJ668" s="135"/>
      <c r="AK668" s="65"/>
      <c r="AL668" s="65"/>
      <c r="AM668" s="65"/>
      <c r="AN668" s="135"/>
      <c r="AO668" s="135"/>
      <c r="AP668" s="135"/>
      <c r="AQ668" s="63"/>
      <c r="AR668" s="135"/>
      <c r="AS668" s="135"/>
      <c r="AT668" s="135"/>
      <c r="AU668" s="63"/>
      <c r="AV668" s="63"/>
      <c r="AW668" s="63"/>
      <c r="AX668" s="63"/>
      <c r="BC668" s="24"/>
      <c r="BD668" s="24"/>
    </row>
    <row r="669" spans="32:56" ht="15" customHeight="1" x14ac:dyDescent="0.2">
      <c r="AF669" s="134"/>
      <c r="AG669" s="135"/>
      <c r="AH669" s="135"/>
      <c r="AI669" s="135"/>
      <c r="AJ669" s="135"/>
      <c r="AK669" s="65"/>
      <c r="AL669" s="65"/>
      <c r="AM669" s="65"/>
      <c r="AN669" s="135"/>
      <c r="AO669" s="135"/>
      <c r="AP669" s="135"/>
      <c r="AQ669" s="63"/>
      <c r="AR669" s="135"/>
      <c r="AS669" s="135"/>
      <c r="AT669" s="135"/>
      <c r="AU669" s="63"/>
      <c r="AV669" s="63"/>
      <c r="AW669" s="63"/>
      <c r="AX669" s="63"/>
      <c r="BC669" s="24"/>
      <c r="BD669" s="24"/>
    </row>
    <row r="670" spans="32:56" ht="15" customHeight="1" x14ac:dyDescent="0.2">
      <c r="AF670" s="134"/>
      <c r="AG670" s="135"/>
      <c r="AH670" s="135"/>
      <c r="AI670" s="135"/>
      <c r="AJ670" s="135"/>
      <c r="AK670" s="65"/>
      <c r="AL670" s="65"/>
      <c r="AM670" s="65"/>
      <c r="AN670" s="135"/>
      <c r="AO670" s="135"/>
      <c r="AP670" s="135"/>
      <c r="AQ670" s="63"/>
      <c r="AR670" s="135"/>
      <c r="AS670" s="135"/>
      <c r="AT670" s="135"/>
      <c r="AU670" s="63"/>
      <c r="AV670" s="63"/>
      <c r="AW670" s="63"/>
      <c r="AX670" s="63"/>
      <c r="BC670" s="24"/>
      <c r="BD670" s="24"/>
    </row>
    <row r="671" spans="32:56" ht="15" customHeight="1" x14ac:dyDescent="0.2">
      <c r="AF671" s="134"/>
      <c r="AG671" s="135"/>
      <c r="AH671" s="135"/>
      <c r="AI671" s="135"/>
      <c r="AJ671" s="135"/>
      <c r="AK671" s="65"/>
      <c r="AL671" s="65"/>
      <c r="AM671" s="65"/>
      <c r="AN671" s="135"/>
      <c r="AO671" s="135"/>
      <c r="AP671" s="135"/>
      <c r="AQ671" s="63"/>
      <c r="AR671" s="135"/>
      <c r="AS671" s="135"/>
      <c r="AT671" s="135"/>
      <c r="AU671" s="63"/>
      <c r="AV671" s="63"/>
      <c r="AW671" s="63"/>
      <c r="AX671" s="63"/>
      <c r="BC671" s="24"/>
      <c r="BD671" s="24"/>
    </row>
    <row r="672" spans="32:56" ht="15" customHeight="1" x14ac:dyDescent="0.2">
      <c r="AF672" s="134"/>
      <c r="AG672" s="135"/>
      <c r="AH672" s="135"/>
      <c r="AI672" s="135"/>
      <c r="AJ672" s="135"/>
      <c r="AK672" s="65"/>
      <c r="AL672" s="65"/>
      <c r="AM672" s="65"/>
      <c r="AN672" s="135"/>
      <c r="AO672" s="135"/>
      <c r="AP672" s="135"/>
      <c r="AQ672" s="63"/>
      <c r="AR672" s="135"/>
      <c r="AS672" s="135"/>
      <c r="AT672" s="135"/>
      <c r="AU672" s="63"/>
      <c r="AV672" s="63"/>
      <c r="AW672" s="63"/>
      <c r="AX672" s="63"/>
      <c r="BC672" s="24"/>
      <c r="BD672" s="24"/>
    </row>
    <row r="673" spans="32:56" ht="15" customHeight="1" x14ac:dyDescent="0.2">
      <c r="AF673" s="134"/>
      <c r="AG673" s="135"/>
      <c r="AH673" s="135"/>
      <c r="AI673" s="135"/>
      <c r="AJ673" s="135"/>
      <c r="AK673" s="65"/>
      <c r="AL673" s="65"/>
      <c r="AM673" s="65"/>
      <c r="AN673" s="135"/>
      <c r="AO673" s="135"/>
      <c r="AP673" s="135"/>
      <c r="AQ673" s="63"/>
      <c r="AR673" s="135"/>
      <c r="AS673" s="135"/>
      <c r="AT673" s="135"/>
      <c r="AU673" s="63"/>
      <c r="AV673" s="63"/>
      <c r="AW673" s="63"/>
      <c r="AX673" s="63"/>
      <c r="BC673" s="24"/>
      <c r="BD673" s="24"/>
    </row>
    <row r="674" spans="32:56" ht="15" customHeight="1" x14ac:dyDescent="0.2">
      <c r="AF674" s="134"/>
      <c r="AG674" s="135"/>
      <c r="AH674" s="135"/>
      <c r="AI674" s="135"/>
      <c r="AJ674" s="135"/>
      <c r="AK674" s="65"/>
      <c r="AL674" s="65"/>
      <c r="AM674" s="65"/>
      <c r="AN674" s="135"/>
      <c r="AO674" s="135"/>
      <c r="AP674" s="135"/>
      <c r="AQ674" s="63"/>
      <c r="AR674" s="135"/>
      <c r="AS674" s="135"/>
      <c r="AT674" s="135"/>
      <c r="AU674" s="63"/>
      <c r="AV674" s="63"/>
      <c r="AW674" s="63"/>
      <c r="AX674" s="63"/>
      <c r="BC674" s="24"/>
      <c r="BD674" s="24"/>
    </row>
    <row r="675" spans="32:56" ht="15" customHeight="1" x14ac:dyDescent="0.2">
      <c r="AF675" s="134"/>
      <c r="AG675" s="135"/>
      <c r="AH675" s="135"/>
      <c r="AI675" s="135"/>
      <c r="AJ675" s="135"/>
      <c r="AK675" s="65"/>
      <c r="AL675" s="65"/>
      <c r="AM675" s="65"/>
      <c r="AN675" s="135"/>
      <c r="AO675" s="135"/>
      <c r="AP675" s="135"/>
      <c r="AQ675" s="63"/>
      <c r="AR675" s="135"/>
      <c r="AS675" s="135"/>
      <c r="AT675" s="135"/>
      <c r="AU675" s="63"/>
      <c r="AV675" s="63"/>
      <c r="AW675" s="63"/>
      <c r="AX675" s="63"/>
      <c r="BC675" s="24"/>
      <c r="BD675" s="24"/>
    </row>
    <row r="676" spans="32:56" ht="15" customHeight="1" x14ac:dyDescent="0.2">
      <c r="AF676" s="134"/>
      <c r="AG676" s="135"/>
      <c r="AH676" s="135"/>
      <c r="AI676" s="135"/>
      <c r="AJ676" s="135"/>
      <c r="AK676" s="65"/>
      <c r="AL676" s="65"/>
      <c r="AM676" s="65"/>
      <c r="AN676" s="135"/>
      <c r="AO676" s="135"/>
      <c r="AP676" s="135"/>
      <c r="AQ676" s="63"/>
      <c r="AR676" s="135"/>
      <c r="AS676" s="135"/>
      <c r="AT676" s="135"/>
      <c r="AU676" s="63"/>
      <c r="AV676" s="63"/>
      <c r="AW676" s="63"/>
      <c r="AX676" s="63"/>
      <c r="BC676" s="24"/>
      <c r="BD676" s="24"/>
    </row>
    <row r="677" spans="32:56" ht="15" customHeight="1" x14ac:dyDescent="0.2">
      <c r="AF677" s="134"/>
      <c r="AG677" s="135"/>
      <c r="AH677" s="135"/>
      <c r="AI677" s="135"/>
      <c r="AJ677" s="135"/>
      <c r="AK677" s="65"/>
      <c r="AL677" s="65"/>
      <c r="AM677" s="65"/>
      <c r="AN677" s="135"/>
      <c r="AO677" s="135"/>
      <c r="AP677" s="135"/>
      <c r="AQ677" s="63"/>
      <c r="AR677" s="135"/>
      <c r="AS677" s="135"/>
      <c r="AT677" s="135"/>
      <c r="AU677" s="63"/>
      <c r="AV677" s="63"/>
      <c r="AW677" s="63"/>
      <c r="AX677" s="63"/>
      <c r="BC677" s="24"/>
      <c r="BD677" s="24"/>
    </row>
    <row r="678" spans="32:56" ht="15" customHeight="1" x14ac:dyDescent="0.2">
      <c r="AF678" s="134"/>
      <c r="AG678" s="135"/>
      <c r="AH678" s="135"/>
      <c r="AI678" s="135"/>
      <c r="AJ678" s="135"/>
      <c r="AK678" s="65"/>
      <c r="AL678" s="65"/>
      <c r="AM678" s="65"/>
      <c r="AN678" s="135"/>
      <c r="AO678" s="135"/>
      <c r="AP678" s="135"/>
      <c r="AQ678" s="63"/>
      <c r="AR678" s="135"/>
      <c r="AS678" s="135"/>
      <c r="AT678" s="135"/>
      <c r="AU678" s="63"/>
      <c r="AV678" s="63"/>
      <c r="AW678" s="63"/>
      <c r="AX678" s="63"/>
      <c r="BC678" s="24"/>
      <c r="BD678" s="24"/>
    </row>
    <row r="679" spans="32:56" ht="15" customHeight="1" x14ac:dyDescent="0.2">
      <c r="AF679" s="134"/>
      <c r="AG679" s="135"/>
      <c r="AH679" s="135"/>
      <c r="AI679" s="135"/>
      <c r="AJ679" s="135"/>
      <c r="AK679" s="65"/>
      <c r="AL679" s="65"/>
      <c r="AM679" s="65"/>
      <c r="AN679" s="135"/>
      <c r="AO679" s="135"/>
      <c r="AP679" s="135"/>
      <c r="AQ679" s="63"/>
      <c r="AR679" s="135"/>
      <c r="AS679" s="135"/>
      <c r="AT679" s="135"/>
      <c r="AU679" s="63"/>
      <c r="AV679" s="63"/>
      <c r="AW679" s="63"/>
      <c r="AX679" s="63"/>
      <c r="BC679" s="24"/>
      <c r="BD679" s="24"/>
    </row>
    <row r="680" spans="32:56" ht="15" customHeight="1" x14ac:dyDescent="0.2">
      <c r="AF680" s="134"/>
      <c r="AG680" s="135"/>
      <c r="AH680" s="135"/>
      <c r="AI680" s="135"/>
      <c r="AJ680" s="135"/>
      <c r="AK680" s="65"/>
      <c r="AL680" s="65"/>
      <c r="AM680" s="65"/>
      <c r="AN680" s="135"/>
      <c r="AO680" s="135"/>
      <c r="AP680" s="135"/>
      <c r="AQ680" s="63"/>
      <c r="AR680" s="135"/>
      <c r="AS680" s="135"/>
      <c r="AT680" s="135"/>
      <c r="AU680" s="63"/>
      <c r="AV680" s="63"/>
      <c r="AW680" s="63"/>
      <c r="AX680" s="63"/>
      <c r="BC680" s="24"/>
      <c r="BD680" s="24"/>
    </row>
    <row r="681" spans="32:56" ht="15" customHeight="1" x14ac:dyDescent="0.2">
      <c r="AF681" s="134"/>
      <c r="AG681" s="135"/>
      <c r="AH681" s="135"/>
      <c r="AI681" s="135"/>
      <c r="AJ681" s="135"/>
      <c r="AK681" s="65"/>
      <c r="AL681" s="65"/>
      <c r="AM681" s="65"/>
      <c r="AN681" s="135"/>
      <c r="AO681" s="135"/>
      <c r="AP681" s="135"/>
      <c r="AQ681" s="63"/>
      <c r="AR681" s="135"/>
      <c r="AS681" s="135"/>
      <c r="AT681" s="135"/>
      <c r="AU681" s="63"/>
      <c r="AV681" s="63"/>
      <c r="AW681" s="63"/>
      <c r="AX681" s="63"/>
      <c r="BC681" s="24"/>
      <c r="BD681" s="24"/>
    </row>
    <row r="682" spans="32:56" ht="15" customHeight="1" x14ac:dyDescent="0.2">
      <c r="AF682" s="134"/>
      <c r="AG682" s="135"/>
      <c r="AH682" s="135"/>
      <c r="AI682" s="135"/>
      <c r="AJ682" s="135"/>
      <c r="AK682" s="65"/>
      <c r="AL682" s="65"/>
      <c r="AM682" s="65"/>
      <c r="AN682" s="135"/>
      <c r="AO682" s="135"/>
      <c r="AP682" s="135"/>
      <c r="AQ682" s="63"/>
      <c r="AR682" s="135"/>
      <c r="AS682" s="135"/>
      <c r="AT682" s="135"/>
      <c r="AU682" s="63"/>
      <c r="AV682" s="63"/>
      <c r="AW682" s="63"/>
      <c r="AX682" s="63"/>
      <c r="BC682" s="24"/>
      <c r="BD682" s="24"/>
    </row>
    <row r="683" spans="32:56" ht="15" customHeight="1" x14ac:dyDescent="0.2">
      <c r="AF683" s="134"/>
      <c r="AG683" s="135"/>
      <c r="AH683" s="135"/>
      <c r="AI683" s="135"/>
      <c r="AJ683" s="135"/>
      <c r="AK683" s="65"/>
      <c r="AL683" s="65"/>
      <c r="AM683" s="65"/>
      <c r="AN683" s="135"/>
      <c r="AO683" s="135"/>
      <c r="AP683" s="135"/>
      <c r="AQ683" s="63"/>
      <c r="AR683" s="135"/>
      <c r="AS683" s="135"/>
      <c r="AT683" s="135"/>
      <c r="AU683" s="63"/>
      <c r="AV683" s="63"/>
      <c r="AW683" s="63"/>
      <c r="AX683" s="63"/>
      <c r="BC683" s="24"/>
      <c r="BD683" s="24"/>
    </row>
    <row r="684" spans="32:56" ht="15" customHeight="1" x14ac:dyDescent="0.2">
      <c r="AF684" s="134"/>
      <c r="AG684" s="135"/>
      <c r="AH684" s="135"/>
      <c r="AI684" s="135"/>
      <c r="AJ684" s="135"/>
      <c r="AK684" s="65"/>
      <c r="AL684" s="65"/>
      <c r="AM684" s="65"/>
      <c r="AN684" s="135"/>
      <c r="AO684" s="135"/>
      <c r="AP684" s="135"/>
      <c r="AQ684" s="63"/>
      <c r="AR684" s="135"/>
      <c r="AS684" s="135"/>
      <c r="AT684" s="135"/>
      <c r="AU684" s="63"/>
      <c r="AV684" s="63"/>
      <c r="AW684" s="63"/>
      <c r="AX684" s="63"/>
      <c r="BC684" s="24"/>
      <c r="BD684" s="24"/>
    </row>
    <row r="685" spans="32:56" ht="15" customHeight="1" x14ac:dyDescent="0.2">
      <c r="AF685" s="134"/>
      <c r="AG685" s="135"/>
      <c r="AH685" s="135"/>
      <c r="AI685" s="135"/>
      <c r="AJ685" s="135"/>
      <c r="AK685" s="65"/>
      <c r="AL685" s="65"/>
      <c r="AM685" s="65"/>
      <c r="AN685" s="135"/>
      <c r="AO685" s="135"/>
      <c r="AP685" s="135"/>
      <c r="AQ685" s="63"/>
      <c r="AR685" s="135"/>
      <c r="AS685" s="135"/>
      <c r="AT685" s="135"/>
      <c r="AU685" s="63"/>
      <c r="AV685" s="63"/>
      <c r="AW685" s="63"/>
      <c r="AX685" s="63"/>
      <c r="BC685" s="24"/>
      <c r="BD685" s="24"/>
    </row>
    <row r="686" spans="32:56" ht="15" customHeight="1" x14ac:dyDescent="0.2">
      <c r="AF686" s="134"/>
      <c r="AG686" s="135"/>
      <c r="AH686" s="135"/>
      <c r="AI686" s="135"/>
      <c r="AJ686" s="135"/>
      <c r="AK686" s="65"/>
      <c r="AL686" s="65"/>
      <c r="AM686" s="65"/>
      <c r="AN686" s="135"/>
      <c r="AO686" s="135"/>
      <c r="AP686" s="135"/>
      <c r="AQ686" s="63"/>
      <c r="AR686" s="135"/>
      <c r="AS686" s="135"/>
      <c r="AT686" s="135"/>
      <c r="AU686" s="63"/>
      <c r="AV686" s="63"/>
      <c r="AW686" s="63"/>
      <c r="AX686" s="63"/>
      <c r="BC686" s="24"/>
      <c r="BD686" s="24"/>
    </row>
    <row r="687" spans="32:56" ht="15" customHeight="1" x14ac:dyDescent="0.2">
      <c r="AF687" s="134"/>
      <c r="AG687" s="135"/>
      <c r="AH687" s="135"/>
      <c r="AI687" s="135"/>
      <c r="AJ687" s="135"/>
      <c r="AK687" s="65"/>
      <c r="AL687" s="65"/>
      <c r="AM687" s="65"/>
      <c r="AN687" s="135"/>
      <c r="AO687" s="135"/>
      <c r="AP687" s="135"/>
      <c r="AQ687" s="63"/>
      <c r="AR687" s="135"/>
      <c r="AS687" s="135"/>
      <c r="AT687" s="135"/>
      <c r="AU687" s="63"/>
      <c r="AV687" s="63"/>
      <c r="AW687" s="63"/>
      <c r="AX687" s="63"/>
      <c r="BC687" s="24"/>
      <c r="BD687" s="24"/>
    </row>
    <row r="688" spans="32:56" ht="15" customHeight="1" x14ac:dyDescent="0.2">
      <c r="AF688" s="134"/>
      <c r="AG688" s="135"/>
      <c r="AH688" s="135"/>
      <c r="AI688" s="135"/>
      <c r="AJ688" s="135"/>
      <c r="AK688" s="65"/>
      <c r="AL688" s="65"/>
      <c r="AM688" s="65"/>
      <c r="AN688" s="135"/>
      <c r="AO688" s="135"/>
      <c r="AP688" s="135"/>
      <c r="AQ688" s="63"/>
      <c r="AR688" s="135"/>
      <c r="AS688" s="135"/>
      <c r="AT688" s="135"/>
      <c r="AU688" s="63"/>
      <c r="AV688" s="63"/>
      <c r="AW688" s="63"/>
      <c r="AX688" s="63"/>
      <c r="BC688" s="24"/>
      <c r="BD688" s="24"/>
    </row>
    <row r="689" spans="32:56" ht="15" customHeight="1" x14ac:dyDescent="0.2">
      <c r="AF689" s="134"/>
      <c r="AG689" s="135"/>
      <c r="AH689" s="135"/>
      <c r="AI689" s="135"/>
      <c r="AJ689" s="135"/>
      <c r="AK689" s="65"/>
      <c r="AL689" s="65"/>
      <c r="AM689" s="65"/>
      <c r="AN689" s="135"/>
      <c r="AO689" s="135"/>
      <c r="AP689" s="135"/>
      <c r="AQ689" s="63"/>
      <c r="AR689" s="135"/>
      <c r="AS689" s="135"/>
      <c r="AT689" s="135"/>
      <c r="AU689" s="63"/>
      <c r="AV689" s="63"/>
      <c r="AW689" s="63"/>
      <c r="AX689" s="63"/>
      <c r="BC689" s="24"/>
      <c r="BD689" s="24"/>
    </row>
    <row r="690" spans="32:56" ht="15" customHeight="1" x14ac:dyDescent="0.2">
      <c r="AF690" s="134"/>
      <c r="AG690" s="135"/>
      <c r="AH690" s="135"/>
      <c r="AI690" s="135"/>
      <c r="AJ690" s="135"/>
      <c r="AK690" s="65"/>
      <c r="AL690" s="65"/>
      <c r="AM690" s="65"/>
      <c r="AN690" s="135"/>
      <c r="AO690" s="135"/>
      <c r="AP690" s="135"/>
      <c r="AQ690" s="63"/>
      <c r="AR690" s="135"/>
      <c r="AS690" s="135"/>
      <c r="AT690" s="135"/>
      <c r="AU690" s="63"/>
      <c r="AV690" s="63"/>
      <c r="AW690" s="63"/>
      <c r="AX690" s="63"/>
      <c r="BC690" s="24"/>
      <c r="BD690" s="24"/>
    </row>
    <row r="691" spans="32:56" ht="15" customHeight="1" x14ac:dyDescent="0.2">
      <c r="AF691" s="134"/>
      <c r="AG691" s="135"/>
      <c r="AH691" s="135"/>
      <c r="AI691" s="135"/>
      <c r="AJ691" s="135"/>
      <c r="AK691" s="65"/>
      <c r="AL691" s="65"/>
      <c r="AM691" s="65"/>
      <c r="AN691" s="135"/>
      <c r="AO691" s="135"/>
      <c r="AP691" s="135"/>
      <c r="AQ691" s="63"/>
      <c r="AR691" s="135"/>
      <c r="AS691" s="135"/>
      <c r="AT691" s="135"/>
      <c r="AU691" s="63"/>
      <c r="AV691" s="63"/>
      <c r="AW691" s="63"/>
      <c r="AX691" s="63"/>
      <c r="BC691" s="24"/>
      <c r="BD691" s="24"/>
    </row>
    <row r="692" spans="32:56" ht="15" customHeight="1" x14ac:dyDescent="0.2">
      <c r="AF692" s="134"/>
      <c r="AG692" s="135"/>
      <c r="AH692" s="135"/>
      <c r="AI692" s="135"/>
      <c r="AJ692" s="135"/>
      <c r="AK692" s="65"/>
      <c r="AL692" s="65"/>
      <c r="AM692" s="65"/>
      <c r="AN692" s="135"/>
      <c r="AO692" s="135"/>
      <c r="AP692" s="135"/>
      <c r="AQ692" s="63"/>
      <c r="AR692" s="135"/>
      <c r="AS692" s="135"/>
      <c r="AT692" s="135"/>
      <c r="AU692" s="63"/>
      <c r="AV692" s="63"/>
      <c r="AW692" s="63"/>
      <c r="AX692" s="63"/>
      <c r="BC692" s="24"/>
      <c r="BD692" s="24"/>
    </row>
    <row r="693" spans="32:56" ht="15" customHeight="1" x14ac:dyDescent="0.2">
      <c r="AF693" s="134"/>
      <c r="AG693" s="135"/>
      <c r="AH693" s="135"/>
      <c r="AI693" s="135"/>
      <c r="AJ693" s="135"/>
      <c r="AK693" s="65"/>
      <c r="AL693" s="65"/>
      <c r="AM693" s="65"/>
      <c r="AN693" s="135"/>
      <c r="AO693" s="135"/>
      <c r="AP693" s="135"/>
      <c r="AQ693" s="63"/>
      <c r="AR693" s="135"/>
      <c r="AS693" s="135"/>
      <c r="AT693" s="135"/>
      <c r="AU693" s="63"/>
      <c r="AV693" s="63"/>
      <c r="AW693" s="63"/>
      <c r="AX693" s="63"/>
      <c r="BC693" s="24"/>
      <c r="BD693" s="24"/>
    </row>
    <row r="694" spans="32:56" ht="15" customHeight="1" x14ac:dyDescent="0.2">
      <c r="AF694" s="134"/>
      <c r="AG694" s="135"/>
      <c r="AH694" s="135"/>
      <c r="AI694" s="135"/>
      <c r="AJ694" s="135"/>
      <c r="AK694" s="65"/>
      <c r="AL694" s="65"/>
      <c r="AM694" s="65"/>
      <c r="AN694" s="135"/>
      <c r="AO694" s="135"/>
      <c r="AP694" s="135"/>
      <c r="AQ694" s="63"/>
      <c r="AR694" s="135"/>
      <c r="AS694" s="135"/>
      <c r="AT694" s="135"/>
      <c r="AU694" s="63"/>
      <c r="AV694" s="63"/>
      <c r="AW694" s="63"/>
      <c r="AX694" s="63"/>
      <c r="BC694" s="24"/>
      <c r="BD694" s="24"/>
    </row>
    <row r="695" spans="32:56" ht="15" customHeight="1" x14ac:dyDescent="0.2">
      <c r="AF695" s="134"/>
      <c r="AG695" s="135"/>
      <c r="AH695" s="135"/>
      <c r="AI695" s="135"/>
      <c r="AJ695" s="135"/>
      <c r="AK695" s="65"/>
      <c r="AL695" s="65"/>
      <c r="AM695" s="65"/>
      <c r="AN695" s="135"/>
      <c r="AO695" s="135"/>
      <c r="AP695" s="135"/>
      <c r="AQ695" s="63"/>
      <c r="AR695" s="135"/>
      <c r="AS695" s="135"/>
      <c r="AT695" s="135"/>
      <c r="AU695" s="63"/>
      <c r="AV695" s="63"/>
      <c r="AW695" s="63"/>
      <c r="AX695" s="63"/>
      <c r="BC695" s="24"/>
      <c r="BD695" s="24"/>
    </row>
    <row r="696" spans="32:56" ht="15" customHeight="1" x14ac:dyDescent="0.2">
      <c r="AF696" s="134"/>
      <c r="AG696" s="135"/>
      <c r="AH696" s="135"/>
      <c r="AI696" s="135"/>
      <c r="AJ696" s="135"/>
      <c r="AK696" s="65"/>
      <c r="AL696" s="65"/>
      <c r="AM696" s="65"/>
      <c r="AN696" s="135"/>
      <c r="AO696" s="135"/>
      <c r="AP696" s="135"/>
      <c r="AQ696" s="63"/>
      <c r="AR696" s="135"/>
      <c r="AS696" s="135"/>
      <c r="AT696" s="135"/>
      <c r="AU696" s="63"/>
      <c r="AV696" s="63"/>
      <c r="AW696" s="63"/>
      <c r="AX696" s="63"/>
      <c r="BC696" s="24"/>
      <c r="BD696" s="24"/>
    </row>
    <row r="697" spans="32:56" ht="15" customHeight="1" x14ac:dyDescent="0.2">
      <c r="AF697" s="134"/>
      <c r="AG697" s="135"/>
      <c r="AH697" s="135"/>
      <c r="AI697" s="135"/>
      <c r="AJ697" s="135"/>
      <c r="AK697" s="65"/>
      <c r="AL697" s="65"/>
      <c r="AM697" s="65"/>
      <c r="AN697" s="135"/>
      <c r="AO697" s="135"/>
      <c r="AP697" s="135"/>
      <c r="AQ697" s="63"/>
      <c r="AR697" s="135"/>
      <c r="AS697" s="135"/>
      <c r="AT697" s="135"/>
      <c r="AU697" s="63"/>
      <c r="AV697" s="63"/>
      <c r="AW697" s="63"/>
      <c r="AX697" s="63"/>
      <c r="BC697" s="24"/>
      <c r="BD697" s="24"/>
    </row>
    <row r="698" spans="32:56" ht="15" customHeight="1" x14ac:dyDescent="0.2">
      <c r="AF698" s="134"/>
      <c r="AG698" s="135"/>
      <c r="AH698" s="135"/>
      <c r="AI698" s="135"/>
      <c r="AJ698" s="135"/>
      <c r="AK698" s="65"/>
      <c r="AL698" s="65"/>
      <c r="AM698" s="65"/>
      <c r="AN698" s="135"/>
      <c r="AO698" s="135"/>
      <c r="AP698" s="135"/>
      <c r="AQ698" s="63"/>
      <c r="AR698" s="135"/>
      <c r="AS698" s="135"/>
      <c r="AT698" s="135"/>
      <c r="AU698" s="63"/>
      <c r="AV698" s="63"/>
      <c r="AW698" s="63"/>
      <c r="AX698" s="63"/>
      <c r="BC698" s="24"/>
      <c r="BD698" s="24"/>
    </row>
    <row r="699" spans="32:56" ht="15" customHeight="1" x14ac:dyDescent="0.2">
      <c r="AF699" s="134"/>
      <c r="AG699" s="135"/>
      <c r="AH699" s="135"/>
      <c r="AI699" s="135"/>
      <c r="AJ699" s="135"/>
      <c r="AK699" s="65"/>
      <c r="AL699" s="65"/>
      <c r="AM699" s="65"/>
      <c r="AN699" s="135"/>
      <c r="AO699" s="135"/>
      <c r="AP699" s="135"/>
      <c r="AQ699" s="63"/>
      <c r="AR699" s="135"/>
      <c r="AS699" s="135"/>
      <c r="AT699" s="135"/>
      <c r="AU699" s="63"/>
      <c r="AV699" s="63"/>
      <c r="AW699" s="63"/>
      <c r="AX699" s="63"/>
      <c r="BC699" s="24"/>
      <c r="BD699" s="24"/>
    </row>
    <row r="700" spans="32:56" ht="15" customHeight="1" x14ac:dyDescent="0.2">
      <c r="AF700" s="134"/>
      <c r="AG700" s="135"/>
      <c r="AH700" s="135"/>
      <c r="AI700" s="135"/>
      <c r="AJ700" s="135"/>
      <c r="AK700" s="65"/>
      <c r="AL700" s="65"/>
      <c r="AM700" s="65"/>
      <c r="AN700" s="135"/>
      <c r="AO700" s="135"/>
      <c r="AP700" s="135"/>
      <c r="AQ700" s="63"/>
      <c r="AR700" s="135"/>
      <c r="AS700" s="135"/>
      <c r="AT700" s="135"/>
      <c r="AU700" s="63"/>
      <c r="AV700" s="63"/>
      <c r="AW700" s="63"/>
      <c r="AX700" s="63"/>
      <c r="BC700" s="24"/>
      <c r="BD700" s="24"/>
    </row>
    <row r="701" spans="32:56" ht="15" customHeight="1" x14ac:dyDescent="0.2">
      <c r="AF701" s="134"/>
      <c r="AG701" s="135"/>
      <c r="AH701" s="135"/>
      <c r="AI701" s="135"/>
      <c r="AJ701" s="135"/>
      <c r="AK701" s="65"/>
      <c r="AL701" s="65"/>
      <c r="AM701" s="65"/>
      <c r="AN701" s="135"/>
      <c r="AO701" s="135"/>
      <c r="AP701" s="135"/>
      <c r="AQ701" s="63"/>
      <c r="AR701" s="135"/>
      <c r="AS701" s="135"/>
      <c r="AT701" s="135"/>
      <c r="AU701" s="63"/>
      <c r="AV701" s="63"/>
      <c r="AW701" s="63"/>
      <c r="AX701" s="63"/>
      <c r="BC701" s="24"/>
      <c r="BD701" s="24"/>
    </row>
    <row r="702" spans="32:56" ht="15" customHeight="1" x14ac:dyDescent="0.2">
      <c r="AF702" s="134"/>
      <c r="AG702" s="135"/>
      <c r="AH702" s="135"/>
      <c r="AI702" s="135"/>
      <c r="AJ702" s="135"/>
      <c r="AK702" s="65"/>
      <c r="AL702" s="65"/>
      <c r="AM702" s="65"/>
      <c r="AN702" s="135"/>
      <c r="AO702" s="135"/>
      <c r="AP702" s="135"/>
      <c r="AQ702" s="63"/>
      <c r="AR702" s="135"/>
      <c r="AS702" s="135"/>
      <c r="AT702" s="135"/>
      <c r="AU702" s="63"/>
      <c r="AV702" s="63"/>
      <c r="AW702" s="63"/>
      <c r="AX702" s="63"/>
      <c r="BC702" s="24"/>
      <c r="BD702" s="24"/>
    </row>
    <row r="703" spans="32:56" ht="15" customHeight="1" x14ac:dyDescent="0.2">
      <c r="AF703" s="134"/>
      <c r="AG703" s="135"/>
      <c r="AH703" s="135"/>
      <c r="AI703" s="135"/>
      <c r="AJ703" s="135"/>
      <c r="AK703" s="65"/>
      <c r="AL703" s="65"/>
      <c r="AM703" s="65"/>
      <c r="AN703" s="135"/>
      <c r="AO703" s="135"/>
      <c r="AP703" s="135"/>
      <c r="AQ703" s="63"/>
      <c r="AR703" s="135"/>
      <c r="AS703" s="135"/>
      <c r="AT703" s="135"/>
      <c r="AU703" s="63"/>
      <c r="AV703" s="63"/>
      <c r="AW703" s="63"/>
      <c r="AX703" s="63"/>
      <c r="BC703" s="24"/>
      <c r="BD703" s="24"/>
    </row>
    <row r="704" spans="32:56" ht="15" customHeight="1" x14ac:dyDescent="0.2">
      <c r="AF704" s="134"/>
      <c r="AG704" s="135"/>
      <c r="AH704" s="135"/>
      <c r="AI704" s="135"/>
      <c r="AJ704" s="135"/>
      <c r="AK704" s="65"/>
      <c r="AL704" s="65"/>
      <c r="AM704" s="65"/>
      <c r="AN704" s="135"/>
      <c r="AO704" s="135"/>
      <c r="AP704" s="135"/>
      <c r="AQ704" s="63"/>
      <c r="AR704" s="135"/>
      <c r="AS704" s="135"/>
      <c r="AT704" s="135"/>
      <c r="AU704" s="63"/>
      <c r="AV704" s="63"/>
      <c r="AW704" s="63"/>
      <c r="AX704" s="63"/>
      <c r="BC704" s="24"/>
      <c r="BD704" s="24"/>
    </row>
    <row r="705" spans="32:56" ht="15" customHeight="1" x14ac:dyDescent="0.2">
      <c r="AF705" s="134"/>
      <c r="AG705" s="135"/>
      <c r="AH705" s="135"/>
      <c r="AI705" s="135"/>
      <c r="AJ705" s="135"/>
      <c r="AK705" s="65"/>
      <c r="AL705" s="65"/>
      <c r="AM705" s="65"/>
      <c r="AN705" s="135"/>
      <c r="AO705" s="135"/>
      <c r="AP705" s="135"/>
      <c r="AQ705" s="63"/>
      <c r="AR705" s="135"/>
      <c r="AS705" s="135"/>
      <c r="AT705" s="135"/>
      <c r="AU705" s="63"/>
      <c r="AV705" s="63"/>
      <c r="AW705" s="63"/>
      <c r="AX705" s="63"/>
      <c r="BC705" s="24"/>
      <c r="BD705" s="24"/>
    </row>
    <row r="706" spans="32:56" ht="15" customHeight="1" x14ac:dyDescent="0.2">
      <c r="AF706" s="134"/>
      <c r="AG706" s="135"/>
      <c r="AH706" s="135"/>
      <c r="AI706" s="135"/>
      <c r="AJ706" s="135"/>
      <c r="AK706" s="65"/>
      <c r="AL706" s="65"/>
      <c r="AM706" s="65"/>
      <c r="AN706" s="135"/>
      <c r="AO706" s="135"/>
      <c r="AP706" s="135"/>
      <c r="AQ706" s="63"/>
      <c r="AR706" s="135"/>
      <c r="AS706" s="135"/>
      <c r="AT706" s="135"/>
      <c r="AU706" s="63"/>
      <c r="AV706" s="63"/>
      <c r="AW706" s="63"/>
      <c r="AX706" s="63"/>
      <c r="BC706" s="24"/>
      <c r="BD706" s="24"/>
    </row>
    <row r="707" spans="32:56" ht="15" customHeight="1" x14ac:dyDescent="0.2">
      <c r="AF707" s="134"/>
      <c r="AG707" s="135"/>
      <c r="AH707" s="135"/>
      <c r="AI707" s="135"/>
      <c r="AJ707" s="135"/>
      <c r="AK707" s="65"/>
      <c r="AL707" s="65"/>
      <c r="AM707" s="65"/>
      <c r="AN707" s="135"/>
      <c r="AO707" s="135"/>
      <c r="AP707" s="135"/>
      <c r="AQ707" s="63"/>
      <c r="AR707" s="135"/>
      <c r="AS707" s="135"/>
      <c r="AT707" s="135"/>
      <c r="AU707" s="63"/>
      <c r="AV707" s="63"/>
      <c r="AW707" s="63"/>
      <c r="AX707" s="63"/>
      <c r="BC707" s="24"/>
      <c r="BD707" s="24"/>
    </row>
    <row r="708" spans="32:56" ht="15" customHeight="1" x14ac:dyDescent="0.2">
      <c r="AF708" s="134"/>
      <c r="AG708" s="135"/>
      <c r="AH708" s="135"/>
      <c r="AI708" s="135"/>
      <c r="AJ708" s="135"/>
      <c r="AK708" s="65"/>
      <c r="AL708" s="65"/>
      <c r="AM708" s="65"/>
      <c r="AN708" s="135"/>
      <c r="AO708" s="135"/>
      <c r="AP708" s="135"/>
      <c r="AQ708" s="63"/>
      <c r="AR708" s="135"/>
      <c r="AS708" s="135"/>
      <c r="AT708" s="135"/>
      <c r="AU708" s="63"/>
      <c r="AV708" s="63"/>
      <c r="AW708" s="63"/>
      <c r="AX708" s="63"/>
      <c r="BC708" s="24"/>
      <c r="BD708" s="24"/>
    </row>
    <row r="709" spans="32:56" ht="15" customHeight="1" x14ac:dyDescent="0.2">
      <c r="AF709" s="134"/>
      <c r="AG709" s="135"/>
      <c r="AH709" s="135"/>
      <c r="AI709" s="135"/>
      <c r="AJ709" s="135"/>
      <c r="AK709" s="65"/>
      <c r="AL709" s="65"/>
      <c r="AM709" s="65"/>
      <c r="AN709" s="135"/>
      <c r="AO709" s="135"/>
      <c r="AP709" s="135"/>
      <c r="AQ709" s="63"/>
      <c r="AR709" s="135"/>
      <c r="AS709" s="135"/>
      <c r="AT709" s="135"/>
      <c r="AU709" s="63"/>
      <c r="AV709" s="63"/>
      <c r="AW709" s="63"/>
      <c r="AX709" s="63"/>
      <c r="BC709" s="24"/>
      <c r="BD709" s="24"/>
    </row>
    <row r="710" spans="32:56" ht="15" customHeight="1" x14ac:dyDescent="0.2">
      <c r="AF710" s="134"/>
      <c r="AG710" s="135"/>
      <c r="AH710" s="135"/>
      <c r="AI710" s="135"/>
      <c r="AJ710" s="135"/>
      <c r="AK710" s="65"/>
      <c r="AL710" s="65"/>
      <c r="AM710" s="65"/>
      <c r="AN710" s="135"/>
      <c r="AO710" s="135"/>
      <c r="AP710" s="135"/>
      <c r="AQ710" s="63"/>
      <c r="AR710" s="135"/>
      <c r="AS710" s="135"/>
      <c r="AT710" s="135"/>
      <c r="AU710" s="63"/>
      <c r="AV710" s="63"/>
      <c r="AW710" s="63"/>
      <c r="AX710" s="63"/>
      <c r="BC710" s="24"/>
      <c r="BD710" s="24"/>
    </row>
    <row r="711" spans="32:56" ht="15" customHeight="1" x14ac:dyDescent="0.2">
      <c r="AF711" s="134"/>
      <c r="AG711" s="135"/>
      <c r="AH711" s="135"/>
      <c r="AI711" s="135"/>
      <c r="AJ711" s="135"/>
      <c r="AK711" s="65"/>
      <c r="AL711" s="65"/>
      <c r="AM711" s="65"/>
      <c r="AN711" s="135"/>
      <c r="AO711" s="135"/>
      <c r="AP711" s="135"/>
      <c r="AQ711" s="63"/>
      <c r="AR711" s="135"/>
      <c r="AS711" s="135"/>
      <c r="AT711" s="135"/>
      <c r="AU711" s="63"/>
      <c r="AV711" s="63"/>
      <c r="AW711" s="63"/>
      <c r="AX711" s="63"/>
      <c r="BC711" s="24"/>
      <c r="BD711" s="24"/>
    </row>
    <row r="712" spans="32:56" ht="15" customHeight="1" x14ac:dyDescent="0.2">
      <c r="AF712" s="134"/>
      <c r="AG712" s="135"/>
      <c r="AH712" s="135"/>
      <c r="AI712" s="135"/>
      <c r="AJ712" s="135"/>
      <c r="AK712" s="65"/>
      <c r="AL712" s="65"/>
      <c r="AM712" s="65"/>
      <c r="AN712" s="135"/>
      <c r="AO712" s="135"/>
      <c r="AP712" s="135"/>
      <c r="AQ712" s="63"/>
      <c r="AR712" s="135"/>
      <c r="AS712" s="135"/>
      <c r="AT712" s="135"/>
      <c r="AU712" s="63"/>
      <c r="AV712" s="63"/>
      <c r="AW712" s="63"/>
      <c r="AX712" s="63"/>
      <c r="BC712" s="24"/>
      <c r="BD712" s="24"/>
    </row>
    <row r="713" spans="32:56" ht="15" customHeight="1" x14ac:dyDescent="0.2">
      <c r="AF713" s="134"/>
      <c r="AG713" s="135"/>
      <c r="AH713" s="135"/>
      <c r="AI713" s="135"/>
      <c r="AJ713" s="135"/>
      <c r="AK713" s="65"/>
      <c r="AL713" s="65"/>
      <c r="AM713" s="65"/>
      <c r="AN713" s="135"/>
      <c r="AO713" s="135"/>
      <c r="AP713" s="135"/>
      <c r="AQ713" s="63"/>
      <c r="AR713" s="135"/>
      <c r="AS713" s="135"/>
      <c r="AT713" s="135"/>
      <c r="AU713" s="63"/>
      <c r="AV713" s="63"/>
      <c r="AW713" s="63"/>
      <c r="AX713" s="63"/>
      <c r="BC713" s="24"/>
      <c r="BD713" s="24"/>
    </row>
    <row r="714" spans="32:56" ht="15" customHeight="1" x14ac:dyDescent="0.2">
      <c r="AF714" s="134"/>
      <c r="AG714" s="135"/>
      <c r="AH714" s="135"/>
      <c r="AI714" s="135"/>
      <c r="AJ714" s="135"/>
      <c r="AK714" s="65"/>
      <c r="AL714" s="65"/>
      <c r="AM714" s="65"/>
      <c r="AN714" s="135"/>
      <c r="AO714" s="135"/>
      <c r="AP714" s="135"/>
      <c r="AQ714" s="63"/>
      <c r="AR714" s="135"/>
      <c r="AS714" s="135"/>
      <c r="AT714" s="135"/>
      <c r="AU714" s="63"/>
      <c r="AV714" s="63"/>
      <c r="AW714" s="63"/>
      <c r="AX714" s="63"/>
      <c r="BC714" s="24"/>
      <c r="BD714" s="24"/>
    </row>
    <row r="715" spans="32:56" ht="15" customHeight="1" x14ac:dyDescent="0.2">
      <c r="AF715" s="134"/>
      <c r="AG715" s="135"/>
      <c r="AH715" s="135"/>
      <c r="AI715" s="135"/>
      <c r="AJ715" s="135"/>
      <c r="AK715" s="65"/>
      <c r="AL715" s="65"/>
      <c r="AM715" s="65"/>
      <c r="AN715" s="135"/>
      <c r="AO715" s="135"/>
      <c r="AP715" s="135"/>
      <c r="AQ715" s="63"/>
      <c r="AR715" s="135"/>
      <c r="AS715" s="135"/>
      <c r="AT715" s="135"/>
      <c r="AU715" s="63"/>
      <c r="AV715" s="63"/>
      <c r="AW715" s="63"/>
      <c r="AX715" s="63"/>
      <c r="BC715" s="24"/>
      <c r="BD715" s="24"/>
    </row>
    <row r="716" spans="32:56" ht="15" customHeight="1" x14ac:dyDescent="0.2">
      <c r="AF716" s="134"/>
      <c r="AG716" s="135"/>
      <c r="AH716" s="135"/>
      <c r="AI716" s="135"/>
      <c r="AJ716" s="135"/>
      <c r="AK716" s="65"/>
      <c r="AL716" s="65"/>
      <c r="AM716" s="65"/>
      <c r="AN716" s="135"/>
      <c r="AO716" s="135"/>
      <c r="AP716" s="135"/>
      <c r="AQ716" s="63"/>
      <c r="AR716" s="135"/>
      <c r="AS716" s="135"/>
      <c r="AT716" s="135"/>
      <c r="AU716" s="63"/>
      <c r="AV716" s="63"/>
      <c r="AW716" s="63"/>
      <c r="AX716" s="63"/>
      <c r="BC716" s="24"/>
      <c r="BD716" s="24"/>
    </row>
    <row r="717" spans="32:56" ht="15" customHeight="1" x14ac:dyDescent="0.2">
      <c r="AF717" s="134"/>
      <c r="AG717" s="135"/>
      <c r="AH717" s="135"/>
      <c r="AI717" s="135"/>
      <c r="AJ717" s="135"/>
      <c r="AK717" s="65"/>
      <c r="AL717" s="65"/>
      <c r="AM717" s="65"/>
      <c r="AN717" s="135"/>
      <c r="AO717" s="135"/>
      <c r="AP717" s="135"/>
      <c r="AQ717" s="63"/>
      <c r="AR717" s="135"/>
      <c r="AS717" s="135"/>
      <c r="AT717" s="135"/>
      <c r="AU717" s="63"/>
      <c r="AV717" s="63"/>
      <c r="AW717" s="63"/>
      <c r="AX717" s="63"/>
      <c r="BC717" s="24"/>
      <c r="BD717" s="24"/>
    </row>
    <row r="718" spans="32:56" ht="15" customHeight="1" x14ac:dyDescent="0.2">
      <c r="AF718" s="134"/>
      <c r="AG718" s="135"/>
      <c r="AH718" s="135"/>
      <c r="AI718" s="135"/>
      <c r="AJ718" s="135"/>
      <c r="AK718" s="65"/>
      <c r="AL718" s="65"/>
      <c r="AM718" s="65"/>
      <c r="AN718" s="135"/>
      <c r="AO718" s="135"/>
      <c r="AP718" s="135"/>
      <c r="AQ718" s="63"/>
      <c r="AR718" s="135"/>
      <c r="AS718" s="135"/>
      <c r="AT718" s="135"/>
      <c r="AU718" s="63"/>
      <c r="AV718" s="63"/>
      <c r="AW718" s="63"/>
      <c r="AX718" s="63"/>
      <c r="BC718" s="24"/>
      <c r="BD718" s="24"/>
    </row>
    <row r="719" spans="32:56" ht="15" customHeight="1" x14ac:dyDescent="0.2">
      <c r="AF719" s="134"/>
      <c r="AG719" s="135"/>
      <c r="AH719" s="135"/>
      <c r="AI719" s="135"/>
      <c r="AJ719" s="135"/>
      <c r="AK719" s="65"/>
      <c r="AL719" s="65"/>
      <c r="AM719" s="65"/>
      <c r="AN719" s="135"/>
      <c r="AO719" s="135"/>
      <c r="AP719" s="135"/>
      <c r="AQ719" s="63"/>
      <c r="AR719" s="135"/>
      <c r="AS719" s="135"/>
      <c r="AT719" s="135"/>
      <c r="AU719" s="63"/>
      <c r="AV719" s="63"/>
      <c r="AW719" s="63"/>
      <c r="AX719" s="63"/>
      <c r="BC719" s="24"/>
      <c r="BD719" s="24"/>
    </row>
    <row r="720" spans="32:56" ht="15" customHeight="1" x14ac:dyDescent="0.2">
      <c r="AF720" s="134"/>
      <c r="AG720" s="135"/>
      <c r="AH720" s="135"/>
      <c r="AI720" s="135"/>
      <c r="AJ720" s="135"/>
      <c r="AK720" s="65"/>
      <c r="AL720" s="65"/>
      <c r="AM720" s="65"/>
      <c r="AN720" s="135"/>
      <c r="AO720" s="135"/>
      <c r="AP720" s="135"/>
      <c r="AQ720" s="63"/>
      <c r="AR720" s="135"/>
      <c r="AS720" s="135"/>
      <c r="AT720" s="135"/>
      <c r="AU720" s="63"/>
      <c r="AV720" s="63"/>
      <c r="AW720" s="63"/>
      <c r="AX720" s="63"/>
      <c r="BC720" s="24"/>
      <c r="BD720" s="24"/>
    </row>
    <row r="721" spans="32:56" ht="15" customHeight="1" x14ac:dyDescent="0.2">
      <c r="AF721" s="134"/>
      <c r="AG721" s="135"/>
      <c r="AH721" s="135"/>
      <c r="AI721" s="135"/>
      <c r="AJ721" s="135"/>
      <c r="AK721" s="65"/>
      <c r="AL721" s="65"/>
      <c r="AM721" s="65"/>
      <c r="AN721" s="135"/>
      <c r="AO721" s="135"/>
      <c r="AP721" s="135"/>
      <c r="AQ721" s="63"/>
      <c r="AR721" s="135"/>
      <c r="AS721" s="135"/>
      <c r="AT721" s="135"/>
      <c r="AU721" s="63"/>
      <c r="AV721" s="63"/>
      <c r="AW721" s="63"/>
      <c r="AX721" s="63"/>
      <c r="BC721" s="24"/>
      <c r="BD721" s="24"/>
    </row>
    <row r="722" spans="32:56" ht="15" customHeight="1" x14ac:dyDescent="0.2">
      <c r="AF722" s="134"/>
      <c r="AG722" s="135"/>
      <c r="AH722" s="135"/>
      <c r="AI722" s="135"/>
      <c r="AJ722" s="135"/>
      <c r="AK722" s="65"/>
      <c r="AL722" s="65"/>
      <c r="AM722" s="65"/>
      <c r="AN722" s="135"/>
      <c r="AO722" s="135"/>
      <c r="AP722" s="135"/>
      <c r="AQ722" s="63"/>
      <c r="AR722" s="135"/>
      <c r="AS722" s="135"/>
      <c r="AT722" s="135"/>
      <c r="AU722" s="63"/>
      <c r="AV722" s="63"/>
      <c r="AW722" s="63"/>
      <c r="AX722" s="63"/>
      <c r="BC722" s="24"/>
      <c r="BD722" s="24"/>
    </row>
    <row r="723" spans="32:56" ht="15" customHeight="1" x14ac:dyDescent="0.2">
      <c r="AF723" s="134"/>
      <c r="AG723" s="135"/>
      <c r="AH723" s="135"/>
      <c r="AI723" s="135"/>
      <c r="AJ723" s="135"/>
      <c r="AK723" s="65"/>
      <c r="AL723" s="65"/>
      <c r="AM723" s="65"/>
      <c r="AN723" s="135"/>
      <c r="AO723" s="135"/>
      <c r="AP723" s="135"/>
      <c r="AQ723" s="63"/>
      <c r="AR723" s="135"/>
      <c r="AS723" s="135"/>
      <c r="AT723" s="135"/>
      <c r="AU723" s="63"/>
      <c r="AV723" s="63"/>
      <c r="AW723" s="63"/>
      <c r="AX723" s="63"/>
      <c r="BC723" s="24"/>
      <c r="BD723" s="24"/>
    </row>
    <row r="724" spans="32:56" ht="15" customHeight="1" x14ac:dyDescent="0.2">
      <c r="AF724" s="134"/>
      <c r="AG724" s="135"/>
      <c r="AH724" s="135"/>
      <c r="AI724" s="135"/>
      <c r="AJ724" s="135"/>
      <c r="AK724" s="65"/>
      <c r="AL724" s="65"/>
      <c r="AM724" s="65"/>
      <c r="AN724" s="135"/>
      <c r="AO724" s="135"/>
      <c r="AP724" s="135"/>
      <c r="AQ724" s="63"/>
      <c r="AR724" s="135"/>
      <c r="AS724" s="135"/>
      <c r="AT724" s="135"/>
      <c r="AU724" s="63"/>
      <c r="AV724" s="63"/>
      <c r="AW724" s="63"/>
      <c r="AX724" s="63"/>
      <c r="BC724" s="24"/>
      <c r="BD724" s="24"/>
    </row>
    <row r="725" spans="32:56" ht="15" customHeight="1" x14ac:dyDescent="0.2">
      <c r="AF725" s="134"/>
      <c r="AG725" s="135"/>
      <c r="AH725" s="135"/>
      <c r="AI725" s="135"/>
      <c r="AJ725" s="135"/>
      <c r="AK725" s="65"/>
      <c r="AL725" s="65"/>
      <c r="AM725" s="65"/>
      <c r="AN725" s="135"/>
      <c r="AO725" s="135"/>
      <c r="AP725" s="135"/>
      <c r="AQ725" s="63"/>
      <c r="AR725" s="135"/>
      <c r="AS725" s="135"/>
      <c r="AT725" s="135"/>
      <c r="AU725" s="63"/>
      <c r="AV725" s="63"/>
      <c r="AW725" s="63"/>
      <c r="AX725" s="63"/>
      <c r="BC725" s="24"/>
      <c r="BD725" s="24"/>
    </row>
    <row r="726" spans="32:56" ht="15" customHeight="1" x14ac:dyDescent="0.2">
      <c r="AF726" s="134"/>
      <c r="AG726" s="135"/>
      <c r="AH726" s="135"/>
      <c r="AI726" s="135"/>
      <c r="AJ726" s="135"/>
      <c r="AK726" s="65"/>
      <c r="AL726" s="65"/>
      <c r="AM726" s="65"/>
      <c r="AN726" s="135"/>
      <c r="AO726" s="135"/>
      <c r="AP726" s="135"/>
      <c r="AQ726" s="63"/>
      <c r="AR726" s="135"/>
      <c r="AS726" s="135"/>
      <c r="AT726" s="135"/>
      <c r="AU726" s="63"/>
      <c r="AV726" s="63"/>
      <c r="AW726" s="63"/>
      <c r="AX726" s="63"/>
      <c r="BC726" s="24"/>
      <c r="BD726" s="24"/>
    </row>
    <row r="727" spans="32:56" ht="15" customHeight="1" x14ac:dyDescent="0.2">
      <c r="AF727" s="134"/>
      <c r="AG727" s="135"/>
      <c r="AH727" s="135"/>
      <c r="AI727" s="135"/>
      <c r="AJ727" s="135"/>
      <c r="AK727" s="65"/>
      <c r="AL727" s="65"/>
      <c r="AM727" s="65"/>
      <c r="AN727" s="135"/>
      <c r="AO727" s="135"/>
      <c r="AP727" s="135"/>
      <c r="AQ727" s="63"/>
      <c r="AR727" s="135"/>
      <c r="AS727" s="135"/>
      <c r="AT727" s="135"/>
      <c r="AU727" s="63"/>
      <c r="AV727" s="63"/>
      <c r="AW727" s="63"/>
      <c r="AX727" s="63"/>
      <c r="BC727" s="24"/>
      <c r="BD727" s="24"/>
    </row>
    <row r="728" spans="32:56" ht="15" customHeight="1" x14ac:dyDescent="0.2">
      <c r="AF728" s="134"/>
      <c r="AG728" s="135"/>
      <c r="AH728" s="135"/>
      <c r="AI728" s="135"/>
      <c r="AJ728" s="135"/>
      <c r="AK728" s="65"/>
      <c r="AL728" s="65"/>
      <c r="AM728" s="65"/>
      <c r="AN728" s="135"/>
      <c r="AO728" s="135"/>
      <c r="AP728" s="135"/>
      <c r="AQ728" s="63"/>
      <c r="AR728" s="135"/>
      <c r="AS728" s="135"/>
      <c r="AT728" s="135"/>
      <c r="AU728" s="63"/>
      <c r="AV728" s="63"/>
      <c r="AW728" s="63"/>
      <c r="AX728" s="63"/>
      <c r="BC728" s="24"/>
      <c r="BD728" s="24"/>
    </row>
    <row r="729" spans="32:56" ht="15" customHeight="1" x14ac:dyDescent="0.2">
      <c r="AF729" s="134"/>
      <c r="AG729" s="135"/>
      <c r="AH729" s="135"/>
      <c r="AI729" s="135"/>
      <c r="AJ729" s="135"/>
      <c r="AK729" s="65"/>
      <c r="AL729" s="65"/>
      <c r="AM729" s="65"/>
      <c r="AN729" s="135"/>
      <c r="AO729" s="135"/>
      <c r="AP729" s="135"/>
      <c r="AQ729" s="63"/>
      <c r="AR729" s="135"/>
      <c r="AS729" s="135"/>
      <c r="AT729" s="135"/>
      <c r="AU729" s="63"/>
      <c r="AV729" s="63"/>
      <c r="AW729" s="63"/>
      <c r="AX729" s="63"/>
      <c r="BC729" s="24"/>
      <c r="BD729" s="24"/>
    </row>
    <row r="730" spans="32:56" ht="15" customHeight="1" x14ac:dyDescent="0.2">
      <c r="AF730" s="134"/>
      <c r="AG730" s="135"/>
      <c r="AH730" s="135"/>
      <c r="AI730" s="135"/>
      <c r="AJ730" s="135"/>
      <c r="AK730" s="65"/>
      <c r="AL730" s="65"/>
      <c r="AM730" s="65"/>
      <c r="AN730" s="135"/>
      <c r="AO730" s="135"/>
      <c r="AP730" s="135"/>
      <c r="AQ730" s="63"/>
      <c r="AR730" s="135"/>
      <c r="AS730" s="135"/>
      <c r="AT730" s="135"/>
      <c r="AU730" s="63"/>
      <c r="AV730" s="63"/>
      <c r="AW730" s="63"/>
      <c r="AX730" s="63"/>
      <c r="BC730" s="24"/>
      <c r="BD730" s="24"/>
    </row>
    <row r="731" spans="32:56" ht="15" customHeight="1" x14ac:dyDescent="0.2">
      <c r="AF731" s="134"/>
      <c r="AG731" s="135"/>
      <c r="AH731" s="135"/>
      <c r="AI731" s="135"/>
      <c r="AJ731" s="135"/>
      <c r="AK731" s="65"/>
      <c r="AL731" s="65"/>
      <c r="AM731" s="65"/>
      <c r="AN731" s="135"/>
      <c r="AO731" s="135"/>
      <c r="AP731" s="135"/>
      <c r="AQ731" s="63"/>
      <c r="AR731" s="135"/>
      <c r="AS731" s="135"/>
      <c r="AT731" s="135"/>
      <c r="AU731" s="63"/>
      <c r="AV731" s="63"/>
      <c r="AW731" s="63"/>
      <c r="AX731" s="63"/>
      <c r="BC731" s="24"/>
      <c r="BD731" s="24"/>
    </row>
    <row r="732" spans="32:56" ht="15" customHeight="1" x14ac:dyDescent="0.2">
      <c r="AF732" s="134"/>
      <c r="AG732" s="135"/>
      <c r="AH732" s="135"/>
      <c r="AI732" s="135"/>
      <c r="AJ732" s="135"/>
      <c r="AK732" s="65"/>
      <c r="AL732" s="65"/>
      <c r="AM732" s="65"/>
      <c r="AN732" s="135"/>
      <c r="AO732" s="135"/>
      <c r="AP732" s="135"/>
      <c r="AQ732" s="63"/>
      <c r="AR732" s="135"/>
      <c r="AS732" s="135"/>
      <c r="AT732" s="135"/>
      <c r="AU732" s="63"/>
      <c r="AV732" s="63"/>
      <c r="AW732" s="63"/>
      <c r="AX732" s="63"/>
      <c r="BC732" s="24"/>
      <c r="BD732" s="24"/>
    </row>
    <row r="733" spans="32:56" ht="15" customHeight="1" x14ac:dyDescent="0.2">
      <c r="AF733" s="134"/>
      <c r="AG733" s="135"/>
      <c r="AH733" s="135"/>
      <c r="AI733" s="135"/>
      <c r="AJ733" s="135"/>
      <c r="AK733" s="65"/>
      <c r="AL733" s="65"/>
      <c r="AM733" s="65"/>
      <c r="AN733" s="135"/>
      <c r="AO733" s="135"/>
      <c r="AP733" s="135"/>
      <c r="AQ733" s="63"/>
      <c r="AR733" s="135"/>
      <c r="AS733" s="135"/>
      <c r="AT733" s="135"/>
      <c r="AU733" s="63"/>
      <c r="AV733" s="63"/>
      <c r="AW733" s="63"/>
      <c r="AX733" s="63"/>
      <c r="BC733" s="24"/>
      <c r="BD733" s="24"/>
    </row>
    <row r="734" spans="32:56" ht="15" customHeight="1" x14ac:dyDescent="0.2">
      <c r="AF734" s="134"/>
      <c r="AG734" s="135"/>
      <c r="AH734" s="135"/>
      <c r="AI734" s="135"/>
      <c r="AJ734" s="135"/>
      <c r="AK734" s="65"/>
      <c r="AL734" s="65"/>
      <c r="AM734" s="65"/>
      <c r="AN734" s="135"/>
      <c r="AO734" s="135"/>
      <c r="AP734" s="135"/>
      <c r="AQ734" s="63"/>
      <c r="AR734" s="135"/>
      <c r="AS734" s="135"/>
      <c r="AT734" s="135"/>
      <c r="AU734" s="63"/>
      <c r="AV734" s="63"/>
      <c r="AW734" s="63"/>
      <c r="AX734" s="63"/>
      <c r="BC734" s="24"/>
      <c r="BD734" s="24"/>
    </row>
    <row r="735" spans="32:56" ht="15" customHeight="1" x14ac:dyDescent="0.2">
      <c r="AF735" s="134"/>
      <c r="AG735" s="135"/>
      <c r="AH735" s="135"/>
      <c r="AI735" s="135"/>
      <c r="AJ735" s="135"/>
      <c r="AK735" s="65"/>
      <c r="AL735" s="65"/>
      <c r="AM735" s="65"/>
      <c r="AN735" s="135"/>
      <c r="AO735" s="135"/>
      <c r="AP735" s="135"/>
      <c r="AQ735" s="63"/>
      <c r="AR735" s="135"/>
      <c r="AS735" s="135"/>
      <c r="AT735" s="135"/>
      <c r="AU735" s="63"/>
      <c r="AV735" s="63"/>
      <c r="AW735" s="63"/>
      <c r="AX735" s="63"/>
      <c r="BC735" s="24"/>
      <c r="BD735" s="24"/>
    </row>
    <row r="736" spans="32:56" ht="15" customHeight="1" x14ac:dyDescent="0.2">
      <c r="AF736" s="134"/>
      <c r="AG736" s="135"/>
      <c r="AH736" s="135"/>
      <c r="AI736" s="135"/>
      <c r="AJ736" s="135"/>
      <c r="AK736" s="65"/>
      <c r="AL736" s="65"/>
      <c r="AM736" s="65"/>
      <c r="AN736" s="135"/>
      <c r="AO736" s="135"/>
      <c r="AP736" s="135"/>
      <c r="AQ736" s="63"/>
      <c r="AR736" s="135"/>
      <c r="AS736" s="135"/>
      <c r="AT736" s="135"/>
      <c r="AU736" s="63"/>
      <c r="AV736" s="63"/>
      <c r="AW736" s="63"/>
      <c r="AX736" s="63"/>
      <c r="BC736" s="24"/>
      <c r="BD736" s="24"/>
    </row>
    <row r="737" spans="32:56" ht="15" customHeight="1" x14ac:dyDescent="0.2">
      <c r="AF737" s="134"/>
      <c r="AG737" s="135"/>
      <c r="AH737" s="135"/>
      <c r="AI737" s="135"/>
      <c r="AJ737" s="135"/>
      <c r="AK737" s="65"/>
      <c r="AL737" s="65"/>
      <c r="AM737" s="65"/>
      <c r="AN737" s="135"/>
      <c r="AO737" s="135"/>
      <c r="AP737" s="135"/>
      <c r="AQ737" s="63"/>
      <c r="AR737" s="135"/>
      <c r="AS737" s="135"/>
      <c r="AT737" s="135"/>
      <c r="AU737" s="63"/>
      <c r="AV737" s="63"/>
      <c r="AW737" s="63"/>
      <c r="AX737" s="63"/>
      <c r="BC737" s="24"/>
      <c r="BD737" s="24"/>
    </row>
    <row r="738" spans="32:56" ht="15" customHeight="1" x14ac:dyDescent="0.2">
      <c r="AF738" s="134"/>
      <c r="AG738" s="135"/>
      <c r="AH738" s="135"/>
      <c r="AI738" s="135"/>
      <c r="AJ738" s="135"/>
      <c r="AK738" s="65"/>
      <c r="AL738" s="65"/>
      <c r="AM738" s="65"/>
      <c r="AN738" s="135"/>
      <c r="AO738" s="135"/>
      <c r="AP738" s="135"/>
      <c r="AQ738" s="63"/>
      <c r="AR738" s="135"/>
      <c r="AS738" s="135"/>
      <c r="AT738" s="135"/>
      <c r="AU738" s="63"/>
      <c r="AV738" s="63"/>
      <c r="AW738" s="63"/>
      <c r="AX738" s="63"/>
      <c r="BC738" s="24"/>
      <c r="BD738" s="24"/>
    </row>
    <row r="739" spans="32:56" ht="15" customHeight="1" x14ac:dyDescent="0.2">
      <c r="AF739" s="134"/>
      <c r="AG739" s="135"/>
      <c r="AH739" s="135"/>
      <c r="AI739" s="135"/>
      <c r="AJ739" s="135"/>
      <c r="AK739" s="65"/>
      <c r="AL739" s="65"/>
      <c r="AM739" s="65"/>
      <c r="AN739" s="135"/>
      <c r="AO739" s="135"/>
      <c r="AP739" s="135"/>
      <c r="AQ739" s="63"/>
      <c r="AR739" s="135"/>
      <c r="AS739" s="135"/>
      <c r="AT739" s="135"/>
      <c r="AU739" s="63"/>
      <c r="AV739" s="63"/>
      <c r="AW739" s="63"/>
      <c r="AX739" s="63"/>
      <c r="BC739" s="24"/>
      <c r="BD739" s="24"/>
    </row>
    <row r="740" spans="32:56" ht="15" customHeight="1" x14ac:dyDescent="0.2">
      <c r="AF740" s="134"/>
      <c r="AG740" s="135"/>
      <c r="AH740" s="135"/>
      <c r="AI740" s="135"/>
      <c r="AJ740" s="135"/>
      <c r="AK740" s="65"/>
      <c r="AL740" s="65"/>
      <c r="AM740" s="65"/>
      <c r="AN740" s="135"/>
      <c r="AO740" s="135"/>
      <c r="AP740" s="135"/>
      <c r="AQ740" s="63"/>
      <c r="AR740" s="135"/>
      <c r="AS740" s="135"/>
      <c r="AT740" s="135"/>
      <c r="AU740" s="63"/>
      <c r="AV740" s="63"/>
      <c r="AW740" s="63"/>
      <c r="AX740" s="63"/>
      <c r="BC740" s="24"/>
      <c r="BD740" s="24"/>
    </row>
    <row r="741" spans="32:56" ht="15" customHeight="1" x14ac:dyDescent="0.2">
      <c r="AF741" s="134"/>
      <c r="AG741" s="135"/>
      <c r="AH741" s="135"/>
      <c r="AI741" s="135"/>
      <c r="AJ741" s="135"/>
      <c r="AK741" s="65"/>
      <c r="AL741" s="65"/>
      <c r="AM741" s="65"/>
      <c r="AN741" s="135"/>
      <c r="AO741" s="135"/>
      <c r="AP741" s="135"/>
      <c r="AQ741" s="63"/>
      <c r="AR741" s="135"/>
      <c r="AS741" s="135"/>
      <c r="AT741" s="135"/>
      <c r="AU741" s="63"/>
      <c r="AV741" s="63"/>
      <c r="AW741" s="63"/>
      <c r="AX741" s="63"/>
      <c r="BC741" s="24"/>
      <c r="BD741" s="24"/>
    </row>
    <row r="742" spans="32:56" ht="15" customHeight="1" x14ac:dyDescent="0.2">
      <c r="AF742" s="134"/>
      <c r="AG742" s="135"/>
      <c r="AH742" s="135"/>
      <c r="AI742" s="135"/>
      <c r="AJ742" s="135"/>
      <c r="AK742" s="65"/>
      <c r="AL742" s="65"/>
      <c r="AM742" s="65"/>
      <c r="AN742" s="135"/>
      <c r="AO742" s="135"/>
      <c r="AP742" s="135"/>
      <c r="AQ742" s="63"/>
      <c r="AR742" s="135"/>
      <c r="AS742" s="135"/>
      <c r="AT742" s="135"/>
      <c r="AU742" s="63"/>
      <c r="AV742" s="63"/>
      <c r="AW742" s="63"/>
      <c r="AX742" s="63"/>
      <c r="BC742" s="24"/>
      <c r="BD742" s="24"/>
    </row>
    <row r="743" spans="32:56" ht="15" customHeight="1" x14ac:dyDescent="0.2">
      <c r="AF743" s="134"/>
      <c r="AG743" s="135"/>
      <c r="AH743" s="135"/>
      <c r="AI743" s="135"/>
      <c r="AJ743" s="135"/>
      <c r="AK743" s="65"/>
      <c r="AL743" s="65"/>
      <c r="AM743" s="65"/>
      <c r="AN743" s="135"/>
      <c r="AO743" s="135"/>
      <c r="AP743" s="135"/>
      <c r="AQ743" s="63"/>
      <c r="AR743" s="135"/>
      <c r="AS743" s="135"/>
      <c r="AT743" s="135"/>
      <c r="AU743" s="63"/>
      <c r="AV743" s="63"/>
      <c r="AW743" s="63"/>
      <c r="AX743" s="63"/>
      <c r="BC743" s="24"/>
      <c r="BD743" s="24"/>
    </row>
    <row r="744" spans="32:56" ht="15" customHeight="1" x14ac:dyDescent="0.2">
      <c r="AF744" s="134"/>
      <c r="AG744" s="135"/>
      <c r="AH744" s="135"/>
      <c r="AI744" s="135"/>
      <c r="AJ744" s="135"/>
      <c r="AK744" s="65"/>
      <c r="AL744" s="65"/>
      <c r="AM744" s="65"/>
      <c r="AN744" s="135"/>
      <c r="AO744" s="135"/>
      <c r="AP744" s="135"/>
      <c r="AQ744" s="63"/>
      <c r="AR744" s="135"/>
      <c r="AS744" s="135"/>
      <c r="AT744" s="135"/>
      <c r="AU744" s="63"/>
      <c r="AV744" s="63"/>
      <c r="AW744" s="63"/>
      <c r="AX744" s="63"/>
      <c r="BC744" s="24"/>
      <c r="BD744" s="24"/>
    </row>
    <row r="745" spans="32:56" ht="15" customHeight="1" x14ac:dyDescent="0.2">
      <c r="AF745" s="134"/>
      <c r="AG745" s="135"/>
      <c r="AH745" s="135"/>
      <c r="AI745" s="135"/>
      <c r="AJ745" s="135"/>
      <c r="AK745" s="65"/>
      <c r="AL745" s="65"/>
      <c r="AM745" s="65"/>
      <c r="AN745" s="135"/>
      <c r="AO745" s="135"/>
      <c r="AP745" s="135"/>
      <c r="AQ745" s="63"/>
      <c r="AR745" s="135"/>
      <c r="AS745" s="135"/>
      <c r="AT745" s="135"/>
      <c r="AU745" s="63"/>
      <c r="AV745" s="63"/>
      <c r="AW745" s="63"/>
      <c r="AX745" s="63"/>
      <c r="BC745" s="24"/>
      <c r="BD745" s="24"/>
    </row>
    <row r="746" spans="32:56" ht="15" customHeight="1" x14ac:dyDescent="0.2">
      <c r="AF746" s="134"/>
      <c r="AG746" s="135"/>
      <c r="AH746" s="135"/>
      <c r="AI746" s="135"/>
      <c r="AJ746" s="135"/>
      <c r="AK746" s="65"/>
      <c r="AL746" s="65"/>
      <c r="AM746" s="65"/>
      <c r="AN746" s="135"/>
      <c r="AO746" s="135"/>
      <c r="AP746" s="135"/>
      <c r="AQ746" s="63"/>
      <c r="AR746" s="135"/>
      <c r="AS746" s="135"/>
      <c r="AT746" s="135"/>
      <c r="AU746" s="63"/>
      <c r="AV746" s="63"/>
      <c r="AW746" s="63"/>
      <c r="AX746" s="63"/>
      <c r="BC746" s="24"/>
      <c r="BD746" s="24"/>
    </row>
    <row r="747" spans="32:56" ht="15" customHeight="1" x14ac:dyDescent="0.2">
      <c r="AF747" s="134"/>
      <c r="AG747" s="135"/>
      <c r="AH747" s="135"/>
      <c r="AI747" s="135"/>
      <c r="AJ747" s="135"/>
      <c r="AK747" s="65"/>
      <c r="AL747" s="65"/>
      <c r="AM747" s="65"/>
      <c r="AN747" s="135"/>
      <c r="AO747" s="135"/>
      <c r="AP747" s="135"/>
      <c r="AQ747" s="63"/>
      <c r="AR747" s="135"/>
      <c r="AS747" s="135"/>
      <c r="AT747" s="135"/>
      <c r="AU747" s="63"/>
      <c r="AV747" s="63"/>
      <c r="AW747" s="63"/>
      <c r="AX747" s="63"/>
      <c r="BC747" s="24"/>
      <c r="BD747" s="24"/>
    </row>
    <row r="748" spans="32:56" ht="15" customHeight="1" x14ac:dyDescent="0.2">
      <c r="AF748" s="134"/>
      <c r="AG748" s="135"/>
      <c r="AH748" s="135"/>
      <c r="AI748" s="135"/>
      <c r="AJ748" s="135"/>
      <c r="AK748" s="65"/>
      <c r="AL748" s="65"/>
      <c r="AM748" s="65"/>
      <c r="AN748" s="135"/>
      <c r="AO748" s="135"/>
      <c r="AP748" s="135"/>
      <c r="AQ748" s="63"/>
      <c r="AR748" s="135"/>
      <c r="AS748" s="135"/>
      <c r="AT748" s="135"/>
      <c r="AU748" s="63"/>
      <c r="AV748" s="63"/>
      <c r="AW748" s="63"/>
      <c r="AX748" s="63"/>
      <c r="BC748" s="24"/>
      <c r="BD748" s="24"/>
    </row>
    <row r="749" spans="32:56" ht="15" customHeight="1" x14ac:dyDescent="0.2">
      <c r="AF749" s="134"/>
      <c r="AG749" s="135"/>
      <c r="AH749" s="135"/>
      <c r="AI749" s="135"/>
      <c r="AJ749" s="135"/>
      <c r="AK749" s="65"/>
      <c r="AL749" s="65"/>
      <c r="AM749" s="65"/>
      <c r="AN749" s="135"/>
      <c r="AO749" s="135"/>
      <c r="AP749" s="135"/>
      <c r="AQ749" s="63"/>
      <c r="AR749" s="135"/>
      <c r="AS749" s="135"/>
      <c r="AT749" s="135"/>
      <c r="AU749" s="63"/>
      <c r="AV749" s="63"/>
      <c r="AW749" s="63"/>
      <c r="AX749" s="63"/>
      <c r="BC749" s="24"/>
      <c r="BD749" s="24"/>
    </row>
    <row r="750" spans="32:56" ht="15" customHeight="1" x14ac:dyDescent="0.2">
      <c r="AF750" s="134"/>
      <c r="AG750" s="135"/>
      <c r="AH750" s="135"/>
      <c r="AI750" s="135"/>
      <c r="AJ750" s="135"/>
      <c r="AK750" s="65"/>
      <c r="AL750" s="65"/>
      <c r="AM750" s="65"/>
      <c r="AN750" s="135"/>
      <c r="AO750" s="135"/>
      <c r="AP750" s="135"/>
      <c r="AQ750" s="63"/>
      <c r="AR750" s="135"/>
      <c r="AS750" s="135"/>
      <c r="AT750" s="135"/>
      <c r="AU750" s="63"/>
      <c r="AV750" s="63"/>
      <c r="AW750" s="63"/>
      <c r="AX750" s="63"/>
      <c r="BC750" s="24"/>
      <c r="BD750" s="24"/>
    </row>
    <row r="751" spans="32:56" ht="15" customHeight="1" x14ac:dyDescent="0.2">
      <c r="AF751" s="134"/>
      <c r="AG751" s="135"/>
      <c r="AH751" s="135"/>
      <c r="AI751" s="135"/>
      <c r="AJ751" s="135"/>
      <c r="AK751" s="65"/>
      <c r="AL751" s="65"/>
      <c r="AM751" s="65"/>
      <c r="AN751" s="135"/>
      <c r="AO751" s="135"/>
      <c r="AP751" s="135"/>
      <c r="AQ751" s="63"/>
      <c r="AR751" s="135"/>
      <c r="AS751" s="135"/>
      <c r="AT751" s="135"/>
      <c r="AU751" s="63"/>
      <c r="AV751" s="63"/>
      <c r="AW751" s="63"/>
      <c r="AX751" s="63"/>
      <c r="BC751" s="24"/>
      <c r="BD751" s="24"/>
    </row>
    <row r="752" spans="32:56" ht="15" customHeight="1" x14ac:dyDescent="0.2">
      <c r="AF752" s="134"/>
      <c r="AG752" s="135"/>
      <c r="AH752" s="135"/>
      <c r="AI752" s="135"/>
      <c r="AJ752" s="135"/>
      <c r="AK752" s="65"/>
      <c r="AL752" s="65"/>
      <c r="AM752" s="65"/>
      <c r="AN752" s="135"/>
      <c r="AO752" s="135"/>
      <c r="AP752" s="135"/>
      <c r="AQ752" s="63"/>
      <c r="AR752" s="135"/>
      <c r="AS752" s="135"/>
      <c r="AT752" s="135"/>
      <c r="AU752" s="63"/>
      <c r="AV752" s="63"/>
      <c r="AW752" s="63"/>
      <c r="AX752" s="63"/>
      <c r="BC752" s="24"/>
      <c r="BD752" s="24"/>
    </row>
    <row r="753" spans="32:56" ht="15" customHeight="1" x14ac:dyDescent="0.2">
      <c r="AF753" s="134"/>
      <c r="AG753" s="135"/>
      <c r="AH753" s="135"/>
      <c r="AI753" s="135"/>
      <c r="AJ753" s="135"/>
      <c r="AK753" s="65"/>
      <c r="AL753" s="65"/>
      <c r="AM753" s="65"/>
      <c r="AN753" s="135"/>
      <c r="AO753" s="135"/>
      <c r="AP753" s="135"/>
      <c r="AQ753" s="63"/>
      <c r="AR753" s="135"/>
      <c r="AS753" s="135"/>
      <c r="AT753" s="135"/>
      <c r="AU753" s="63"/>
      <c r="AV753" s="63"/>
      <c r="AW753" s="63"/>
      <c r="AX753" s="63"/>
      <c r="BC753" s="24"/>
      <c r="BD753" s="24"/>
    </row>
    <row r="754" spans="32:56" ht="15" customHeight="1" x14ac:dyDescent="0.2">
      <c r="AF754" s="134"/>
      <c r="AG754" s="135"/>
      <c r="AH754" s="135"/>
      <c r="AI754" s="135"/>
      <c r="AJ754" s="135"/>
      <c r="AK754" s="65"/>
      <c r="AL754" s="65"/>
      <c r="AM754" s="65"/>
      <c r="AN754" s="135"/>
      <c r="AO754" s="135"/>
      <c r="AP754" s="135"/>
      <c r="AQ754" s="63"/>
      <c r="AR754" s="135"/>
      <c r="AS754" s="135"/>
      <c r="AT754" s="135"/>
      <c r="AU754" s="63"/>
      <c r="AV754" s="63"/>
      <c r="AW754" s="63"/>
      <c r="AX754" s="63"/>
      <c r="BC754" s="24"/>
      <c r="BD754" s="24"/>
    </row>
    <row r="755" spans="32:56" ht="15" customHeight="1" x14ac:dyDescent="0.2">
      <c r="AF755" s="134"/>
      <c r="AG755" s="135"/>
      <c r="AH755" s="135"/>
      <c r="AI755" s="135"/>
      <c r="AJ755" s="135"/>
      <c r="AK755" s="65"/>
      <c r="AL755" s="65"/>
      <c r="AM755" s="65"/>
      <c r="AN755" s="135"/>
      <c r="AO755" s="135"/>
      <c r="AP755" s="135"/>
      <c r="AQ755" s="63"/>
      <c r="AR755" s="135"/>
      <c r="AS755" s="135"/>
      <c r="AT755" s="135"/>
      <c r="AU755" s="63"/>
      <c r="AV755" s="63"/>
      <c r="AW755" s="63"/>
      <c r="AX755" s="63"/>
      <c r="BC755" s="24"/>
      <c r="BD755" s="24"/>
    </row>
    <row r="756" spans="32:56" ht="15" customHeight="1" x14ac:dyDescent="0.2">
      <c r="AF756" s="134"/>
      <c r="AG756" s="135"/>
      <c r="AH756" s="135"/>
      <c r="AI756" s="135"/>
      <c r="AJ756" s="135"/>
      <c r="AK756" s="65"/>
      <c r="AL756" s="65"/>
      <c r="AM756" s="65"/>
      <c r="AN756" s="135"/>
      <c r="AO756" s="135"/>
      <c r="AP756" s="135"/>
      <c r="AQ756" s="63"/>
      <c r="AR756" s="135"/>
      <c r="AS756" s="135"/>
      <c r="AT756" s="135"/>
      <c r="AU756" s="63"/>
      <c r="AV756" s="63"/>
      <c r="AW756" s="63"/>
      <c r="AX756" s="63"/>
      <c r="BC756" s="24"/>
      <c r="BD756" s="24"/>
    </row>
    <row r="757" spans="32:56" ht="15" customHeight="1" x14ac:dyDescent="0.2">
      <c r="AF757" s="134"/>
      <c r="AG757" s="135"/>
      <c r="AH757" s="135"/>
      <c r="AI757" s="135"/>
      <c r="AJ757" s="135"/>
      <c r="AK757" s="65"/>
      <c r="AL757" s="65"/>
      <c r="AM757" s="65"/>
      <c r="AN757" s="135"/>
      <c r="AO757" s="135"/>
      <c r="AP757" s="135"/>
      <c r="AQ757" s="63"/>
      <c r="AR757" s="135"/>
      <c r="AS757" s="135"/>
      <c r="AT757" s="135"/>
      <c r="AU757" s="63"/>
      <c r="AV757" s="63"/>
      <c r="AW757" s="63"/>
      <c r="AX757" s="63"/>
      <c r="BC757" s="24"/>
      <c r="BD757" s="24"/>
    </row>
    <row r="758" spans="32:56" ht="15" customHeight="1" x14ac:dyDescent="0.2">
      <c r="AF758" s="134"/>
      <c r="AG758" s="135"/>
      <c r="AH758" s="135"/>
      <c r="AI758" s="135"/>
      <c r="AJ758" s="135"/>
      <c r="AK758" s="65"/>
      <c r="AL758" s="65"/>
      <c r="AM758" s="65"/>
      <c r="AN758" s="135"/>
      <c r="AO758" s="135"/>
      <c r="AP758" s="135"/>
      <c r="AQ758" s="63"/>
      <c r="AR758" s="135"/>
      <c r="AS758" s="135"/>
      <c r="AT758" s="135"/>
      <c r="AU758" s="63"/>
      <c r="AV758" s="63"/>
      <c r="AW758" s="63"/>
      <c r="AX758" s="63"/>
      <c r="BC758" s="24"/>
      <c r="BD758" s="24"/>
    </row>
    <row r="759" spans="32:56" ht="15" customHeight="1" x14ac:dyDescent="0.2">
      <c r="AF759" s="134"/>
      <c r="AG759" s="135"/>
      <c r="AH759" s="135"/>
      <c r="AI759" s="135"/>
      <c r="AJ759" s="135"/>
      <c r="AK759" s="65"/>
      <c r="AL759" s="65"/>
      <c r="AM759" s="65"/>
      <c r="AN759" s="135"/>
      <c r="AO759" s="135"/>
      <c r="AP759" s="135"/>
      <c r="AQ759" s="63"/>
      <c r="AR759" s="135"/>
      <c r="AS759" s="135"/>
      <c r="AT759" s="135"/>
      <c r="AU759" s="63"/>
      <c r="AV759" s="63"/>
      <c r="AW759" s="63"/>
      <c r="AX759" s="63"/>
      <c r="BC759" s="24"/>
      <c r="BD759" s="24"/>
    </row>
    <row r="760" spans="32:56" ht="15" customHeight="1" x14ac:dyDescent="0.2">
      <c r="AF760" s="134"/>
      <c r="AG760" s="135"/>
      <c r="AH760" s="135"/>
      <c r="AI760" s="135"/>
      <c r="AJ760" s="135"/>
      <c r="AK760" s="65"/>
      <c r="AL760" s="65"/>
      <c r="AM760" s="65"/>
      <c r="AN760" s="135"/>
      <c r="AO760" s="135"/>
      <c r="AP760" s="135"/>
      <c r="AQ760" s="63"/>
      <c r="AR760" s="135"/>
      <c r="AS760" s="135"/>
      <c r="AT760" s="135"/>
      <c r="AU760" s="63"/>
      <c r="AV760" s="63"/>
      <c r="AW760" s="63"/>
      <c r="AX760" s="63"/>
      <c r="BC760" s="24"/>
      <c r="BD760" s="24"/>
    </row>
    <row r="761" spans="32:56" ht="15" customHeight="1" x14ac:dyDescent="0.2">
      <c r="AF761" s="134"/>
      <c r="AG761" s="135"/>
      <c r="AH761" s="135"/>
      <c r="AI761" s="135"/>
      <c r="AJ761" s="135"/>
      <c r="AK761" s="65"/>
      <c r="AL761" s="65"/>
      <c r="AM761" s="65"/>
      <c r="AN761" s="135"/>
      <c r="AO761" s="135"/>
      <c r="AP761" s="135"/>
      <c r="AQ761" s="63"/>
      <c r="AR761" s="135"/>
      <c r="AS761" s="135"/>
      <c r="AT761" s="135"/>
      <c r="AU761" s="63"/>
      <c r="AV761" s="63"/>
      <c r="AW761" s="63"/>
      <c r="AX761" s="63"/>
      <c r="BC761" s="24"/>
      <c r="BD761" s="24"/>
    </row>
    <row r="762" spans="32:56" ht="15" customHeight="1" x14ac:dyDescent="0.2">
      <c r="AF762" s="134"/>
      <c r="AG762" s="135"/>
      <c r="AH762" s="135"/>
      <c r="AI762" s="135"/>
      <c r="AJ762" s="135"/>
      <c r="AK762" s="65"/>
      <c r="AL762" s="65"/>
      <c r="AM762" s="65"/>
      <c r="AN762" s="135"/>
      <c r="AO762" s="135"/>
      <c r="AP762" s="135"/>
      <c r="AQ762" s="63"/>
      <c r="AR762" s="135"/>
      <c r="AS762" s="135"/>
      <c r="AT762" s="135"/>
      <c r="AU762" s="63"/>
      <c r="AV762" s="63"/>
      <c r="AW762" s="63"/>
      <c r="AX762" s="63"/>
      <c r="BC762" s="24"/>
      <c r="BD762" s="24"/>
    </row>
    <row r="763" spans="32:56" ht="15" customHeight="1" x14ac:dyDescent="0.2">
      <c r="AF763" s="134"/>
      <c r="AG763" s="135"/>
      <c r="AH763" s="135"/>
      <c r="AI763" s="135"/>
      <c r="AJ763" s="135"/>
      <c r="AK763" s="65"/>
      <c r="AL763" s="65"/>
      <c r="AM763" s="65"/>
      <c r="AN763" s="135"/>
      <c r="AO763" s="135"/>
      <c r="AP763" s="135"/>
      <c r="AQ763" s="63"/>
      <c r="AR763" s="135"/>
      <c r="AS763" s="135"/>
      <c r="AT763" s="135"/>
      <c r="AU763" s="63"/>
      <c r="AV763" s="63"/>
      <c r="AW763" s="63"/>
      <c r="AX763" s="63"/>
      <c r="BC763" s="24"/>
      <c r="BD763" s="24"/>
    </row>
    <row r="764" spans="32:56" ht="15" customHeight="1" x14ac:dyDescent="0.2">
      <c r="AF764" s="134"/>
      <c r="AG764" s="135"/>
      <c r="AH764" s="135"/>
      <c r="AI764" s="135"/>
      <c r="AJ764" s="135"/>
      <c r="AK764" s="65"/>
      <c r="AL764" s="65"/>
      <c r="AM764" s="65"/>
      <c r="AN764" s="135"/>
      <c r="AO764" s="135"/>
      <c r="AP764" s="135"/>
      <c r="AQ764" s="63"/>
      <c r="AR764" s="135"/>
      <c r="AS764" s="135"/>
      <c r="AT764" s="135"/>
      <c r="AU764" s="63"/>
      <c r="AV764" s="63"/>
      <c r="AW764" s="63"/>
      <c r="AX764" s="63"/>
      <c r="BC764" s="24"/>
      <c r="BD764" s="24"/>
    </row>
    <row r="765" spans="32:56" ht="15" customHeight="1" x14ac:dyDescent="0.2">
      <c r="AF765" s="134"/>
      <c r="AG765" s="135"/>
      <c r="AH765" s="135"/>
      <c r="AI765" s="135"/>
      <c r="AJ765" s="135"/>
      <c r="AK765" s="65"/>
      <c r="AL765" s="65"/>
      <c r="AM765" s="65"/>
      <c r="AN765" s="135"/>
      <c r="AO765" s="135"/>
      <c r="AP765" s="135"/>
      <c r="AQ765" s="63"/>
      <c r="AR765" s="135"/>
      <c r="AS765" s="135"/>
      <c r="AT765" s="135"/>
      <c r="AU765" s="63"/>
      <c r="AV765" s="63"/>
      <c r="AW765" s="63"/>
      <c r="AX765" s="63"/>
      <c r="BC765" s="24"/>
      <c r="BD765" s="24"/>
    </row>
    <row r="766" spans="32:56" ht="15" customHeight="1" x14ac:dyDescent="0.2">
      <c r="AF766" s="134"/>
      <c r="AG766" s="135"/>
      <c r="AH766" s="135"/>
      <c r="AI766" s="135"/>
      <c r="AJ766" s="135"/>
      <c r="AK766" s="65"/>
      <c r="AL766" s="65"/>
      <c r="AM766" s="65"/>
      <c r="AN766" s="135"/>
      <c r="AO766" s="135"/>
      <c r="AP766" s="135"/>
      <c r="AQ766" s="63"/>
      <c r="AR766" s="135"/>
      <c r="AS766" s="135"/>
      <c r="AT766" s="135"/>
      <c r="AU766" s="63"/>
      <c r="AV766" s="63"/>
      <c r="AW766" s="63"/>
      <c r="AX766" s="63"/>
      <c r="BC766" s="24"/>
      <c r="BD766" s="24"/>
    </row>
    <row r="767" spans="32:56" ht="15" customHeight="1" x14ac:dyDescent="0.2">
      <c r="AF767" s="134"/>
      <c r="AG767" s="135"/>
      <c r="AH767" s="135"/>
      <c r="AI767" s="135"/>
      <c r="AJ767" s="135"/>
      <c r="AK767" s="65"/>
      <c r="AL767" s="65"/>
      <c r="AM767" s="65"/>
      <c r="AN767" s="135"/>
      <c r="AO767" s="135"/>
      <c r="AP767" s="135"/>
      <c r="AQ767" s="63"/>
      <c r="AR767" s="135"/>
      <c r="AS767" s="135"/>
      <c r="AT767" s="135"/>
      <c r="AU767" s="63"/>
      <c r="AV767" s="63"/>
      <c r="AW767" s="63"/>
      <c r="AX767" s="63"/>
      <c r="BC767" s="24"/>
      <c r="BD767" s="24"/>
    </row>
    <row r="768" spans="32:56" ht="15" customHeight="1" x14ac:dyDescent="0.2">
      <c r="AF768" s="134"/>
      <c r="AG768" s="135"/>
      <c r="AH768" s="135"/>
      <c r="AI768" s="135"/>
      <c r="AJ768" s="135"/>
      <c r="AK768" s="65"/>
      <c r="AL768" s="65"/>
      <c r="AM768" s="65"/>
      <c r="AN768" s="135"/>
      <c r="AO768" s="135"/>
      <c r="AP768" s="135"/>
      <c r="AQ768" s="63"/>
      <c r="AR768" s="135"/>
      <c r="AS768" s="135"/>
      <c r="AT768" s="135"/>
      <c r="AU768" s="63"/>
      <c r="AV768" s="63"/>
      <c r="AW768" s="63"/>
      <c r="AX768" s="63"/>
      <c r="BC768" s="24"/>
      <c r="BD768" s="24"/>
    </row>
    <row r="769" spans="32:56" ht="15" customHeight="1" x14ac:dyDescent="0.2">
      <c r="AF769" s="134"/>
      <c r="AG769" s="135"/>
      <c r="AH769" s="135"/>
      <c r="AI769" s="135"/>
      <c r="AJ769" s="135"/>
      <c r="AK769" s="65"/>
      <c r="AL769" s="65"/>
      <c r="AM769" s="65"/>
      <c r="AN769" s="135"/>
      <c r="AO769" s="135"/>
      <c r="AP769" s="135"/>
      <c r="AQ769" s="63"/>
      <c r="AR769" s="135"/>
      <c r="AS769" s="135"/>
      <c r="AT769" s="135"/>
      <c r="AU769" s="63"/>
      <c r="AV769" s="63"/>
      <c r="AW769" s="63"/>
      <c r="AX769" s="63"/>
      <c r="BC769" s="24"/>
      <c r="BD769" s="24"/>
    </row>
    <row r="770" spans="32:56" ht="15" customHeight="1" x14ac:dyDescent="0.2">
      <c r="AF770" s="134"/>
      <c r="AG770" s="135"/>
      <c r="AH770" s="135"/>
      <c r="AI770" s="135"/>
      <c r="AJ770" s="135"/>
      <c r="AK770" s="65"/>
      <c r="AL770" s="65"/>
      <c r="AM770" s="65"/>
      <c r="AN770" s="135"/>
      <c r="AO770" s="135"/>
      <c r="AP770" s="135"/>
      <c r="AQ770" s="63"/>
      <c r="AR770" s="135"/>
      <c r="AS770" s="135"/>
      <c r="AT770" s="135"/>
      <c r="AU770" s="63"/>
      <c r="AV770" s="63"/>
      <c r="AW770" s="63"/>
      <c r="AX770" s="63"/>
      <c r="BC770" s="24"/>
      <c r="BD770" s="24"/>
    </row>
    <row r="771" spans="32:56" ht="15" customHeight="1" x14ac:dyDescent="0.2">
      <c r="AF771" s="134"/>
      <c r="AG771" s="135"/>
      <c r="AH771" s="135"/>
      <c r="AI771" s="135"/>
      <c r="AJ771" s="135"/>
      <c r="AK771" s="65"/>
      <c r="AL771" s="65"/>
      <c r="AM771" s="65"/>
      <c r="AN771" s="135"/>
      <c r="AO771" s="135"/>
      <c r="AP771" s="135"/>
      <c r="AQ771" s="63"/>
      <c r="AR771" s="135"/>
      <c r="AS771" s="135"/>
      <c r="AT771" s="135"/>
      <c r="AU771" s="63"/>
      <c r="AV771" s="63"/>
      <c r="AW771" s="63"/>
      <c r="AX771" s="63"/>
      <c r="BC771" s="24"/>
      <c r="BD771" s="24"/>
    </row>
    <row r="772" spans="32:56" ht="15" customHeight="1" x14ac:dyDescent="0.2">
      <c r="AF772" s="134"/>
      <c r="AG772" s="135"/>
      <c r="AH772" s="135"/>
      <c r="AI772" s="135"/>
      <c r="AJ772" s="135"/>
      <c r="AK772" s="65"/>
      <c r="AL772" s="65"/>
      <c r="AM772" s="65"/>
      <c r="AN772" s="135"/>
      <c r="AO772" s="135"/>
      <c r="AP772" s="135"/>
      <c r="AQ772" s="63"/>
      <c r="AR772" s="135"/>
      <c r="AS772" s="135"/>
      <c r="AT772" s="135"/>
      <c r="AU772" s="63"/>
      <c r="AV772" s="63"/>
      <c r="AW772" s="63"/>
      <c r="AX772" s="63"/>
      <c r="BC772" s="24"/>
      <c r="BD772" s="24"/>
    </row>
    <row r="773" spans="32:56" ht="15" customHeight="1" x14ac:dyDescent="0.2">
      <c r="AF773" s="134"/>
      <c r="AG773" s="135"/>
      <c r="AH773" s="135"/>
      <c r="AI773" s="135"/>
      <c r="AJ773" s="135"/>
      <c r="AK773" s="65"/>
      <c r="AL773" s="65"/>
      <c r="AM773" s="65"/>
      <c r="AN773" s="135"/>
      <c r="AO773" s="135"/>
      <c r="AP773" s="135"/>
      <c r="AQ773" s="63"/>
      <c r="AR773" s="135"/>
      <c r="AS773" s="135"/>
      <c r="AT773" s="135"/>
      <c r="AU773" s="63"/>
      <c r="AV773" s="63"/>
      <c r="AW773" s="63"/>
      <c r="AX773" s="63"/>
      <c r="BC773" s="24"/>
      <c r="BD773" s="24"/>
    </row>
    <row r="774" spans="32:56" ht="15" customHeight="1" x14ac:dyDescent="0.2">
      <c r="AF774" s="134"/>
      <c r="AG774" s="135"/>
      <c r="AH774" s="135"/>
      <c r="AI774" s="135"/>
      <c r="AJ774" s="135"/>
      <c r="AK774" s="65"/>
      <c r="AL774" s="65"/>
      <c r="AM774" s="65"/>
      <c r="AN774" s="135"/>
      <c r="AO774" s="135"/>
      <c r="AP774" s="135"/>
      <c r="AQ774" s="63"/>
      <c r="AR774" s="135"/>
      <c r="AS774" s="135"/>
      <c r="AT774" s="135"/>
      <c r="AU774" s="63"/>
      <c r="AV774" s="63"/>
      <c r="AW774" s="63"/>
      <c r="AX774" s="63"/>
      <c r="BC774" s="24"/>
      <c r="BD774" s="24"/>
    </row>
    <row r="775" spans="32:56" ht="15" customHeight="1" x14ac:dyDescent="0.2">
      <c r="AF775" s="134"/>
      <c r="AG775" s="135"/>
      <c r="AH775" s="135"/>
      <c r="AI775" s="135"/>
      <c r="AJ775" s="135"/>
      <c r="AK775" s="65"/>
      <c r="AL775" s="65"/>
      <c r="AM775" s="65"/>
      <c r="AN775" s="135"/>
      <c r="AO775" s="135"/>
      <c r="AP775" s="135"/>
      <c r="AQ775" s="63"/>
      <c r="AR775" s="135"/>
      <c r="AS775" s="135"/>
      <c r="AT775" s="135"/>
      <c r="AU775" s="63"/>
      <c r="AV775" s="63"/>
      <c r="AW775" s="63"/>
      <c r="AX775" s="63"/>
      <c r="BC775" s="24"/>
      <c r="BD775" s="24"/>
    </row>
    <row r="776" spans="32:56" ht="15" customHeight="1" x14ac:dyDescent="0.2">
      <c r="AF776" s="134"/>
      <c r="AG776" s="135"/>
      <c r="AH776" s="135"/>
      <c r="AI776" s="135"/>
      <c r="AJ776" s="135"/>
      <c r="AK776" s="65"/>
      <c r="AL776" s="65"/>
      <c r="AM776" s="65"/>
      <c r="AN776" s="135"/>
      <c r="AO776" s="135"/>
      <c r="AP776" s="135"/>
      <c r="AQ776" s="63"/>
      <c r="AR776" s="135"/>
      <c r="AS776" s="135"/>
      <c r="AT776" s="135"/>
      <c r="AU776" s="63"/>
      <c r="AV776" s="63"/>
      <c r="AW776" s="63"/>
      <c r="AX776" s="63"/>
      <c r="BC776" s="24"/>
      <c r="BD776" s="24"/>
    </row>
    <row r="777" spans="32:56" ht="15" customHeight="1" x14ac:dyDescent="0.2">
      <c r="AF777" s="134"/>
      <c r="AG777" s="135"/>
      <c r="AH777" s="135"/>
      <c r="AI777" s="135"/>
      <c r="AJ777" s="135"/>
      <c r="AK777" s="65"/>
      <c r="AL777" s="65"/>
      <c r="AM777" s="65"/>
      <c r="AN777" s="135"/>
      <c r="AO777" s="135"/>
      <c r="AP777" s="135"/>
      <c r="AQ777" s="63"/>
      <c r="AR777" s="135"/>
      <c r="AS777" s="135"/>
      <c r="AT777" s="135"/>
      <c r="AU777" s="63"/>
      <c r="AV777" s="63"/>
      <c r="AW777" s="63"/>
      <c r="AX777" s="63"/>
      <c r="BC777" s="24"/>
      <c r="BD777" s="24"/>
    </row>
    <row r="778" spans="32:56" ht="15" customHeight="1" x14ac:dyDescent="0.2">
      <c r="AF778" s="134"/>
      <c r="AG778" s="135"/>
      <c r="AH778" s="135"/>
      <c r="AI778" s="135"/>
      <c r="AJ778" s="135"/>
      <c r="AK778" s="65"/>
      <c r="AL778" s="65"/>
      <c r="AM778" s="65"/>
      <c r="AN778" s="135"/>
      <c r="AO778" s="135"/>
      <c r="AP778" s="135"/>
      <c r="AQ778" s="63"/>
      <c r="AR778" s="135"/>
      <c r="AS778" s="135"/>
      <c r="AT778" s="135"/>
      <c r="AU778" s="63"/>
      <c r="AV778" s="63"/>
      <c r="AW778" s="63"/>
      <c r="AX778" s="63"/>
      <c r="BC778" s="24"/>
      <c r="BD778" s="24"/>
    </row>
    <row r="779" spans="32:56" ht="15" customHeight="1" x14ac:dyDescent="0.2">
      <c r="AF779" s="134"/>
      <c r="AG779" s="135"/>
      <c r="AH779" s="135"/>
      <c r="AI779" s="135"/>
      <c r="AJ779" s="135"/>
      <c r="AK779" s="65"/>
      <c r="AL779" s="65"/>
      <c r="AM779" s="65"/>
      <c r="AN779" s="135"/>
      <c r="AO779" s="135"/>
      <c r="AP779" s="135"/>
      <c r="AQ779" s="63"/>
      <c r="AR779" s="135"/>
      <c r="AS779" s="135"/>
      <c r="AT779" s="135"/>
      <c r="AU779" s="63"/>
      <c r="AV779" s="63"/>
      <c r="AW779" s="63"/>
      <c r="AX779" s="63"/>
      <c r="BC779" s="24"/>
      <c r="BD779" s="24"/>
    </row>
    <row r="780" spans="32:56" ht="15" customHeight="1" x14ac:dyDescent="0.2">
      <c r="AF780" s="134"/>
      <c r="AG780" s="135"/>
      <c r="AH780" s="135"/>
      <c r="AI780" s="135"/>
      <c r="AJ780" s="135"/>
      <c r="AK780" s="65"/>
      <c r="AL780" s="65"/>
      <c r="AM780" s="65"/>
      <c r="AN780" s="135"/>
      <c r="AO780" s="135"/>
      <c r="AP780" s="135"/>
      <c r="AQ780" s="63"/>
      <c r="AR780" s="135"/>
      <c r="AS780" s="135"/>
      <c r="AT780" s="135"/>
      <c r="AU780" s="63"/>
      <c r="AV780" s="63"/>
      <c r="AW780" s="63"/>
      <c r="AX780" s="63"/>
      <c r="BC780" s="24"/>
      <c r="BD780" s="24"/>
    </row>
    <row r="781" spans="32:56" ht="15" customHeight="1" x14ac:dyDescent="0.2">
      <c r="AF781" s="134"/>
      <c r="AG781" s="135"/>
      <c r="AH781" s="135"/>
      <c r="AI781" s="135"/>
      <c r="AJ781" s="135"/>
      <c r="AK781" s="65"/>
      <c r="AL781" s="65"/>
      <c r="AM781" s="65"/>
      <c r="AN781" s="135"/>
      <c r="AO781" s="135"/>
      <c r="AP781" s="135"/>
      <c r="AQ781" s="63"/>
      <c r="AR781" s="135"/>
      <c r="AS781" s="135"/>
      <c r="AT781" s="135"/>
      <c r="AU781" s="63"/>
      <c r="AV781" s="63"/>
      <c r="AW781" s="63"/>
      <c r="AX781" s="63"/>
      <c r="BC781" s="24"/>
      <c r="BD781" s="24"/>
    </row>
    <row r="782" spans="32:56" ht="15" customHeight="1" x14ac:dyDescent="0.2">
      <c r="AF782" s="134"/>
      <c r="AG782" s="135"/>
      <c r="AH782" s="135"/>
      <c r="AI782" s="135"/>
      <c r="AJ782" s="135"/>
      <c r="AK782" s="65"/>
      <c r="AL782" s="65"/>
      <c r="AM782" s="65"/>
      <c r="AN782" s="135"/>
      <c r="AO782" s="135"/>
      <c r="AP782" s="135"/>
      <c r="AQ782" s="63"/>
      <c r="AR782" s="135"/>
      <c r="AS782" s="135"/>
      <c r="AT782" s="135"/>
      <c r="AU782" s="63"/>
      <c r="AV782" s="63"/>
      <c r="AW782" s="63"/>
      <c r="AX782" s="63"/>
      <c r="BC782" s="24"/>
      <c r="BD782" s="24"/>
    </row>
    <row r="783" spans="32:56" ht="15" customHeight="1" x14ac:dyDescent="0.2">
      <c r="AF783" s="134"/>
      <c r="AG783" s="135"/>
      <c r="AH783" s="135"/>
      <c r="AI783" s="135"/>
      <c r="AJ783" s="135"/>
      <c r="AK783" s="65"/>
      <c r="AL783" s="65"/>
      <c r="AM783" s="65"/>
      <c r="AN783" s="135"/>
      <c r="AO783" s="135"/>
      <c r="AP783" s="135"/>
      <c r="AQ783" s="63"/>
      <c r="AR783" s="135"/>
      <c r="AS783" s="135"/>
      <c r="AT783" s="135"/>
      <c r="AU783" s="63"/>
      <c r="AV783" s="63"/>
      <c r="AW783" s="63"/>
      <c r="AX783" s="63"/>
      <c r="BC783" s="24"/>
      <c r="BD783" s="24"/>
    </row>
    <row r="784" spans="32:56" ht="15" customHeight="1" x14ac:dyDescent="0.2">
      <c r="AF784" s="134"/>
      <c r="AG784" s="135"/>
      <c r="AH784" s="135"/>
      <c r="AI784" s="135"/>
      <c r="AJ784" s="135"/>
      <c r="AK784" s="65"/>
      <c r="AL784" s="65"/>
      <c r="AM784" s="65"/>
      <c r="AN784" s="135"/>
      <c r="AO784" s="135"/>
      <c r="AP784" s="135"/>
      <c r="AQ784" s="63"/>
      <c r="AR784" s="135"/>
      <c r="AS784" s="135"/>
      <c r="AT784" s="135"/>
      <c r="AU784" s="63"/>
      <c r="AV784" s="63"/>
      <c r="AW784" s="63"/>
      <c r="AX784" s="63"/>
      <c r="BC784" s="24"/>
      <c r="BD784" s="24"/>
    </row>
    <row r="785" spans="32:56" ht="15" customHeight="1" x14ac:dyDescent="0.2">
      <c r="AF785" s="134"/>
      <c r="AG785" s="135"/>
      <c r="AH785" s="135"/>
      <c r="AI785" s="135"/>
      <c r="AJ785" s="135"/>
      <c r="AK785" s="65"/>
      <c r="AL785" s="65"/>
      <c r="AM785" s="65"/>
      <c r="AN785" s="135"/>
      <c r="AO785" s="135"/>
      <c r="AP785" s="135"/>
      <c r="AQ785" s="63"/>
      <c r="AR785" s="135"/>
      <c r="AS785" s="135"/>
      <c r="AT785" s="135"/>
      <c r="AU785" s="63"/>
      <c r="AV785" s="63"/>
      <c r="AW785" s="63"/>
      <c r="AX785" s="63"/>
      <c r="BC785" s="24"/>
      <c r="BD785" s="24"/>
    </row>
    <row r="786" spans="32:56" ht="15" customHeight="1" x14ac:dyDescent="0.2">
      <c r="AF786" s="134"/>
      <c r="AG786" s="135"/>
      <c r="AH786" s="135"/>
      <c r="AI786" s="135"/>
      <c r="AJ786" s="135"/>
      <c r="AK786" s="65"/>
      <c r="AL786" s="65"/>
      <c r="AM786" s="65"/>
      <c r="AN786" s="135"/>
      <c r="AO786" s="135"/>
      <c r="AP786" s="135"/>
      <c r="AQ786" s="63"/>
      <c r="AR786" s="135"/>
      <c r="AS786" s="135"/>
      <c r="AT786" s="135"/>
      <c r="AU786" s="63"/>
      <c r="AV786" s="63"/>
      <c r="AW786" s="63"/>
      <c r="AX786" s="63"/>
      <c r="BC786" s="24"/>
      <c r="BD786" s="24"/>
    </row>
    <row r="787" spans="32:56" ht="15" customHeight="1" x14ac:dyDescent="0.2">
      <c r="AF787" s="134"/>
      <c r="AG787" s="135"/>
      <c r="AH787" s="135"/>
      <c r="AI787" s="135"/>
      <c r="AJ787" s="135"/>
      <c r="AK787" s="65"/>
      <c r="AL787" s="65"/>
      <c r="AM787" s="65"/>
      <c r="AN787" s="135"/>
      <c r="AO787" s="135"/>
      <c r="AP787" s="135"/>
      <c r="AQ787" s="63"/>
      <c r="AR787" s="135"/>
      <c r="AS787" s="135"/>
      <c r="AT787" s="135"/>
      <c r="AU787" s="63"/>
      <c r="AV787" s="63"/>
      <c r="AW787" s="63"/>
      <c r="AX787" s="63"/>
      <c r="BC787" s="24"/>
      <c r="BD787" s="24"/>
    </row>
    <row r="788" spans="32:56" ht="15" customHeight="1" x14ac:dyDescent="0.2">
      <c r="AF788" s="134"/>
      <c r="AG788" s="135"/>
      <c r="AH788" s="135"/>
      <c r="AI788" s="135"/>
      <c r="AJ788" s="135"/>
      <c r="AK788" s="65"/>
      <c r="AL788" s="65"/>
      <c r="AM788" s="65"/>
      <c r="AN788" s="135"/>
      <c r="AO788" s="135"/>
      <c r="AP788" s="135"/>
      <c r="AQ788" s="63"/>
      <c r="AR788" s="135"/>
      <c r="AS788" s="135"/>
      <c r="AT788" s="135"/>
      <c r="AU788" s="63"/>
      <c r="AV788" s="63"/>
      <c r="AW788" s="63"/>
      <c r="AX788" s="63"/>
      <c r="BC788" s="24"/>
      <c r="BD788" s="24"/>
    </row>
    <row r="789" spans="32:56" ht="15" customHeight="1" x14ac:dyDescent="0.2">
      <c r="AF789" s="134"/>
      <c r="AG789" s="135"/>
      <c r="AH789" s="135"/>
      <c r="AI789" s="135"/>
      <c r="AJ789" s="135"/>
      <c r="AK789" s="65"/>
      <c r="AL789" s="65"/>
      <c r="AM789" s="65"/>
      <c r="AN789" s="135"/>
      <c r="AO789" s="135"/>
      <c r="AP789" s="135"/>
      <c r="AQ789" s="63"/>
      <c r="AR789" s="135"/>
      <c r="AS789" s="135"/>
      <c r="AT789" s="135"/>
      <c r="AU789" s="63"/>
      <c r="AV789" s="63"/>
      <c r="AW789" s="63"/>
      <c r="AX789" s="63"/>
      <c r="BC789" s="24"/>
      <c r="BD789" s="24"/>
    </row>
    <row r="790" spans="32:56" ht="15" customHeight="1" x14ac:dyDescent="0.2">
      <c r="AF790" s="134"/>
      <c r="AG790" s="135"/>
      <c r="AH790" s="135"/>
      <c r="AI790" s="135"/>
      <c r="AJ790" s="135"/>
      <c r="AK790" s="65"/>
      <c r="AL790" s="65"/>
      <c r="AM790" s="65"/>
      <c r="AN790" s="135"/>
      <c r="AO790" s="135"/>
      <c r="AP790" s="135"/>
      <c r="AQ790" s="63"/>
      <c r="AR790" s="135"/>
      <c r="AS790" s="135"/>
      <c r="AT790" s="135"/>
      <c r="AU790" s="63"/>
      <c r="AV790" s="63"/>
      <c r="AW790" s="63"/>
      <c r="AX790" s="63"/>
      <c r="BC790" s="24"/>
      <c r="BD790" s="24"/>
    </row>
    <row r="791" spans="32:56" ht="15" customHeight="1" x14ac:dyDescent="0.2">
      <c r="AF791" s="134"/>
      <c r="AG791" s="135"/>
      <c r="AH791" s="135"/>
      <c r="AI791" s="135"/>
      <c r="AJ791" s="135"/>
      <c r="AK791" s="65"/>
      <c r="AL791" s="65"/>
      <c r="AM791" s="65"/>
      <c r="AN791" s="135"/>
      <c r="AO791" s="135"/>
      <c r="AP791" s="135"/>
      <c r="AQ791" s="63"/>
      <c r="AR791" s="135"/>
      <c r="AS791" s="135"/>
      <c r="AT791" s="135"/>
      <c r="AU791" s="63"/>
      <c r="AV791" s="63"/>
      <c r="AW791" s="63"/>
      <c r="AX791" s="63"/>
      <c r="BC791" s="24"/>
      <c r="BD791" s="24"/>
    </row>
    <row r="792" spans="32:56" ht="15" customHeight="1" x14ac:dyDescent="0.2">
      <c r="AF792" s="134"/>
      <c r="AG792" s="135"/>
      <c r="AH792" s="135"/>
      <c r="AI792" s="135"/>
      <c r="AJ792" s="135"/>
      <c r="AK792" s="65"/>
      <c r="AL792" s="65"/>
      <c r="AM792" s="65"/>
      <c r="AN792" s="135"/>
      <c r="AO792" s="135"/>
      <c r="AP792" s="135"/>
      <c r="AQ792" s="63"/>
      <c r="AR792" s="135"/>
      <c r="AS792" s="135"/>
      <c r="AT792" s="135"/>
      <c r="AU792" s="63"/>
      <c r="AV792" s="63"/>
      <c r="AW792" s="63"/>
      <c r="AX792" s="63"/>
      <c r="BC792" s="24"/>
      <c r="BD792" s="24"/>
    </row>
    <row r="793" spans="32:56" ht="15" customHeight="1" x14ac:dyDescent="0.2">
      <c r="AF793" s="134"/>
      <c r="AG793" s="135"/>
      <c r="AH793" s="135"/>
      <c r="AI793" s="135"/>
      <c r="AJ793" s="135"/>
      <c r="AK793" s="65"/>
      <c r="AL793" s="65"/>
      <c r="AM793" s="65"/>
      <c r="AN793" s="135"/>
      <c r="AO793" s="135"/>
      <c r="AP793" s="135"/>
      <c r="AQ793" s="63"/>
      <c r="AR793" s="135"/>
      <c r="AS793" s="135"/>
      <c r="AT793" s="135"/>
      <c r="AU793" s="63"/>
      <c r="AV793" s="63"/>
      <c r="AW793" s="63"/>
      <c r="AX793" s="63"/>
      <c r="BC793" s="24"/>
      <c r="BD793" s="24"/>
    </row>
    <row r="794" spans="32:56" ht="15" customHeight="1" x14ac:dyDescent="0.2">
      <c r="AF794" s="134"/>
      <c r="AG794" s="135"/>
      <c r="AH794" s="135"/>
      <c r="AI794" s="135"/>
      <c r="AJ794" s="135"/>
      <c r="AK794" s="65"/>
      <c r="AL794" s="65"/>
      <c r="AM794" s="65"/>
      <c r="AN794" s="135"/>
      <c r="AO794" s="135"/>
      <c r="AP794" s="135"/>
      <c r="AQ794" s="63"/>
      <c r="AR794" s="135"/>
      <c r="AS794" s="135"/>
      <c r="AT794" s="135"/>
      <c r="AU794" s="63"/>
      <c r="AV794" s="63"/>
      <c r="AW794" s="63"/>
      <c r="AX794" s="63"/>
      <c r="BC794" s="24"/>
      <c r="BD794" s="24"/>
    </row>
    <row r="795" spans="32:56" ht="15" customHeight="1" x14ac:dyDescent="0.2">
      <c r="AF795" s="134"/>
      <c r="AG795" s="135"/>
      <c r="AH795" s="135"/>
      <c r="AI795" s="135"/>
      <c r="AJ795" s="135"/>
      <c r="AK795" s="65"/>
      <c r="AL795" s="65"/>
      <c r="AM795" s="65"/>
      <c r="AN795" s="135"/>
      <c r="AO795" s="135"/>
      <c r="AP795" s="135"/>
      <c r="AQ795" s="63"/>
      <c r="AR795" s="135"/>
      <c r="AS795" s="135"/>
      <c r="AT795" s="135"/>
      <c r="AU795" s="63"/>
      <c r="AV795" s="63"/>
      <c r="AW795" s="63"/>
      <c r="AX795" s="63"/>
      <c r="BC795" s="24"/>
      <c r="BD795" s="24"/>
    </row>
    <row r="796" spans="32:56" ht="15" customHeight="1" x14ac:dyDescent="0.2">
      <c r="AF796" s="134"/>
      <c r="AG796" s="135"/>
      <c r="AH796" s="135"/>
      <c r="AI796" s="135"/>
      <c r="AJ796" s="135"/>
      <c r="AK796" s="65"/>
      <c r="AL796" s="65"/>
      <c r="AM796" s="65"/>
      <c r="AN796" s="135"/>
      <c r="AO796" s="135"/>
      <c r="AP796" s="135"/>
      <c r="AQ796" s="63"/>
      <c r="AR796" s="135"/>
      <c r="AS796" s="135"/>
      <c r="AT796" s="135"/>
      <c r="AU796" s="63"/>
      <c r="AV796" s="63"/>
      <c r="AW796" s="63"/>
      <c r="AX796" s="63"/>
      <c r="BC796" s="24"/>
      <c r="BD796" s="24"/>
    </row>
    <row r="797" spans="32:56" ht="15" customHeight="1" x14ac:dyDescent="0.2">
      <c r="AF797" s="134"/>
      <c r="AG797" s="135"/>
      <c r="AH797" s="135"/>
      <c r="AI797" s="135"/>
      <c r="AJ797" s="135"/>
      <c r="AK797" s="65"/>
      <c r="AL797" s="65"/>
      <c r="AM797" s="65"/>
      <c r="AN797" s="135"/>
      <c r="AO797" s="135"/>
      <c r="AP797" s="135"/>
      <c r="AQ797" s="63"/>
      <c r="AR797" s="135"/>
      <c r="AS797" s="135"/>
      <c r="AT797" s="135"/>
      <c r="AU797" s="63"/>
      <c r="AV797" s="63"/>
      <c r="AW797" s="63"/>
      <c r="AX797" s="63"/>
      <c r="BC797" s="24"/>
      <c r="BD797" s="24"/>
    </row>
    <row r="798" spans="32:56" ht="15" customHeight="1" x14ac:dyDescent="0.2">
      <c r="AF798" s="134"/>
      <c r="AG798" s="135"/>
      <c r="AH798" s="135"/>
      <c r="AI798" s="135"/>
      <c r="AJ798" s="135"/>
      <c r="AK798" s="65"/>
      <c r="AL798" s="65"/>
      <c r="AM798" s="65"/>
      <c r="AN798" s="135"/>
      <c r="AO798" s="135"/>
      <c r="AP798" s="135"/>
      <c r="AQ798" s="63"/>
      <c r="AR798" s="135"/>
      <c r="AS798" s="135"/>
      <c r="AT798" s="135"/>
      <c r="AU798" s="63"/>
      <c r="AV798" s="63"/>
      <c r="AW798" s="63"/>
      <c r="AX798" s="63"/>
      <c r="BC798" s="24"/>
      <c r="BD798" s="24"/>
    </row>
    <row r="799" spans="32:56" ht="15" customHeight="1" x14ac:dyDescent="0.2">
      <c r="AF799" s="134"/>
      <c r="AG799" s="135"/>
      <c r="AH799" s="135"/>
      <c r="AI799" s="135"/>
      <c r="AJ799" s="135"/>
      <c r="AK799" s="65"/>
      <c r="AL799" s="65"/>
      <c r="AM799" s="65"/>
      <c r="AN799" s="135"/>
      <c r="AO799" s="135"/>
      <c r="AP799" s="135"/>
      <c r="AQ799" s="63"/>
      <c r="AR799" s="135"/>
      <c r="AS799" s="135"/>
      <c r="AT799" s="135"/>
      <c r="AU799" s="63"/>
      <c r="AV799" s="63"/>
      <c r="AW799" s="63"/>
      <c r="AX799" s="63"/>
      <c r="BC799" s="24"/>
      <c r="BD799" s="24"/>
    </row>
    <row r="800" spans="32:56" ht="15" customHeight="1" x14ac:dyDescent="0.2">
      <c r="AF800" s="134"/>
      <c r="AG800" s="135"/>
      <c r="AH800" s="135"/>
      <c r="AI800" s="135"/>
      <c r="AJ800" s="135"/>
      <c r="AK800" s="65"/>
      <c r="AL800" s="65"/>
      <c r="AM800" s="65"/>
      <c r="AN800" s="135"/>
      <c r="AO800" s="135"/>
      <c r="AP800" s="135"/>
      <c r="AQ800" s="63"/>
      <c r="AR800" s="135"/>
      <c r="AS800" s="135"/>
      <c r="AT800" s="135"/>
      <c r="AU800" s="63"/>
      <c r="AV800" s="63"/>
      <c r="AW800" s="63"/>
      <c r="AX800" s="63"/>
      <c r="BC800" s="24"/>
      <c r="BD800" s="24"/>
    </row>
    <row r="801" spans="32:56" ht="15" customHeight="1" x14ac:dyDescent="0.2">
      <c r="AF801" s="134"/>
      <c r="AG801" s="135"/>
      <c r="AH801" s="135"/>
      <c r="AI801" s="135"/>
      <c r="AJ801" s="135"/>
      <c r="AK801" s="65"/>
      <c r="AL801" s="65"/>
      <c r="AM801" s="65"/>
      <c r="AN801" s="135"/>
      <c r="AO801" s="135"/>
      <c r="AP801" s="135"/>
      <c r="AQ801" s="63"/>
      <c r="AR801" s="135"/>
      <c r="AS801" s="135"/>
      <c r="AT801" s="135"/>
      <c r="AU801" s="63"/>
      <c r="AV801" s="63"/>
      <c r="AW801" s="63"/>
      <c r="AX801" s="63"/>
      <c r="BC801" s="24"/>
      <c r="BD801" s="24"/>
    </row>
    <row r="802" spans="32:56" ht="15" customHeight="1" x14ac:dyDescent="0.2">
      <c r="AF802" s="134"/>
      <c r="AG802" s="135"/>
      <c r="AH802" s="135"/>
      <c r="AI802" s="135"/>
      <c r="AJ802" s="135"/>
      <c r="AK802" s="65"/>
      <c r="AL802" s="65"/>
      <c r="AM802" s="65"/>
      <c r="AN802" s="135"/>
      <c r="AO802" s="135"/>
      <c r="AP802" s="135"/>
      <c r="AQ802" s="63"/>
      <c r="AR802" s="135"/>
      <c r="AS802" s="135"/>
      <c r="AT802" s="135"/>
      <c r="AU802" s="63"/>
      <c r="AV802" s="63"/>
      <c r="AW802" s="63"/>
      <c r="AX802" s="63"/>
      <c r="BC802" s="24"/>
      <c r="BD802" s="24"/>
    </row>
    <row r="803" spans="32:56" ht="15" customHeight="1" x14ac:dyDescent="0.2">
      <c r="AF803" s="134"/>
      <c r="AG803" s="135"/>
      <c r="AH803" s="135"/>
      <c r="AI803" s="135"/>
      <c r="AJ803" s="135"/>
      <c r="AK803" s="65"/>
      <c r="AL803" s="65"/>
      <c r="AM803" s="65"/>
      <c r="AN803" s="135"/>
      <c r="AO803" s="135"/>
      <c r="AP803" s="135"/>
      <c r="AQ803" s="63"/>
      <c r="AR803" s="135"/>
      <c r="AS803" s="135"/>
      <c r="AT803" s="135"/>
      <c r="AU803" s="63"/>
      <c r="AV803" s="63"/>
      <c r="AW803" s="63"/>
      <c r="AX803" s="63"/>
      <c r="BC803" s="24"/>
      <c r="BD803" s="24"/>
    </row>
    <row r="804" spans="32:56" ht="15" customHeight="1" x14ac:dyDescent="0.2">
      <c r="AF804" s="134"/>
      <c r="AG804" s="135"/>
      <c r="AH804" s="135"/>
      <c r="AI804" s="135"/>
      <c r="AJ804" s="135"/>
      <c r="AK804" s="65"/>
      <c r="AL804" s="65"/>
      <c r="AM804" s="65"/>
      <c r="AN804" s="135"/>
      <c r="AO804" s="135"/>
      <c r="AP804" s="135"/>
      <c r="AQ804" s="63"/>
      <c r="AR804" s="135"/>
      <c r="AS804" s="135"/>
      <c r="AT804" s="135"/>
      <c r="AU804" s="63"/>
      <c r="AV804" s="63"/>
      <c r="AW804" s="63"/>
      <c r="AX804" s="63"/>
      <c r="BC804" s="24"/>
      <c r="BD804" s="24"/>
    </row>
    <row r="805" spans="32:56" ht="15" customHeight="1" x14ac:dyDescent="0.2">
      <c r="AF805" s="134"/>
      <c r="AG805" s="135"/>
      <c r="AH805" s="135"/>
      <c r="AI805" s="135"/>
      <c r="AJ805" s="135"/>
      <c r="AK805" s="65"/>
      <c r="AL805" s="65"/>
      <c r="AM805" s="65"/>
      <c r="AN805" s="135"/>
      <c r="AO805" s="135"/>
      <c r="AP805" s="135"/>
      <c r="AQ805" s="63"/>
      <c r="AR805" s="135"/>
      <c r="AS805" s="135"/>
      <c r="AT805" s="135"/>
      <c r="AU805" s="63"/>
      <c r="AV805" s="63"/>
      <c r="AW805" s="63"/>
      <c r="AX805" s="63"/>
      <c r="BC805" s="24"/>
      <c r="BD805" s="24"/>
    </row>
    <row r="806" spans="32:56" ht="15" customHeight="1" x14ac:dyDescent="0.2">
      <c r="AF806" s="134"/>
      <c r="AG806" s="135"/>
      <c r="AH806" s="135"/>
      <c r="AI806" s="135"/>
      <c r="AJ806" s="135"/>
      <c r="AK806" s="65"/>
      <c r="AL806" s="65"/>
      <c r="AM806" s="65"/>
      <c r="AN806" s="135"/>
      <c r="AO806" s="135"/>
      <c r="AP806" s="135"/>
      <c r="AQ806" s="63"/>
      <c r="AR806" s="135"/>
      <c r="AS806" s="135"/>
      <c r="AT806" s="135"/>
      <c r="AU806" s="63"/>
      <c r="AV806" s="63"/>
      <c r="AW806" s="63"/>
      <c r="AX806" s="63"/>
      <c r="BC806" s="24"/>
      <c r="BD806" s="24"/>
    </row>
    <row r="807" spans="32:56" ht="15" customHeight="1" x14ac:dyDescent="0.2">
      <c r="AF807" s="134"/>
      <c r="AG807" s="135"/>
      <c r="AH807" s="135"/>
      <c r="AI807" s="135"/>
      <c r="AJ807" s="135"/>
      <c r="AK807" s="65"/>
      <c r="AL807" s="65"/>
      <c r="AM807" s="65"/>
      <c r="AN807" s="135"/>
      <c r="AO807" s="135"/>
      <c r="AP807" s="135"/>
      <c r="AQ807" s="63"/>
      <c r="AR807" s="135"/>
      <c r="AS807" s="135"/>
      <c r="AT807" s="135"/>
      <c r="AU807" s="63"/>
      <c r="AV807" s="63"/>
      <c r="AW807" s="63"/>
      <c r="AX807" s="63"/>
      <c r="BC807" s="24"/>
      <c r="BD807" s="24"/>
    </row>
    <row r="808" spans="32:56" ht="15" customHeight="1" x14ac:dyDescent="0.2">
      <c r="AF808" s="134"/>
      <c r="AG808" s="135"/>
      <c r="AH808" s="135"/>
      <c r="AI808" s="135"/>
      <c r="AJ808" s="135"/>
      <c r="AK808" s="65"/>
      <c r="AL808" s="65"/>
      <c r="AM808" s="65"/>
      <c r="AN808" s="135"/>
      <c r="AO808" s="135"/>
      <c r="AP808" s="135"/>
      <c r="AQ808" s="63"/>
      <c r="AR808" s="135"/>
      <c r="AS808" s="135"/>
      <c r="AT808" s="135"/>
      <c r="AU808" s="63"/>
      <c r="AV808" s="63"/>
      <c r="AW808" s="63"/>
      <c r="AX808" s="63"/>
      <c r="BC808" s="24"/>
      <c r="BD808" s="24"/>
    </row>
    <row r="809" spans="32:56" ht="15" customHeight="1" x14ac:dyDescent="0.2">
      <c r="AF809" s="134"/>
      <c r="AG809" s="135"/>
      <c r="AH809" s="135"/>
      <c r="AI809" s="135"/>
      <c r="AJ809" s="135"/>
      <c r="AK809" s="65"/>
      <c r="AL809" s="65"/>
      <c r="AM809" s="65"/>
      <c r="AN809" s="135"/>
      <c r="AO809" s="135"/>
      <c r="AP809" s="135"/>
      <c r="AQ809" s="63"/>
      <c r="AR809" s="135"/>
      <c r="AS809" s="135"/>
      <c r="AT809" s="135"/>
      <c r="AU809" s="63"/>
      <c r="AV809" s="63"/>
      <c r="AW809" s="63"/>
      <c r="AX809" s="63"/>
      <c r="BC809" s="24"/>
      <c r="BD809" s="24"/>
    </row>
    <row r="810" spans="32:56" ht="15" customHeight="1" x14ac:dyDescent="0.2">
      <c r="AF810" s="134"/>
      <c r="AG810" s="135"/>
      <c r="AH810" s="135"/>
      <c r="AI810" s="135"/>
      <c r="AJ810" s="135"/>
      <c r="AK810" s="65"/>
      <c r="AL810" s="65"/>
      <c r="AM810" s="65"/>
      <c r="AN810" s="135"/>
      <c r="AO810" s="135"/>
      <c r="AP810" s="135"/>
      <c r="AQ810" s="63"/>
      <c r="AR810" s="135"/>
      <c r="AS810" s="135"/>
      <c r="AT810" s="135"/>
      <c r="AU810" s="63"/>
      <c r="AV810" s="63"/>
      <c r="AW810" s="63"/>
      <c r="AX810" s="63"/>
      <c r="BC810" s="24"/>
      <c r="BD810" s="24"/>
    </row>
    <row r="811" spans="32:56" ht="15" customHeight="1" x14ac:dyDescent="0.2">
      <c r="AF811" s="134"/>
      <c r="AG811" s="135"/>
      <c r="AH811" s="135"/>
      <c r="AI811" s="135"/>
      <c r="AJ811" s="135"/>
      <c r="AK811" s="65"/>
      <c r="AL811" s="65"/>
      <c r="AM811" s="65"/>
      <c r="AN811" s="135"/>
      <c r="AO811" s="135"/>
      <c r="AP811" s="135"/>
      <c r="AQ811" s="63"/>
      <c r="AR811" s="135"/>
      <c r="AS811" s="135"/>
      <c r="AT811" s="135"/>
      <c r="AU811" s="63"/>
      <c r="AV811" s="63"/>
      <c r="AW811" s="63"/>
      <c r="AX811" s="63"/>
      <c r="BC811" s="24"/>
      <c r="BD811" s="24"/>
    </row>
    <row r="812" spans="32:56" ht="15" customHeight="1" x14ac:dyDescent="0.2">
      <c r="AF812" s="134"/>
      <c r="AG812" s="135"/>
      <c r="AH812" s="135"/>
      <c r="AI812" s="135"/>
      <c r="AJ812" s="135"/>
      <c r="AK812" s="65"/>
      <c r="AL812" s="65"/>
      <c r="AM812" s="65"/>
      <c r="AN812" s="135"/>
      <c r="AO812" s="135"/>
      <c r="AP812" s="135"/>
      <c r="AQ812" s="63"/>
      <c r="AR812" s="135"/>
      <c r="AS812" s="135"/>
      <c r="AT812" s="135"/>
      <c r="AU812" s="63"/>
      <c r="AV812" s="63"/>
      <c r="AW812" s="63"/>
      <c r="AX812" s="63"/>
      <c r="BC812" s="24"/>
      <c r="BD812" s="24"/>
    </row>
    <row r="813" spans="32:56" ht="15" customHeight="1" x14ac:dyDescent="0.2">
      <c r="AF813" s="134"/>
      <c r="AG813" s="135"/>
      <c r="AH813" s="135"/>
      <c r="AI813" s="135"/>
      <c r="AJ813" s="135"/>
      <c r="AK813" s="65"/>
      <c r="AL813" s="65"/>
      <c r="AM813" s="65"/>
      <c r="AN813" s="135"/>
      <c r="AO813" s="135"/>
      <c r="AP813" s="135"/>
      <c r="AQ813" s="63"/>
      <c r="AR813" s="135"/>
      <c r="AS813" s="135"/>
      <c r="AT813" s="135"/>
      <c r="AU813" s="63"/>
      <c r="AV813" s="63"/>
      <c r="AW813" s="63"/>
      <c r="AX813" s="63"/>
      <c r="BC813" s="24"/>
      <c r="BD813" s="24"/>
    </row>
    <row r="814" spans="32:56" ht="15" customHeight="1" x14ac:dyDescent="0.2">
      <c r="AF814" s="134"/>
      <c r="AG814" s="135"/>
      <c r="AH814" s="135"/>
      <c r="AI814" s="135"/>
      <c r="AJ814" s="135"/>
      <c r="AK814" s="65"/>
      <c r="AL814" s="65"/>
      <c r="AM814" s="65"/>
      <c r="AN814" s="135"/>
      <c r="AO814" s="135"/>
      <c r="AP814" s="135"/>
      <c r="AQ814" s="63"/>
      <c r="AR814" s="135"/>
      <c r="AS814" s="135"/>
      <c r="AT814" s="135"/>
      <c r="AU814" s="63"/>
      <c r="AV814" s="63"/>
      <c r="AW814" s="63"/>
      <c r="AX814" s="63"/>
      <c r="BC814" s="24"/>
      <c r="BD814" s="24"/>
    </row>
    <row r="815" spans="32:56" ht="15" customHeight="1" x14ac:dyDescent="0.2">
      <c r="AF815" s="134"/>
      <c r="AG815" s="135"/>
      <c r="AH815" s="135"/>
      <c r="AI815" s="135"/>
      <c r="AJ815" s="135"/>
      <c r="AK815" s="65"/>
      <c r="AL815" s="65"/>
      <c r="AM815" s="65"/>
      <c r="AN815" s="135"/>
      <c r="AO815" s="135"/>
      <c r="AP815" s="135"/>
      <c r="AQ815" s="63"/>
      <c r="AR815" s="135"/>
      <c r="AS815" s="135"/>
      <c r="AT815" s="135"/>
      <c r="AU815" s="63"/>
      <c r="AV815" s="63"/>
      <c r="AW815" s="63"/>
      <c r="AX815" s="63"/>
      <c r="BC815" s="24"/>
      <c r="BD815" s="24"/>
    </row>
    <row r="816" spans="32:56" ht="15" customHeight="1" x14ac:dyDescent="0.2">
      <c r="AF816" s="134"/>
      <c r="AG816" s="135"/>
      <c r="AH816" s="135"/>
      <c r="AI816" s="135"/>
      <c r="AJ816" s="135"/>
      <c r="AK816" s="65"/>
      <c r="AL816" s="65"/>
      <c r="AM816" s="65"/>
      <c r="AN816" s="135"/>
      <c r="AO816" s="135"/>
      <c r="AP816" s="135"/>
      <c r="AQ816" s="63"/>
      <c r="AR816" s="135"/>
      <c r="AS816" s="135"/>
      <c r="AT816" s="135"/>
      <c r="AU816" s="63"/>
      <c r="AV816" s="63"/>
      <c r="AW816" s="63"/>
      <c r="AX816" s="63"/>
      <c r="BC816" s="24"/>
      <c r="BD816" s="24"/>
    </row>
    <row r="817" spans="32:56" ht="15" customHeight="1" x14ac:dyDescent="0.2">
      <c r="AF817" s="134"/>
      <c r="AG817" s="135"/>
      <c r="AH817" s="135"/>
      <c r="AI817" s="135"/>
      <c r="AJ817" s="135"/>
      <c r="AK817" s="65"/>
      <c r="AL817" s="65"/>
      <c r="AM817" s="65"/>
      <c r="AN817" s="135"/>
      <c r="AO817" s="135"/>
      <c r="AP817" s="135"/>
      <c r="AQ817" s="63"/>
      <c r="AR817" s="135"/>
      <c r="AS817" s="135"/>
      <c r="AT817" s="135"/>
      <c r="AU817" s="63"/>
      <c r="AV817" s="63"/>
      <c r="AW817" s="63"/>
      <c r="AX817" s="63"/>
      <c r="BC817" s="24"/>
      <c r="BD817" s="24"/>
    </row>
    <row r="818" spans="32:56" ht="15" customHeight="1" x14ac:dyDescent="0.2">
      <c r="AF818" s="134"/>
      <c r="AG818" s="135"/>
      <c r="AH818" s="135"/>
      <c r="AI818" s="135"/>
      <c r="AJ818" s="135"/>
      <c r="AK818" s="65"/>
      <c r="AL818" s="65"/>
      <c r="AM818" s="65"/>
      <c r="AN818" s="135"/>
      <c r="AO818" s="135"/>
      <c r="AP818" s="135"/>
      <c r="AQ818" s="63"/>
      <c r="AR818" s="135"/>
      <c r="AS818" s="135"/>
      <c r="AT818" s="135"/>
      <c r="AU818" s="63"/>
      <c r="AV818" s="63"/>
      <c r="AW818" s="63"/>
      <c r="AX818" s="63"/>
      <c r="BC818" s="24"/>
      <c r="BD818" s="24"/>
    </row>
    <row r="819" spans="32:56" ht="15" customHeight="1" x14ac:dyDescent="0.2">
      <c r="AF819" s="134"/>
      <c r="AG819" s="135"/>
      <c r="AH819" s="135"/>
      <c r="AI819" s="135"/>
      <c r="AJ819" s="135"/>
      <c r="AK819" s="65"/>
      <c r="AL819" s="65"/>
      <c r="AM819" s="65"/>
      <c r="AN819" s="135"/>
      <c r="AO819" s="135"/>
      <c r="AP819" s="135"/>
      <c r="AQ819" s="63"/>
      <c r="AR819" s="135"/>
      <c r="AS819" s="135"/>
      <c r="AT819" s="135"/>
      <c r="AU819" s="63"/>
      <c r="AV819" s="63"/>
      <c r="AW819" s="63"/>
      <c r="AX819" s="63"/>
      <c r="BC819" s="24"/>
      <c r="BD819" s="24"/>
    </row>
    <row r="820" spans="32:56" ht="15" customHeight="1" x14ac:dyDescent="0.2">
      <c r="AF820" s="134"/>
      <c r="AG820" s="135"/>
      <c r="AH820" s="135"/>
      <c r="AI820" s="135"/>
      <c r="AJ820" s="135"/>
      <c r="AK820" s="65"/>
      <c r="AL820" s="65"/>
      <c r="AM820" s="65"/>
      <c r="AN820" s="135"/>
      <c r="AO820" s="135"/>
      <c r="AP820" s="135"/>
      <c r="AQ820" s="63"/>
      <c r="AR820" s="135"/>
      <c r="AS820" s="135"/>
      <c r="AT820" s="135"/>
      <c r="AU820" s="63"/>
      <c r="AV820" s="63"/>
      <c r="AW820" s="63"/>
      <c r="AX820" s="63"/>
      <c r="BC820" s="24"/>
      <c r="BD820" s="24"/>
    </row>
    <row r="821" spans="32:56" ht="15" customHeight="1" x14ac:dyDescent="0.2">
      <c r="AF821" s="134"/>
      <c r="AG821" s="135"/>
      <c r="AH821" s="135"/>
      <c r="AI821" s="135"/>
      <c r="AJ821" s="135"/>
      <c r="AK821" s="65"/>
      <c r="AL821" s="65"/>
      <c r="AM821" s="65"/>
      <c r="AN821" s="135"/>
      <c r="AO821" s="135"/>
      <c r="AP821" s="135"/>
      <c r="AQ821" s="63"/>
      <c r="AR821" s="135"/>
      <c r="AS821" s="135"/>
      <c r="AT821" s="135"/>
      <c r="AU821" s="63"/>
      <c r="AV821" s="63"/>
      <c r="AW821" s="63"/>
      <c r="AX821" s="63"/>
      <c r="BC821" s="24"/>
      <c r="BD821" s="24"/>
    </row>
    <row r="822" spans="32:56" ht="15" customHeight="1" x14ac:dyDescent="0.2">
      <c r="AF822" s="134"/>
      <c r="AG822" s="135"/>
      <c r="AH822" s="135"/>
      <c r="AI822" s="135"/>
      <c r="AJ822" s="135"/>
      <c r="AK822" s="65"/>
      <c r="AL822" s="65"/>
      <c r="AM822" s="65"/>
      <c r="AN822" s="135"/>
      <c r="AO822" s="135"/>
      <c r="AP822" s="135"/>
      <c r="AQ822" s="63"/>
      <c r="AR822" s="135"/>
      <c r="AS822" s="135"/>
      <c r="AT822" s="135"/>
      <c r="AU822" s="63"/>
      <c r="AV822" s="63"/>
      <c r="AW822" s="63"/>
      <c r="AX822" s="63"/>
      <c r="BC822" s="24"/>
      <c r="BD822" s="24"/>
    </row>
    <row r="823" spans="32:56" ht="15" customHeight="1" x14ac:dyDescent="0.2">
      <c r="AF823" s="134"/>
      <c r="AG823" s="135"/>
      <c r="AH823" s="135"/>
      <c r="AI823" s="135"/>
      <c r="AJ823" s="135"/>
      <c r="AK823" s="65"/>
      <c r="AL823" s="65"/>
      <c r="AM823" s="65"/>
      <c r="AN823" s="135"/>
      <c r="AO823" s="135"/>
      <c r="AP823" s="135"/>
      <c r="AQ823" s="63"/>
      <c r="AR823" s="135"/>
      <c r="AS823" s="135"/>
      <c r="AT823" s="135"/>
      <c r="AU823" s="63"/>
      <c r="AV823" s="63"/>
      <c r="AW823" s="63"/>
      <c r="AX823" s="63"/>
      <c r="BC823" s="24"/>
      <c r="BD823" s="24"/>
    </row>
    <row r="824" spans="32:56" ht="15" customHeight="1" x14ac:dyDescent="0.2">
      <c r="AF824" s="134"/>
      <c r="AG824" s="135"/>
      <c r="AH824" s="135"/>
      <c r="AI824" s="135"/>
      <c r="AJ824" s="135"/>
      <c r="AK824" s="65"/>
      <c r="AL824" s="65"/>
      <c r="AM824" s="65"/>
      <c r="AN824" s="135"/>
      <c r="AO824" s="135"/>
      <c r="AP824" s="135"/>
      <c r="AQ824" s="63"/>
      <c r="AR824" s="135"/>
      <c r="AS824" s="135"/>
      <c r="AT824" s="135"/>
      <c r="AU824" s="63"/>
      <c r="AV824" s="63"/>
      <c r="AW824" s="63"/>
      <c r="AX824" s="63"/>
      <c r="BC824" s="24"/>
      <c r="BD824" s="24"/>
    </row>
    <row r="825" spans="32:56" ht="15" customHeight="1" x14ac:dyDescent="0.2">
      <c r="AF825" s="134"/>
      <c r="AG825" s="135"/>
      <c r="AH825" s="135"/>
      <c r="AI825" s="135"/>
      <c r="AJ825" s="135"/>
      <c r="AK825" s="65"/>
      <c r="AL825" s="65"/>
      <c r="AM825" s="65"/>
      <c r="AN825" s="135"/>
      <c r="AO825" s="135"/>
      <c r="AP825" s="135"/>
      <c r="AQ825" s="63"/>
      <c r="AR825" s="135"/>
      <c r="AS825" s="135"/>
      <c r="AT825" s="135"/>
      <c r="AU825" s="63"/>
      <c r="AV825" s="63"/>
      <c r="AW825" s="63"/>
      <c r="AX825" s="63"/>
      <c r="BC825" s="24"/>
      <c r="BD825" s="24"/>
    </row>
    <row r="826" spans="32:56" ht="15" customHeight="1" x14ac:dyDescent="0.2">
      <c r="AF826" s="134"/>
      <c r="AG826" s="135"/>
      <c r="AH826" s="135"/>
      <c r="AI826" s="135"/>
      <c r="AJ826" s="135"/>
      <c r="AK826" s="65"/>
      <c r="AL826" s="65"/>
      <c r="AM826" s="65"/>
      <c r="AN826" s="135"/>
      <c r="AO826" s="135"/>
      <c r="AP826" s="135"/>
      <c r="AQ826" s="63"/>
      <c r="AR826" s="135"/>
      <c r="AS826" s="135"/>
      <c r="AT826" s="135"/>
      <c r="AU826" s="63"/>
      <c r="AV826" s="63"/>
      <c r="AW826" s="63"/>
      <c r="AX826" s="63"/>
      <c r="BC826" s="24"/>
      <c r="BD826" s="24"/>
    </row>
    <row r="827" spans="32:56" ht="15" customHeight="1" x14ac:dyDescent="0.2">
      <c r="AF827" s="134"/>
      <c r="AG827" s="135"/>
      <c r="AH827" s="135"/>
      <c r="AI827" s="135"/>
      <c r="AJ827" s="135"/>
      <c r="AK827" s="65"/>
      <c r="AL827" s="65"/>
      <c r="AM827" s="65"/>
      <c r="AN827" s="135"/>
      <c r="AO827" s="135"/>
      <c r="AP827" s="135"/>
      <c r="AQ827" s="63"/>
      <c r="AR827" s="135"/>
      <c r="AS827" s="135"/>
      <c r="AT827" s="135"/>
      <c r="AU827" s="63"/>
      <c r="AV827" s="63"/>
      <c r="AW827" s="63"/>
      <c r="AX827" s="63"/>
      <c r="BC827" s="24"/>
      <c r="BD827" s="24"/>
    </row>
    <row r="828" spans="32:56" ht="15" customHeight="1" x14ac:dyDescent="0.2">
      <c r="AF828" s="134"/>
      <c r="AG828" s="135"/>
      <c r="AH828" s="135"/>
      <c r="AI828" s="135"/>
      <c r="AJ828" s="135"/>
      <c r="AK828" s="65"/>
      <c r="AL828" s="65"/>
      <c r="AM828" s="65"/>
      <c r="AN828" s="135"/>
      <c r="AO828" s="135"/>
      <c r="AP828" s="135"/>
      <c r="AQ828" s="63"/>
      <c r="AR828" s="135"/>
      <c r="AS828" s="135"/>
      <c r="AT828" s="135"/>
      <c r="AU828" s="63"/>
      <c r="AV828" s="63"/>
      <c r="AW828" s="63"/>
      <c r="AX828" s="63"/>
      <c r="BC828" s="24"/>
      <c r="BD828" s="24"/>
    </row>
    <row r="829" spans="32:56" ht="15" customHeight="1" x14ac:dyDescent="0.2">
      <c r="AF829" s="134"/>
      <c r="AG829" s="135"/>
      <c r="AH829" s="135"/>
      <c r="AI829" s="135"/>
      <c r="AJ829" s="135"/>
      <c r="AK829" s="65"/>
      <c r="AL829" s="65"/>
      <c r="AM829" s="65"/>
      <c r="AN829" s="135"/>
      <c r="AO829" s="135"/>
      <c r="AP829" s="135"/>
      <c r="AQ829" s="63"/>
      <c r="AR829" s="135"/>
      <c r="AS829" s="135"/>
      <c r="AT829" s="135"/>
      <c r="AU829" s="63"/>
      <c r="AV829" s="63"/>
      <c r="AW829" s="63"/>
      <c r="AX829" s="63"/>
      <c r="BC829" s="24"/>
      <c r="BD829" s="24"/>
    </row>
    <row r="830" spans="32:56" ht="15" customHeight="1" x14ac:dyDescent="0.2">
      <c r="AF830" s="134"/>
      <c r="AG830" s="135"/>
      <c r="AH830" s="135"/>
      <c r="AI830" s="135"/>
      <c r="AJ830" s="135"/>
      <c r="AK830" s="65"/>
      <c r="AL830" s="65"/>
      <c r="AM830" s="65"/>
      <c r="AN830" s="135"/>
      <c r="AO830" s="135"/>
      <c r="AP830" s="135"/>
      <c r="AQ830" s="63"/>
      <c r="AR830" s="135"/>
      <c r="AS830" s="135"/>
      <c r="AT830" s="135"/>
      <c r="AU830" s="63"/>
      <c r="AV830" s="63"/>
      <c r="AW830" s="63"/>
      <c r="AX830" s="63"/>
      <c r="BC830" s="24"/>
      <c r="BD830" s="24"/>
    </row>
    <row r="831" spans="32:56" ht="15" customHeight="1" x14ac:dyDescent="0.2">
      <c r="AF831" s="134"/>
      <c r="AG831" s="135"/>
      <c r="AH831" s="135"/>
      <c r="AI831" s="135"/>
      <c r="AJ831" s="135"/>
      <c r="AK831" s="65"/>
      <c r="AL831" s="65"/>
      <c r="AM831" s="65"/>
      <c r="AN831" s="135"/>
      <c r="AO831" s="135"/>
      <c r="AP831" s="135"/>
      <c r="AQ831" s="63"/>
      <c r="AR831" s="135"/>
      <c r="AS831" s="135"/>
      <c r="AT831" s="135"/>
      <c r="AU831" s="63"/>
      <c r="AV831" s="63"/>
      <c r="AW831" s="63"/>
      <c r="AX831" s="63"/>
      <c r="BC831" s="24"/>
      <c r="BD831" s="24"/>
    </row>
    <row r="832" spans="32:56" ht="15" customHeight="1" x14ac:dyDescent="0.2">
      <c r="AF832" s="134"/>
      <c r="AG832" s="135"/>
      <c r="AH832" s="135"/>
      <c r="AI832" s="135"/>
      <c r="AJ832" s="135"/>
      <c r="AK832" s="65"/>
      <c r="AL832" s="65"/>
      <c r="AM832" s="65"/>
      <c r="AN832" s="135"/>
      <c r="AO832" s="135"/>
      <c r="AP832" s="135"/>
      <c r="AQ832" s="63"/>
      <c r="AR832" s="135"/>
      <c r="AS832" s="135"/>
      <c r="AT832" s="135"/>
      <c r="AU832" s="63"/>
      <c r="AV832" s="63"/>
      <c r="AW832" s="63"/>
      <c r="AX832" s="63"/>
      <c r="BC832" s="24"/>
      <c r="BD832" s="24"/>
    </row>
    <row r="833" spans="32:56" ht="15" customHeight="1" x14ac:dyDescent="0.2">
      <c r="AF833" s="134"/>
      <c r="AG833" s="135"/>
      <c r="AH833" s="135"/>
      <c r="AI833" s="135"/>
      <c r="AJ833" s="135"/>
      <c r="AK833" s="65"/>
      <c r="AL833" s="65"/>
      <c r="AM833" s="65"/>
      <c r="AN833" s="135"/>
      <c r="AO833" s="135"/>
      <c r="AP833" s="135"/>
      <c r="AQ833" s="63"/>
      <c r="AR833" s="135"/>
      <c r="AS833" s="135"/>
      <c r="AT833" s="135"/>
      <c r="AU833" s="63"/>
      <c r="AV833" s="63"/>
      <c r="AW833" s="63"/>
      <c r="AX833" s="63"/>
      <c r="BC833" s="24"/>
      <c r="BD833" s="24"/>
    </row>
    <row r="834" spans="32:56" ht="15" customHeight="1" x14ac:dyDescent="0.2">
      <c r="AF834" s="134"/>
      <c r="AG834" s="135"/>
      <c r="AH834" s="135"/>
      <c r="AI834" s="135"/>
      <c r="AJ834" s="135"/>
      <c r="AK834" s="65"/>
      <c r="AL834" s="65"/>
      <c r="AM834" s="65"/>
      <c r="AN834" s="135"/>
      <c r="AO834" s="135"/>
      <c r="AP834" s="135"/>
      <c r="AQ834" s="63"/>
      <c r="AR834" s="135"/>
      <c r="AS834" s="135"/>
      <c r="AT834" s="135"/>
      <c r="AU834" s="63"/>
      <c r="AV834" s="63"/>
      <c r="AW834" s="63"/>
      <c r="AX834" s="63"/>
      <c r="BC834" s="24"/>
      <c r="BD834" s="24"/>
    </row>
    <row r="835" spans="32:56" ht="15" customHeight="1" x14ac:dyDescent="0.2">
      <c r="AF835" s="134"/>
      <c r="AG835" s="135"/>
      <c r="AH835" s="135"/>
      <c r="AI835" s="135"/>
      <c r="AJ835" s="135"/>
      <c r="AK835" s="65"/>
      <c r="AL835" s="65"/>
      <c r="AM835" s="65"/>
      <c r="AN835" s="135"/>
      <c r="AO835" s="135"/>
      <c r="AP835" s="135"/>
      <c r="AQ835" s="63"/>
      <c r="AR835" s="135"/>
      <c r="AS835" s="135"/>
      <c r="AT835" s="135"/>
      <c r="AU835" s="63"/>
      <c r="AV835" s="63"/>
      <c r="AW835" s="63"/>
      <c r="AX835" s="63"/>
      <c r="BC835" s="24"/>
      <c r="BD835" s="24"/>
    </row>
    <row r="836" spans="32:56" ht="15" customHeight="1" x14ac:dyDescent="0.2">
      <c r="AF836" s="134"/>
      <c r="AG836" s="135"/>
      <c r="AH836" s="135"/>
      <c r="AI836" s="135"/>
      <c r="AJ836" s="135"/>
      <c r="AK836" s="65"/>
      <c r="AL836" s="65"/>
      <c r="AM836" s="65"/>
      <c r="AN836" s="135"/>
      <c r="AO836" s="135"/>
      <c r="AP836" s="135"/>
      <c r="AQ836" s="63"/>
      <c r="AR836" s="135"/>
      <c r="AS836" s="135"/>
      <c r="AT836" s="135"/>
      <c r="AU836" s="63"/>
      <c r="AV836" s="63"/>
      <c r="AW836" s="63"/>
      <c r="AX836" s="63"/>
      <c r="BC836" s="24"/>
      <c r="BD836" s="24"/>
    </row>
    <row r="837" spans="32:56" ht="15" customHeight="1" x14ac:dyDescent="0.2">
      <c r="AF837" s="134"/>
      <c r="AG837" s="135"/>
      <c r="AH837" s="135"/>
      <c r="AI837" s="135"/>
      <c r="AJ837" s="135"/>
      <c r="AK837" s="65"/>
      <c r="AL837" s="65"/>
      <c r="AM837" s="65"/>
      <c r="AN837" s="135"/>
      <c r="AO837" s="135"/>
      <c r="AP837" s="135"/>
      <c r="AQ837" s="63"/>
      <c r="AR837" s="135"/>
      <c r="AS837" s="135"/>
      <c r="AT837" s="135"/>
      <c r="AU837" s="63"/>
      <c r="AV837" s="63"/>
      <c r="AW837" s="63"/>
      <c r="AX837" s="63"/>
      <c r="BC837" s="24"/>
      <c r="BD837" s="24"/>
    </row>
    <row r="838" spans="32:56" ht="15" customHeight="1" x14ac:dyDescent="0.2">
      <c r="AF838" s="134"/>
      <c r="AG838" s="135"/>
      <c r="AH838" s="135"/>
      <c r="AI838" s="135"/>
      <c r="AJ838" s="135"/>
      <c r="AK838" s="65"/>
      <c r="AL838" s="65"/>
      <c r="AM838" s="65"/>
      <c r="AN838" s="135"/>
      <c r="AO838" s="135"/>
      <c r="AP838" s="135"/>
      <c r="AQ838" s="63"/>
      <c r="AR838" s="135"/>
      <c r="AS838" s="135"/>
      <c r="AT838" s="135"/>
      <c r="AU838" s="63"/>
      <c r="AV838" s="63"/>
      <c r="AW838" s="63"/>
      <c r="AX838" s="63"/>
      <c r="BC838" s="24"/>
      <c r="BD838" s="24"/>
    </row>
    <row r="839" spans="32:56" ht="15" customHeight="1" x14ac:dyDescent="0.2">
      <c r="AF839" s="134"/>
      <c r="AG839" s="135"/>
      <c r="AH839" s="135"/>
      <c r="AI839" s="135"/>
      <c r="AJ839" s="135"/>
      <c r="AK839" s="65"/>
      <c r="AL839" s="65"/>
      <c r="AM839" s="65"/>
      <c r="AN839" s="135"/>
      <c r="AO839" s="135"/>
      <c r="AP839" s="135"/>
      <c r="AQ839" s="63"/>
      <c r="AR839" s="135"/>
      <c r="AS839" s="135"/>
      <c r="AT839" s="135"/>
      <c r="AU839" s="63"/>
      <c r="AV839" s="63"/>
      <c r="AW839" s="63"/>
      <c r="AX839" s="63"/>
      <c r="BC839" s="24"/>
      <c r="BD839" s="24"/>
    </row>
    <row r="840" spans="32:56" ht="15" customHeight="1" x14ac:dyDescent="0.2">
      <c r="AF840" s="134"/>
      <c r="AG840" s="135"/>
      <c r="AH840" s="135"/>
      <c r="AI840" s="135"/>
      <c r="AJ840" s="135"/>
      <c r="AK840" s="65"/>
      <c r="AL840" s="65"/>
      <c r="AM840" s="65"/>
      <c r="AN840" s="135"/>
      <c r="AO840" s="135"/>
      <c r="AP840" s="135"/>
      <c r="AQ840" s="63"/>
      <c r="AR840" s="135"/>
      <c r="AS840" s="135"/>
      <c r="AT840" s="135"/>
      <c r="AU840" s="63"/>
      <c r="AV840" s="63"/>
      <c r="AW840" s="63"/>
      <c r="AX840" s="63"/>
      <c r="BC840" s="24"/>
      <c r="BD840" s="24"/>
    </row>
    <row r="841" spans="32:56" ht="15" customHeight="1" x14ac:dyDescent="0.2">
      <c r="AF841" s="134"/>
      <c r="AG841" s="135"/>
      <c r="AH841" s="135"/>
      <c r="AI841" s="135"/>
      <c r="AJ841" s="135"/>
      <c r="AK841" s="65"/>
      <c r="AL841" s="65"/>
      <c r="AM841" s="65"/>
      <c r="AN841" s="135"/>
      <c r="AO841" s="135"/>
      <c r="AP841" s="135"/>
      <c r="AQ841" s="63"/>
      <c r="AR841" s="135"/>
      <c r="AS841" s="135"/>
      <c r="AT841" s="135"/>
      <c r="AU841" s="63"/>
      <c r="AV841" s="63"/>
      <c r="AW841" s="63"/>
      <c r="AX841" s="63"/>
      <c r="BC841" s="24"/>
      <c r="BD841" s="24"/>
    </row>
    <row r="842" spans="32:56" ht="15" customHeight="1" x14ac:dyDescent="0.2">
      <c r="AF842" s="134"/>
      <c r="AG842" s="135"/>
      <c r="AH842" s="135"/>
      <c r="AI842" s="135"/>
      <c r="AJ842" s="135"/>
      <c r="AK842" s="65"/>
      <c r="AL842" s="65"/>
      <c r="AM842" s="65"/>
      <c r="AN842" s="135"/>
      <c r="AO842" s="135"/>
      <c r="AP842" s="135"/>
      <c r="AQ842" s="63"/>
      <c r="AR842" s="135"/>
      <c r="AS842" s="135"/>
      <c r="AT842" s="135"/>
      <c r="AU842" s="63"/>
      <c r="AV842" s="63"/>
      <c r="AW842" s="63"/>
      <c r="AX842" s="63"/>
      <c r="BC842" s="24"/>
      <c r="BD842" s="24"/>
    </row>
    <row r="843" spans="32:56" ht="15" customHeight="1" x14ac:dyDescent="0.2">
      <c r="AF843" s="134"/>
      <c r="AG843" s="135"/>
      <c r="AH843" s="135"/>
      <c r="AI843" s="135"/>
      <c r="AJ843" s="135"/>
      <c r="AK843" s="65"/>
      <c r="AL843" s="65"/>
      <c r="AM843" s="65"/>
      <c r="AN843" s="135"/>
      <c r="AO843" s="135"/>
      <c r="AP843" s="135"/>
      <c r="AQ843" s="63"/>
      <c r="AR843" s="135"/>
      <c r="AS843" s="135"/>
      <c r="AT843" s="135"/>
      <c r="AU843" s="63"/>
      <c r="AV843" s="63"/>
      <c r="AW843" s="63"/>
      <c r="AX843" s="63"/>
      <c r="BC843" s="24"/>
      <c r="BD843" s="24"/>
    </row>
    <row r="844" spans="32:56" ht="15" customHeight="1" x14ac:dyDescent="0.2">
      <c r="AF844" s="134"/>
      <c r="AG844" s="135"/>
      <c r="AH844" s="135"/>
      <c r="AI844" s="135"/>
      <c r="AJ844" s="135"/>
      <c r="AK844" s="65"/>
      <c r="AL844" s="65"/>
      <c r="AM844" s="65"/>
      <c r="AN844" s="135"/>
      <c r="AO844" s="135"/>
      <c r="AP844" s="135"/>
      <c r="AQ844" s="63"/>
      <c r="AR844" s="135"/>
      <c r="AS844" s="135"/>
      <c r="AT844" s="135"/>
      <c r="AU844" s="63"/>
      <c r="AV844" s="63"/>
      <c r="AW844" s="63"/>
      <c r="AX844" s="63"/>
      <c r="BC844" s="24"/>
      <c r="BD844" s="24"/>
    </row>
    <row r="845" spans="32:56" ht="15" customHeight="1" x14ac:dyDescent="0.2">
      <c r="AF845" s="134"/>
      <c r="AG845" s="135"/>
      <c r="AH845" s="135"/>
      <c r="AI845" s="135"/>
      <c r="AJ845" s="135"/>
      <c r="AK845" s="65"/>
      <c r="AL845" s="65"/>
      <c r="AM845" s="65"/>
      <c r="AN845" s="135"/>
      <c r="AO845" s="135"/>
      <c r="AP845" s="135"/>
      <c r="AQ845" s="63"/>
      <c r="AR845" s="135"/>
      <c r="AS845" s="135"/>
      <c r="AT845" s="135"/>
      <c r="AU845" s="63"/>
      <c r="AV845" s="63"/>
      <c r="AW845" s="63"/>
      <c r="AX845" s="63"/>
      <c r="BC845" s="24"/>
      <c r="BD845" s="24"/>
    </row>
    <row r="846" spans="32:56" ht="15" customHeight="1" x14ac:dyDescent="0.2">
      <c r="AF846" s="134"/>
      <c r="AG846" s="135"/>
      <c r="AH846" s="135"/>
      <c r="AI846" s="135"/>
      <c r="AJ846" s="135"/>
      <c r="AK846" s="65"/>
      <c r="AL846" s="65"/>
      <c r="AM846" s="65"/>
      <c r="AN846" s="135"/>
      <c r="AO846" s="135"/>
      <c r="AP846" s="135"/>
      <c r="AQ846" s="63"/>
      <c r="AR846" s="135"/>
      <c r="AS846" s="135"/>
      <c r="AT846" s="135"/>
      <c r="AU846" s="63"/>
      <c r="AV846" s="63"/>
      <c r="AW846" s="63"/>
      <c r="AX846" s="63"/>
      <c r="BC846" s="24"/>
      <c r="BD846" s="24"/>
    </row>
    <row r="847" spans="32:56" ht="15" customHeight="1" x14ac:dyDescent="0.2">
      <c r="AF847" s="134"/>
      <c r="AG847" s="135"/>
      <c r="AH847" s="135"/>
      <c r="AI847" s="135"/>
      <c r="AJ847" s="135"/>
      <c r="AK847" s="65"/>
      <c r="AL847" s="65"/>
      <c r="AM847" s="65"/>
      <c r="AN847" s="135"/>
      <c r="AO847" s="135"/>
      <c r="AP847" s="135"/>
      <c r="AQ847" s="63"/>
      <c r="AR847" s="135"/>
      <c r="AS847" s="135"/>
      <c r="AT847" s="135"/>
      <c r="AU847" s="63"/>
      <c r="AV847" s="63"/>
      <c r="AW847" s="63"/>
      <c r="AX847" s="63"/>
      <c r="BC847" s="24"/>
      <c r="BD847" s="24"/>
    </row>
    <row r="848" spans="32:56" ht="15" customHeight="1" x14ac:dyDescent="0.2">
      <c r="AF848" s="134"/>
      <c r="AG848" s="135"/>
      <c r="AH848" s="135"/>
      <c r="AI848" s="135"/>
      <c r="AJ848" s="135"/>
      <c r="AK848" s="65"/>
      <c r="AL848" s="65"/>
      <c r="AM848" s="65"/>
      <c r="AN848" s="135"/>
      <c r="AO848" s="135"/>
      <c r="AP848" s="135"/>
      <c r="AQ848" s="63"/>
      <c r="AR848" s="135"/>
      <c r="AS848" s="135"/>
      <c r="AT848" s="135"/>
      <c r="AU848" s="63"/>
      <c r="AV848" s="63"/>
      <c r="AW848" s="63"/>
      <c r="AX848" s="63"/>
      <c r="BC848" s="24"/>
      <c r="BD848" s="24"/>
    </row>
    <row r="849" spans="32:56" ht="15" customHeight="1" x14ac:dyDescent="0.2">
      <c r="AF849" s="134"/>
      <c r="AG849" s="135"/>
      <c r="AH849" s="135"/>
      <c r="AI849" s="135"/>
      <c r="AJ849" s="135"/>
      <c r="AK849" s="65"/>
      <c r="AL849" s="65"/>
      <c r="AM849" s="65"/>
      <c r="AN849" s="135"/>
      <c r="AO849" s="135"/>
      <c r="AP849" s="135"/>
      <c r="AQ849" s="63"/>
      <c r="AR849" s="135"/>
      <c r="AS849" s="135"/>
      <c r="AT849" s="135"/>
      <c r="AU849" s="63"/>
      <c r="AV849" s="63"/>
      <c r="AW849" s="63"/>
      <c r="AX849" s="63"/>
      <c r="BC849" s="24"/>
      <c r="BD849" s="24"/>
    </row>
    <row r="850" spans="32:56" ht="15" customHeight="1" x14ac:dyDescent="0.2">
      <c r="AF850" s="134"/>
      <c r="AG850" s="135"/>
      <c r="AH850" s="135"/>
      <c r="AI850" s="135"/>
      <c r="AJ850" s="135"/>
      <c r="AK850" s="65"/>
      <c r="AL850" s="65"/>
      <c r="AM850" s="65"/>
      <c r="AN850" s="135"/>
      <c r="AO850" s="135"/>
      <c r="AP850" s="135"/>
      <c r="AQ850" s="63"/>
      <c r="AR850" s="135"/>
      <c r="AS850" s="135"/>
      <c r="AT850" s="135"/>
      <c r="AU850" s="63"/>
      <c r="AV850" s="63"/>
      <c r="AW850" s="63"/>
      <c r="AX850" s="63"/>
      <c r="BC850" s="24"/>
      <c r="BD850" s="24"/>
    </row>
    <row r="851" spans="32:56" ht="15" customHeight="1" x14ac:dyDescent="0.2">
      <c r="AF851" s="134"/>
      <c r="AG851" s="135"/>
      <c r="AH851" s="135"/>
      <c r="AI851" s="135"/>
      <c r="AJ851" s="135"/>
      <c r="AK851" s="65"/>
      <c r="AL851" s="65"/>
      <c r="AM851" s="65"/>
      <c r="AN851" s="135"/>
      <c r="AO851" s="135"/>
      <c r="AP851" s="135"/>
      <c r="AQ851" s="63"/>
      <c r="AR851" s="135"/>
      <c r="AS851" s="135"/>
      <c r="AT851" s="135"/>
      <c r="AU851" s="63"/>
      <c r="AV851" s="63"/>
      <c r="AW851" s="63"/>
      <c r="AX851" s="63"/>
      <c r="BC851" s="24"/>
      <c r="BD851" s="24"/>
    </row>
    <row r="852" spans="32:56" ht="15" customHeight="1" x14ac:dyDescent="0.2">
      <c r="AF852" s="134"/>
      <c r="AG852" s="135"/>
      <c r="AH852" s="135"/>
      <c r="AI852" s="135"/>
      <c r="AJ852" s="135"/>
      <c r="AK852" s="65"/>
      <c r="AL852" s="65"/>
      <c r="AM852" s="65"/>
      <c r="AN852" s="135"/>
      <c r="AO852" s="135"/>
      <c r="AP852" s="135"/>
      <c r="AQ852" s="63"/>
      <c r="AR852" s="135"/>
      <c r="AS852" s="135"/>
      <c r="AT852" s="135"/>
      <c r="AU852" s="63"/>
      <c r="AV852" s="63"/>
      <c r="AW852" s="63"/>
      <c r="AX852" s="63"/>
      <c r="BC852" s="24"/>
      <c r="BD852" s="24"/>
    </row>
    <row r="853" spans="32:56" ht="15" customHeight="1" x14ac:dyDescent="0.2">
      <c r="AF853" s="134"/>
      <c r="AG853" s="135"/>
      <c r="AH853" s="135"/>
      <c r="AI853" s="135"/>
      <c r="AJ853" s="135"/>
      <c r="AK853" s="65"/>
      <c r="AL853" s="65"/>
      <c r="AM853" s="65"/>
      <c r="AN853" s="135"/>
      <c r="AO853" s="135"/>
      <c r="AP853" s="135"/>
      <c r="AQ853" s="63"/>
      <c r="AR853" s="135"/>
      <c r="AS853" s="135"/>
      <c r="AT853" s="135"/>
      <c r="AU853" s="63"/>
      <c r="AV853" s="63"/>
      <c r="AW853" s="63"/>
      <c r="AX853" s="63"/>
      <c r="BC853" s="24"/>
      <c r="BD853" s="24"/>
    </row>
    <row r="854" spans="32:56" ht="15" customHeight="1" x14ac:dyDescent="0.2">
      <c r="AF854" s="134"/>
      <c r="AG854" s="135"/>
      <c r="AH854" s="135"/>
      <c r="AI854" s="135"/>
      <c r="AJ854" s="135"/>
      <c r="AK854" s="65"/>
      <c r="AL854" s="65"/>
      <c r="AM854" s="65"/>
      <c r="AN854" s="135"/>
      <c r="AO854" s="135"/>
      <c r="AP854" s="135"/>
      <c r="AQ854" s="63"/>
      <c r="AR854" s="135"/>
      <c r="AS854" s="135"/>
      <c r="AT854" s="135"/>
      <c r="AU854" s="63"/>
      <c r="AV854" s="63"/>
      <c r="AW854" s="63"/>
      <c r="AX854" s="63"/>
      <c r="BC854" s="24"/>
      <c r="BD854" s="24"/>
    </row>
    <row r="855" spans="32:56" ht="15" customHeight="1" x14ac:dyDescent="0.2">
      <c r="AF855" s="134"/>
      <c r="AG855" s="135"/>
      <c r="AH855" s="135"/>
      <c r="AI855" s="135"/>
      <c r="AJ855" s="135"/>
      <c r="AK855" s="65"/>
      <c r="AL855" s="65"/>
      <c r="AM855" s="65"/>
      <c r="AN855" s="135"/>
      <c r="AO855" s="135"/>
      <c r="AP855" s="135"/>
      <c r="AQ855" s="63"/>
      <c r="AR855" s="135"/>
      <c r="AS855" s="135"/>
      <c r="AT855" s="135"/>
      <c r="AU855" s="63"/>
      <c r="AV855" s="63"/>
      <c r="AW855" s="63"/>
      <c r="AX855" s="63"/>
      <c r="BC855" s="24"/>
      <c r="BD855" s="24"/>
    </row>
    <row r="856" spans="32:56" ht="15" customHeight="1" x14ac:dyDescent="0.2">
      <c r="AF856" s="134"/>
      <c r="AG856" s="135"/>
      <c r="AH856" s="135"/>
      <c r="AI856" s="135"/>
      <c r="AJ856" s="135"/>
      <c r="AK856" s="65"/>
      <c r="AL856" s="65"/>
      <c r="AM856" s="65"/>
      <c r="AN856" s="135"/>
      <c r="AO856" s="135"/>
      <c r="AP856" s="135"/>
      <c r="AQ856" s="63"/>
      <c r="AR856" s="135"/>
      <c r="AS856" s="135"/>
      <c r="AT856" s="135"/>
      <c r="AU856" s="63"/>
      <c r="AV856" s="63"/>
      <c r="AW856" s="63"/>
      <c r="AX856" s="63"/>
      <c r="BC856" s="24"/>
      <c r="BD856" s="24"/>
    </row>
    <row r="857" spans="32:56" ht="15" customHeight="1" x14ac:dyDescent="0.2">
      <c r="AF857" s="134"/>
      <c r="AG857" s="135"/>
      <c r="AH857" s="135"/>
      <c r="AI857" s="135"/>
      <c r="AJ857" s="135"/>
      <c r="AK857" s="65"/>
      <c r="AL857" s="65"/>
      <c r="AM857" s="65"/>
      <c r="AN857" s="135"/>
      <c r="AO857" s="135"/>
      <c r="AP857" s="135"/>
      <c r="AQ857" s="63"/>
      <c r="AR857" s="135"/>
      <c r="AS857" s="135"/>
      <c r="AT857" s="135"/>
      <c r="AU857" s="63"/>
      <c r="AV857" s="63"/>
      <c r="AW857" s="63"/>
      <c r="AX857" s="63"/>
      <c r="BC857" s="24"/>
      <c r="BD857" s="24"/>
    </row>
    <row r="858" spans="32:56" ht="15" customHeight="1" x14ac:dyDescent="0.2">
      <c r="AF858" s="134"/>
      <c r="AG858" s="135"/>
      <c r="AH858" s="135"/>
      <c r="AI858" s="135"/>
      <c r="AJ858" s="135"/>
      <c r="AK858" s="65"/>
      <c r="AL858" s="65"/>
      <c r="AM858" s="65"/>
      <c r="AN858" s="135"/>
      <c r="AO858" s="135"/>
      <c r="AP858" s="135"/>
      <c r="AQ858" s="63"/>
      <c r="AR858" s="135"/>
      <c r="AS858" s="135"/>
      <c r="AT858" s="135"/>
      <c r="AU858" s="63"/>
      <c r="AV858" s="63"/>
      <c r="AW858" s="63"/>
      <c r="AX858" s="63"/>
      <c r="BC858" s="24"/>
      <c r="BD858" s="24"/>
    </row>
    <row r="859" spans="32:56" ht="15" customHeight="1" x14ac:dyDescent="0.2">
      <c r="AF859" s="134"/>
      <c r="AG859" s="135"/>
      <c r="AH859" s="135"/>
      <c r="AI859" s="135"/>
      <c r="AJ859" s="135"/>
      <c r="AK859" s="65"/>
      <c r="AL859" s="65"/>
      <c r="AM859" s="65"/>
      <c r="AN859" s="135"/>
      <c r="AO859" s="135"/>
      <c r="AP859" s="135"/>
      <c r="AQ859" s="63"/>
      <c r="AR859" s="135"/>
      <c r="AS859" s="135"/>
      <c r="AT859" s="135"/>
      <c r="AU859" s="63"/>
      <c r="AV859" s="63"/>
      <c r="AW859" s="63"/>
      <c r="AX859" s="63"/>
      <c r="BC859" s="24"/>
      <c r="BD859" s="24"/>
    </row>
    <row r="860" spans="32:56" ht="15" customHeight="1" x14ac:dyDescent="0.2">
      <c r="AF860" s="134"/>
      <c r="AG860" s="135"/>
      <c r="AH860" s="135"/>
      <c r="AI860" s="135"/>
      <c r="AJ860" s="135"/>
      <c r="AK860" s="65"/>
      <c r="AL860" s="65"/>
      <c r="AM860" s="65"/>
      <c r="AN860" s="135"/>
      <c r="AO860" s="135"/>
      <c r="AP860" s="135"/>
      <c r="AQ860" s="63"/>
      <c r="AR860" s="135"/>
      <c r="AS860" s="135"/>
      <c r="AT860" s="135"/>
      <c r="AU860" s="63"/>
      <c r="AV860" s="63"/>
      <c r="AW860" s="63"/>
      <c r="AX860" s="63"/>
      <c r="BC860" s="24"/>
      <c r="BD860" s="24"/>
    </row>
    <row r="861" spans="32:56" ht="15" customHeight="1" x14ac:dyDescent="0.2">
      <c r="AF861" s="134"/>
      <c r="AG861" s="135"/>
      <c r="AH861" s="135"/>
      <c r="AI861" s="135"/>
      <c r="AJ861" s="135"/>
      <c r="AK861" s="65"/>
      <c r="AL861" s="65"/>
      <c r="AM861" s="65"/>
      <c r="AN861" s="135"/>
      <c r="AO861" s="135"/>
      <c r="AP861" s="135"/>
      <c r="AQ861" s="63"/>
      <c r="AR861" s="135"/>
      <c r="AS861" s="135"/>
      <c r="AT861" s="135"/>
      <c r="AU861" s="63"/>
      <c r="AV861" s="63"/>
      <c r="AW861" s="63"/>
      <c r="AX861" s="63"/>
      <c r="BC861" s="24"/>
      <c r="BD861" s="24"/>
    </row>
    <row r="862" spans="32:56" ht="15" customHeight="1" x14ac:dyDescent="0.2">
      <c r="AF862" s="134"/>
      <c r="AG862" s="135"/>
      <c r="AH862" s="135"/>
      <c r="AI862" s="135"/>
      <c r="AJ862" s="135"/>
      <c r="AK862" s="65"/>
      <c r="AL862" s="65"/>
      <c r="AM862" s="65"/>
      <c r="AN862" s="135"/>
      <c r="AO862" s="135"/>
      <c r="AP862" s="135"/>
      <c r="AQ862" s="63"/>
      <c r="AR862" s="135"/>
      <c r="AS862" s="135"/>
      <c r="AT862" s="135"/>
      <c r="AU862" s="63"/>
      <c r="AV862" s="63"/>
      <c r="AW862" s="63"/>
      <c r="AX862" s="63"/>
      <c r="BC862" s="24"/>
      <c r="BD862" s="24"/>
    </row>
    <row r="863" spans="32:56" ht="15" customHeight="1" x14ac:dyDescent="0.2">
      <c r="AF863" s="134"/>
      <c r="AG863" s="135"/>
      <c r="AH863" s="135"/>
      <c r="AI863" s="135"/>
      <c r="AJ863" s="135"/>
      <c r="AK863" s="65"/>
      <c r="AL863" s="65"/>
      <c r="AM863" s="65"/>
      <c r="AN863" s="135"/>
      <c r="AO863" s="135"/>
      <c r="AP863" s="135"/>
      <c r="AQ863" s="63"/>
      <c r="AR863" s="135"/>
      <c r="AS863" s="135"/>
      <c r="AT863" s="135"/>
      <c r="AU863" s="63"/>
      <c r="AV863" s="63"/>
      <c r="AW863" s="63"/>
      <c r="AX863" s="63"/>
      <c r="BC863" s="24"/>
      <c r="BD863" s="24"/>
    </row>
    <row r="864" spans="32:56" ht="15" customHeight="1" x14ac:dyDescent="0.2">
      <c r="AF864" s="134"/>
      <c r="AG864" s="135"/>
      <c r="AH864" s="135"/>
      <c r="AI864" s="135"/>
      <c r="AJ864" s="135"/>
      <c r="AK864" s="65"/>
      <c r="AL864" s="65"/>
      <c r="AM864" s="65"/>
      <c r="AN864" s="135"/>
      <c r="AO864" s="135"/>
      <c r="AP864" s="135"/>
      <c r="AQ864" s="63"/>
      <c r="AR864" s="135"/>
      <c r="AS864" s="135"/>
      <c r="AT864" s="135"/>
      <c r="AU864" s="63"/>
      <c r="AV864" s="63"/>
      <c r="AW864" s="63"/>
      <c r="AX864" s="63"/>
      <c r="BC864" s="24"/>
      <c r="BD864" s="24"/>
    </row>
    <row r="865" spans="32:56" ht="15" customHeight="1" x14ac:dyDescent="0.2">
      <c r="AF865" s="134"/>
      <c r="AG865" s="135"/>
      <c r="AH865" s="135"/>
      <c r="AI865" s="135"/>
      <c r="AJ865" s="135"/>
      <c r="AK865" s="65"/>
      <c r="AL865" s="65"/>
      <c r="AM865" s="65"/>
      <c r="AN865" s="135"/>
      <c r="AO865" s="135"/>
      <c r="AP865" s="135"/>
      <c r="AQ865" s="63"/>
      <c r="AR865" s="135"/>
      <c r="AS865" s="135"/>
      <c r="AT865" s="135"/>
      <c r="AU865" s="63"/>
      <c r="AV865" s="63"/>
      <c r="AW865" s="63"/>
      <c r="AX865" s="63"/>
      <c r="BC865" s="24"/>
      <c r="BD865" s="24"/>
    </row>
    <row r="866" spans="32:56" ht="15" customHeight="1" x14ac:dyDescent="0.2">
      <c r="AF866" s="134"/>
      <c r="AG866" s="135"/>
      <c r="AH866" s="135"/>
      <c r="AI866" s="135"/>
      <c r="AJ866" s="135"/>
      <c r="AK866" s="65"/>
      <c r="AL866" s="65"/>
      <c r="AM866" s="65"/>
      <c r="AN866" s="135"/>
      <c r="AO866" s="135"/>
      <c r="AP866" s="135"/>
      <c r="AQ866" s="63"/>
      <c r="AR866" s="135"/>
      <c r="AS866" s="135"/>
      <c r="AT866" s="135"/>
      <c r="AU866" s="63"/>
      <c r="AV866" s="63"/>
      <c r="AW866" s="63"/>
      <c r="AX866" s="63"/>
      <c r="BC866" s="24"/>
      <c r="BD866" s="24"/>
    </row>
    <row r="867" spans="32:56" ht="15" customHeight="1" x14ac:dyDescent="0.2">
      <c r="AF867" s="134"/>
      <c r="AG867" s="135"/>
      <c r="AH867" s="135"/>
      <c r="AI867" s="135"/>
      <c r="AJ867" s="135"/>
      <c r="AK867" s="65"/>
      <c r="AL867" s="65"/>
      <c r="AM867" s="65"/>
      <c r="AN867" s="135"/>
      <c r="AO867" s="135"/>
      <c r="AP867" s="135"/>
      <c r="AQ867" s="63"/>
      <c r="AR867" s="135"/>
      <c r="AS867" s="135"/>
      <c r="AT867" s="135"/>
      <c r="AU867" s="63"/>
      <c r="AV867" s="63"/>
      <c r="AW867" s="63"/>
      <c r="AX867" s="63"/>
      <c r="BC867" s="24"/>
      <c r="BD867" s="24"/>
    </row>
    <row r="868" spans="32:56" ht="15" customHeight="1" x14ac:dyDescent="0.2">
      <c r="AF868" s="134"/>
      <c r="AG868" s="135"/>
      <c r="AH868" s="135"/>
      <c r="AI868" s="135"/>
      <c r="AJ868" s="135"/>
      <c r="AK868" s="65"/>
      <c r="AL868" s="65"/>
      <c r="AM868" s="65"/>
      <c r="AN868" s="135"/>
      <c r="AO868" s="135"/>
      <c r="AP868" s="135"/>
      <c r="AQ868" s="63"/>
      <c r="AR868" s="135"/>
      <c r="AS868" s="135"/>
      <c r="AT868" s="135"/>
      <c r="AU868" s="63"/>
      <c r="AV868" s="63"/>
      <c r="AW868" s="63"/>
      <c r="AX868" s="63"/>
      <c r="BC868" s="24"/>
      <c r="BD868" s="24"/>
    </row>
    <row r="869" spans="32:56" ht="15" customHeight="1" x14ac:dyDescent="0.2">
      <c r="AF869" s="134"/>
      <c r="AG869" s="135"/>
      <c r="AH869" s="135"/>
      <c r="AI869" s="135"/>
      <c r="AJ869" s="135"/>
      <c r="AK869" s="65"/>
      <c r="AL869" s="65"/>
      <c r="AM869" s="65"/>
      <c r="AN869" s="135"/>
      <c r="AO869" s="135"/>
      <c r="AP869" s="135"/>
      <c r="AQ869" s="63"/>
      <c r="AR869" s="135"/>
      <c r="AS869" s="135"/>
      <c r="AT869" s="135"/>
      <c r="AU869" s="63"/>
      <c r="AV869" s="63"/>
      <c r="AW869" s="63"/>
      <c r="AX869" s="63"/>
      <c r="BC869" s="24"/>
      <c r="BD869" s="24"/>
    </row>
    <row r="870" spans="32:56" ht="15" customHeight="1" x14ac:dyDescent="0.2">
      <c r="AF870" s="134"/>
      <c r="AG870" s="135"/>
      <c r="AH870" s="135"/>
      <c r="AI870" s="135"/>
      <c r="AJ870" s="135"/>
      <c r="AK870" s="65"/>
      <c r="AL870" s="65"/>
      <c r="AM870" s="65"/>
      <c r="AN870" s="135"/>
      <c r="AO870" s="135"/>
      <c r="AP870" s="135"/>
      <c r="AQ870" s="63"/>
      <c r="AR870" s="135"/>
      <c r="AS870" s="135"/>
      <c r="AT870" s="135"/>
      <c r="AU870" s="63"/>
      <c r="AV870" s="63"/>
      <c r="AW870" s="63"/>
      <c r="AX870" s="63"/>
      <c r="BC870" s="24"/>
      <c r="BD870" s="24"/>
    </row>
    <row r="871" spans="32:56" ht="15" customHeight="1" x14ac:dyDescent="0.2">
      <c r="AF871" s="134"/>
      <c r="AG871" s="135"/>
      <c r="AH871" s="135"/>
      <c r="AI871" s="135"/>
      <c r="AJ871" s="135"/>
      <c r="AK871" s="65"/>
      <c r="AL871" s="65"/>
      <c r="AM871" s="65"/>
      <c r="AN871" s="135"/>
      <c r="AO871" s="135"/>
      <c r="AP871" s="135"/>
      <c r="AQ871" s="63"/>
      <c r="AR871" s="135"/>
      <c r="AS871" s="135"/>
      <c r="AT871" s="135"/>
      <c r="AU871" s="63"/>
      <c r="AV871" s="63"/>
      <c r="AW871" s="63"/>
      <c r="AX871" s="63"/>
      <c r="BC871" s="24"/>
      <c r="BD871" s="24"/>
    </row>
    <row r="872" spans="32:56" ht="15" customHeight="1" x14ac:dyDescent="0.2">
      <c r="AF872" s="134"/>
      <c r="AG872" s="135"/>
      <c r="AH872" s="135"/>
      <c r="AI872" s="135"/>
      <c r="AJ872" s="135"/>
      <c r="AK872" s="65"/>
      <c r="AL872" s="65"/>
      <c r="AM872" s="65"/>
      <c r="AN872" s="135"/>
      <c r="AO872" s="135"/>
      <c r="AP872" s="135"/>
      <c r="AQ872" s="63"/>
      <c r="AR872" s="135"/>
      <c r="AS872" s="135"/>
      <c r="AT872" s="135"/>
      <c r="AU872" s="63"/>
      <c r="AV872" s="63"/>
      <c r="AW872" s="63"/>
      <c r="AX872" s="63"/>
      <c r="BC872" s="24"/>
      <c r="BD872" s="24"/>
    </row>
    <row r="873" spans="32:56" ht="15" customHeight="1" x14ac:dyDescent="0.2">
      <c r="AF873" s="134"/>
      <c r="AG873" s="135"/>
      <c r="AH873" s="135"/>
      <c r="AI873" s="135"/>
      <c r="AJ873" s="135"/>
      <c r="AK873" s="65"/>
      <c r="AL873" s="65"/>
      <c r="AM873" s="65"/>
      <c r="AN873" s="135"/>
      <c r="AO873" s="135"/>
      <c r="AP873" s="135"/>
      <c r="AQ873" s="63"/>
      <c r="AR873" s="135"/>
      <c r="AS873" s="135"/>
      <c r="AT873" s="135"/>
      <c r="AU873" s="63"/>
      <c r="AV873" s="63"/>
      <c r="AW873" s="63"/>
      <c r="AX873" s="63"/>
      <c r="BC873" s="24"/>
      <c r="BD873" s="24"/>
    </row>
    <row r="874" spans="32:56" ht="15" customHeight="1" x14ac:dyDescent="0.2">
      <c r="AF874" s="134"/>
      <c r="AG874" s="135"/>
      <c r="AH874" s="135"/>
      <c r="AI874" s="135"/>
      <c r="AJ874" s="135"/>
      <c r="AK874" s="65"/>
      <c r="AL874" s="65"/>
      <c r="AM874" s="65"/>
      <c r="AN874" s="135"/>
      <c r="AO874" s="135"/>
      <c r="AP874" s="135"/>
      <c r="AQ874" s="63"/>
      <c r="AR874" s="135"/>
      <c r="AS874" s="135"/>
      <c r="AT874" s="135"/>
      <c r="AU874" s="63"/>
      <c r="AV874" s="63"/>
      <c r="AW874" s="63"/>
      <c r="AX874" s="63"/>
      <c r="BC874" s="24"/>
      <c r="BD874" s="24"/>
    </row>
    <row r="875" spans="32:56" ht="15" customHeight="1" x14ac:dyDescent="0.2">
      <c r="AF875" s="134"/>
      <c r="AG875" s="135"/>
      <c r="AH875" s="135"/>
      <c r="AI875" s="135"/>
      <c r="AJ875" s="135"/>
      <c r="AK875" s="65"/>
      <c r="AL875" s="65"/>
      <c r="AM875" s="65"/>
      <c r="AN875" s="135"/>
      <c r="AO875" s="135"/>
      <c r="AP875" s="135"/>
      <c r="AQ875" s="63"/>
      <c r="AR875" s="135"/>
      <c r="AS875" s="135"/>
      <c r="AT875" s="135"/>
      <c r="AU875" s="63"/>
      <c r="AV875" s="63"/>
      <c r="AW875" s="63"/>
      <c r="AX875" s="63"/>
      <c r="BC875" s="24"/>
      <c r="BD875" s="24"/>
    </row>
    <row r="876" spans="32:56" ht="15" customHeight="1" x14ac:dyDescent="0.2">
      <c r="AF876" s="134"/>
      <c r="AG876" s="135"/>
      <c r="AH876" s="135"/>
      <c r="AI876" s="135"/>
      <c r="AJ876" s="135"/>
      <c r="AK876" s="65"/>
      <c r="AL876" s="65"/>
      <c r="AM876" s="65"/>
      <c r="AN876" s="135"/>
      <c r="AO876" s="135"/>
      <c r="AP876" s="135"/>
      <c r="AQ876" s="63"/>
      <c r="AR876" s="135"/>
      <c r="AS876" s="135"/>
      <c r="AT876" s="135"/>
      <c r="AU876" s="63"/>
      <c r="AV876" s="63"/>
      <c r="AW876" s="63"/>
      <c r="AX876" s="63"/>
      <c r="BC876" s="24"/>
      <c r="BD876" s="24"/>
    </row>
    <row r="877" spans="32:56" ht="15" customHeight="1" x14ac:dyDescent="0.2">
      <c r="AF877" s="134"/>
      <c r="AG877" s="135"/>
      <c r="AH877" s="135"/>
      <c r="AI877" s="135"/>
      <c r="AJ877" s="135"/>
      <c r="AK877" s="65"/>
      <c r="AL877" s="65"/>
      <c r="AM877" s="65"/>
      <c r="AN877" s="135"/>
      <c r="AO877" s="135"/>
      <c r="AP877" s="135"/>
      <c r="AQ877" s="63"/>
      <c r="AR877" s="135"/>
      <c r="AS877" s="135"/>
      <c r="AT877" s="135"/>
      <c r="AU877" s="63"/>
      <c r="AV877" s="63"/>
      <c r="AW877" s="63"/>
      <c r="AX877" s="63"/>
      <c r="BC877" s="24"/>
      <c r="BD877" s="24"/>
    </row>
    <row r="878" spans="32:56" ht="15" customHeight="1" x14ac:dyDescent="0.2">
      <c r="AF878" s="134"/>
      <c r="AG878" s="135"/>
      <c r="AH878" s="135"/>
      <c r="AI878" s="135"/>
      <c r="AJ878" s="135"/>
      <c r="AK878" s="65"/>
      <c r="AL878" s="65"/>
      <c r="AM878" s="65"/>
      <c r="AN878" s="135"/>
      <c r="AO878" s="135"/>
      <c r="AP878" s="135"/>
      <c r="AQ878" s="63"/>
      <c r="AR878" s="135"/>
      <c r="AS878" s="135"/>
      <c r="AT878" s="135"/>
      <c r="AU878" s="63"/>
      <c r="AV878" s="63"/>
      <c r="AW878" s="63"/>
      <c r="AX878" s="63"/>
      <c r="BC878" s="24"/>
      <c r="BD878" s="24"/>
    </row>
    <row r="879" spans="32:56" ht="15" customHeight="1" x14ac:dyDescent="0.2">
      <c r="AF879" s="134"/>
      <c r="AG879" s="135"/>
      <c r="AH879" s="135"/>
      <c r="AI879" s="135"/>
      <c r="AJ879" s="135"/>
      <c r="AK879" s="65"/>
      <c r="AL879" s="65"/>
      <c r="AM879" s="65"/>
      <c r="AN879" s="135"/>
      <c r="AO879" s="135"/>
      <c r="AP879" s="135"/>
      <c r="AQ879" s="63"/>
      <c r="AR879" s="135"/>
      <c r="AS879" s="135"/>
      <c r="AT879" s="135"/>
      <c r="AU879" s="63"/>
      <c r="AV879" s="63"/>
      <c r="AW879" s="63"/>
      <c r="AX879" s="63"/>
      <c r="BC879" s="24"/>
      <c r="BD879" s="24"/>
    </row>
    <row r="880" spans="32:56" ht="15" customHeight="1" x14ac:dyDescent="0.2">
      <c r="AF880" s="134"/>
      <c r="AG880" s="135"/>
      <c r="AH880" s="135"/>
      <c r="AI880" s="135"/>
      <c r="AJ880" s="135"/>
      <c r="AK880" s="65"/>
      <c r="AL880" s="65"/>
      <c r="AM880" s="65"/>
      <c r="AN880" s="135"/>
      <c r="AO880" s="135"/>
      <c r="AP880" s="135"/>
      <c r="AQ880" s="63"/>
      <c r="AR880" s="135"/>
      <c r="AS880" s="135"/>
      <c r="AT880" s="135"/>
      <c r="AU880" s="63"/>
      <c r="AV880" s="63"/>
      <c r="AW880" s="63"/>
      <c r="AX880" s="63"/>
      <c r="BC880" s="24"/>
      <c r="BD880" s="24"/>
    </row>
    <row r="881" spans="32:56" ht="15" customHeight="1" x14ac:dyDescent="0.2">
      <c r="AF881" s="134"/>
      <c r="AG881" s="135"/>
      <c r="AH881" s="135"/>
      <c r="AI881" s="135"/>
      <c r="AJ881" s="135"/>
      <c r="AK881" s="65"/>
      <c r="AL881" s="65"/>
      <c r="AM881" s="65"/>
      <c r="AN881" s="135"/>
      <c r="AO881" s="135"/>
      <c r="AP881" s="135"/>
      <c r="AQ881" s="63"/>
      <c r="AR881" s="135"/>
      <c r="AS881" s="135"/>
      <c r="AT881" s="135"/>
      <c r="AU881" s="63"/>
      <c r="AV881" s="63"/>
      <c r="AW881" s="63"/>
      <c r="AX881" s="63"/>
      <c r="BC881" s="24"/>
      <c r="BD881" s="24"/>
    </row>
    <row r="882" spans="32:56" ht="15" customHeight="1" x14ac:dyDescent="0.2">
      <c r="AF882" s="134"/>
      <c r="AG882" s="135"/>
      <c r="AH882" s="135"/>
      <c r="AI882" s="135"/>
      <c r="AJ882" s="135"/>
      <c r="AK882" s="65"/>
      <c r="AL882" s="65"/>
      <c r="AM882" s="65"/>
      <c r="AN882" s="135"/>
      <c r="AO882" s="135"/>
      <c r="AP882" s="135"/>
      <c r="AQ882" s="63"/>
      <c r="AR882" s="135"/>
      <c r="AS882" s="135"/>
      <c r="AT882" s="135"/>
      <c r="AU882" s="63"/>
      <c r="AV882" s="63"/>
      <c r="AW882" s="63"/>
      <c r="AX882" s="63"/>
      <c r="BC882" s="24"/>
      <c r="BD882" s="24"/>
    </row>
    <row r="883" spans="32:56" ht="15" customHeight="1" x14ac:dyDescent="0.2">
      <c r="AF883" s="134"/>
      <c r="AG883" s="135"/>
      <c r="AH883" s="135"/>
      <c r="AI883" s="135"/>
      <c r="AJ883" s="135"/>
      <c r="AK883" s="65"/>
      <c r="AL883" s="65"/>
      <c r="AM883" s="65"/>
      <c r="AN883" s="135"/>
      <c r="AO883" s="135"/>
      <c r="AP883" s="135"/>
      <c r="AQ883" s="63"/>
      <c r="AR883" s="135"/>
      <c r="AS883" s="135"/>
      <c r="AT883" s="135"/>
      <c r="AU883" s="63"/>
      <c r="AV883" s="63"/>
      <c r="AW883" s="63"/>
      <c r="AX883" s="63"/>
      <c r="BC883" s="24"/>
      <c r="BD883" s="24"/>
    </row>
    <row r="884" spans="32:56" ht="15" customHeight="1" x14ac:dyDescent="0.2">
      <c r="AF884" s="134"/>
      <c r="AG884" s="135"/>
      <c r="AH884" s="135"/>
      <c r="AI884" s="135"/>
      <c r="AJ884" s="135"/>
      <c r="AK884" s="65"/>
      <c r="AL884" s="65"/>
      <c r="AM884" s="65"/>
      <c r="AN884" s="135"/>
      <c r="AO884" s="135"/>
      <c r="AP884" s="135"/>
      <c r="AQ884" s="63"/>
      <c r="AR884" s="135"/>
      <c r="AS884" s="135"/>
      <c r="AT884" s="135"/>
      <c r="AU884" s="63"/>
      <c r="AV884" s="63"/>
      <c r="AW884" s="63"/>
      <c r="AX884" s="63"/>
      <c r="BC884" s="24"/>
      <c r="BD884" s="24"/>
    </row>
    <row r="885" spans="32:56" ht="15" customHeight="1" x14ac:dyDescent="0.2">
      <c r="AF885" s="134"/>
      <c r="AG885" s="135"/>
      <c r="AH885" s="135"/>
      <c r="AI885" s="135"/>
      <c r="AJ885" s="135"/>
      <c r="AK885" s="65"/>
      <c r="AL885" s="65"/>
      <c r="AM885" s="65"/>
      <c r="AN885" s="135"/>
      <c r="AO885" s="135"/>
      <c r="AP885" s="135"/>
      <c r="AQ885" s="63"/>
      <c r="AR885" s="135"/>
      <c r="AS885" s="135"/>
      <c r="AT885" s="135"/>
      <c r="AU885" s="63"/>
      <c r="AV885" s="63"/>
      <c r="AW885" s="63"/>
      <c r="AX885" s="63"/>
      <c r="BC885" s="24"/>
      <c r="BD885" s="24"/>
    </row>
    <row r="886" spans="32:56" ht="15" customHeight="1" x14ac:dyDescent="0.2">
      <c r="AF886" s="134"/>
      <c r="AG886" s="135"/>
      <c r="AH886" s="135"/>
      <c r="AI886" s="135"/>
      <c r="AJ886" s="135"/>
      <c r="AK886" s="65"/>
      <c r="AL886" s="65"/>
      <c r="AM886" s="65"/>
      <c r="AN886" s="135"/>
      <c r="AO886" s="135"/>
      <c r="AP886" s="135"/>
      <c r="AQ886" s="63"/>
      <c r="AR886" s="135"/>
      <c r="AS886" s="135"/>
      <c r="AT886" s="135"/>
      <c r="AU886" s="63"/>
      <c r="AV886" s="63"/>
      <c r="AW886" s="63"/>
      <c r="AX886" s="63"/>
      <c r="BC886" s="24"/>
      <c r="BD886" s="24"/>
    </row>
    <row r="887" spans="32:56" ht="15" customHeight="1" x14ac:dyDescent="0.2">
      <c r="AF887" s="134"/>
      <c r="AG887" s="135"/>
      <c r="AH887" s="135"/>
      <c r="AI887" s="135"/>
      <c r="AJ887" s="135"/>
      <c r="AK887" s="65"/>
      <c r="AL887" s="65"/>
      <c r="AM887" s="65"/>
      <c r="AN887" s="135"/>
      <c r="AO887" s="135"/>
      <c r="AP887" s="135"/>
      <c r="AQ887" s="63"/>
      <c r="AR887" s="135"/>
      <c r="AS887" s="135"/>
      <c r="AT887" s="135"/>
      <c r="AU887" s="63"/>
      <c r="AV887" s="63"/>
      <c r="AW887" s="63"/>
      <c r="AX887" s="63"/>
      <c r="BC887" s="24"/>
      <c r="BD887" s="24"/>
    </row>
    <row r="888" spans="32:56" ht="15" customHeight="1" x14ac:dyDescent="0.2">
      <c r="AF888" s="134"/>
      <c r="AG888" s="135"/>
      <c r="AH888" s="135"/>
      <c r="AI888" s="135"/>
      <c r="AJ888" s="135"/>
      <c r="AK888" s="65"/>
      <c r="AL888" s="65"/>
      <c r="AM888" s="65"/>
      <c r="AN888" s="135"/>
      <c r="AO888" s="135"/>
      <c r="AP888" s="135"/>
      <c r="AQ888" s="63"/>
      <c r="AR888" s="135"/>
      <c r="AS888" s="135"/>
      <c r="AT888" s="135"/>
      <c r="AU888" s="63"/>
      <c r="AV888" s="63"/>
      <c r="AW888" s="63"/>
      <c r="AX888" s="63"/>
      <c r="BC888" s="24"/>
      <c r="BD888" s="24"/>
    </row>
    <row r="889" spans="32:56" ht="15" customHeight="1" x14ac:dyDescent="0.2">
      <c r="AF889" s="134"/>
      <c r="AG889" s="135"/>
      <c r="AH889" s="135"/>
      <c r="AI889" s="135"/>
      <c r="AJ889" s="135"/>
      <c r="AK889" s="65"/>
      <c r="AL889" s="65"/>
      <c r="AM889" s="65"/>
      <c r="AN889" s="135"/>
      <c r="AO889" s="135"/>
      <c r="AP889" s="135"/>
      <c r="AQ889" s="63"/>
      <c r="AR889" s="135"/>
      <c r="AS889" s="135"/>
      <c r="AT889" s="135"/>
      <c r="AU889" s="63"/>
      <c r="AV889" s="63"/>
      <c r="AW889" s="63"/>
      <c r="AX889" s="63"/>
      <c r="BC889" s="24"/>
      <c r="BD889" s="24"/>
    </row>
    <row r="890" spans="32:56" ht="15" customHeight="1" x14ac:dyDescent="0.2">
      <c r="AF890" s="134"/>
      <c r="AG890" s="135"/>
      <c r="AH890" s="135"/>
      <c r="AI890" s="135"/>
      <c r="AJ890" s="135"/>
      <c r="AK890" s="65"/>
      <c r="AL890" s="65"/>
      <c r="AM890" s="65"/>
      <c r="AN890" s="135"/>
      <c r="AO890" s="135"/>
      <c r="AP890" s="135"/>
      <c r="AQ890" s="63"/>
      <c r="AR890" s="135"/>
      <c r="AS890" s="135"/>
      <c r="AT890" s="135"/>
      <c r="AU890" s="63"/>
      <c r="AV890" s="63"/>
      <c r="AW890" s="63"/>
      <c r="AX890" s="63"/>
      <c r="BC890" s="24"/>
      <c r="BD890" s="24"/>
    </row>
    <row r="891" spans="32:56" ht="15" customHeight="1" x14ac:dyDescent="0.2">
      <c r="AF891" s="134"/>
      <c r="AG891" s="135"/>
      <c r="AH891" s="135"/>
      <c r="AI891" s="135"/>
      <c r="AJ891" s="135"/>
      <c r="AK891" s="65"/>
      <c r="AL891" s="65"/>
      <c r="AM891" s="65"/>
      <c r="AN891" s="135"/>
      <c r="AO891" s="135"/>
      <c r="AP891" s="135"/>
      <c r="AQ891" s="63"/>
      <c r="AR891" s="135"/>
      <c r="AS891" s="135"/>
      <c r="AT891" s="135"/>
      <c r="AU891" s="63"/>
      <c r="AV891" s="63"/>
      <c r="AW891" s="63"/>
      <c r="AX891" s="63"/>
      <c r="BC891" s="24"/>
      <c r="BD891" s="24"/>
    </row>
    <row r="892" spans="32:56" ht="15" customHeight="1" x14ac:dyDescent="0.2">
      <c r="AF892" s="134"/>
      <c r="AG892" s="135"/>
      <c r="AH892" s="135"/>
      <c r="AI892" s="135"/>
      <c r="AJ892" s="135"/>
      <c r="AK892" s="65"/>
      <c r="AL892" s="65"/>
      <c r="AM892" s="65"/>
      <c r="AN892" s="135"/>
      <c r="AO892" s="135"/>
      <c r="AP892" s="135"/>
      <c r="AQ892" s="63"/>
      <c r="AR892" s="135"/>
      <c r="AS892" s="135"/>
      <c r="AT892" s="135"/>
      <c r="AU892" s="63"/>
      <c r="AV892" s="63"/>
      <c r="AW892" s="63"/>
      <c r="AX892" s="63"/>
      <c r="BC892" s="24"/>
      <c r="BD892" s="24"/>
    </row>
    <row r="893" spans="32:56" ht="15" customHeight="1" x14ac:dyDescent="0.2">
      <c r="AF893" s="134"/>
      <c r="AG893" s="135"/>
      <c r="AH893" s="135"/>
      <c r="AI893" s="135"/>
      <c r="AJ893" s="135"/>
      <c r="AK893" s="65"/>
      <c r="AL893" s="65"/>
      <c r="AM893" s="65"/>
      <c r="AN893" s="135"/>
      <c r="AO893" s="135"/>
      <c r="AP893" s="135"/>
      <c r="AQ893" s="63"/>
      <c r="AR893" s="135"/>
      <c r="AS893" s="135"/>
      <c r="AT893" s="135"/>
      <c r="AU893" s="63"/>
      <c r="AV893" s="63"/>
      <c r="AW893" s="63"/>
      <c r="AX893" s="63"/>
      <c r="BC893" s="24"/>
      <c r="BD893" s="24"/>
    </row>
    <row r="894" spans="32:56" ht="15" customHeight="1" x14ac:dyDescent="0.2">
      <c r="AF894" s="134"/>
      <c r="AG894" s="135"/>
      <c r="AH894" s="135"/>
      <c r="AI894" s="135"/>
      <c r="AJ894" s="135"/>
      <c r="AK894" s="65"/>
      <c r="AL894" s="65"/>
      <c r="AM894" s="65"/>
      <c r="AN894" s="135"/>
      <c r="AO894" s="135"/>
      <c r="AP894" s="135"/>
      <c r="AQ894" s="63"/>
      <c r="AR894" s="135"/>
      <c r="AS894" s="135"/>
      <c r="AT894" s="135"/>
      <c r="AU894" s="63"/>
      <c r="AV894" s="63"/>
      <c r="AW894" s="63"/>
      <c r="AX894" s="63"/>
      <c r="BC894" s="24"/>
      <c r="BD894" s="24"/>
    </row>
    <row r="895" spans="32:56" ht="15" customHeight="1" x14ac:dyDescent="0.2">
      <c r="AF895" s="134"/>
      <c r="AG895" s="135"/>
      <c r="AH895" s="135"/>
      <c r="AI895" s="135"/>
      <c r="AJ895" s="135"/>
      <c r="AK895" s="65"/>
      <c r="AL895" s="65"/>
      <c r="AM895" s="65"/>
      <c r="AN895" s="135"/>
      <c r="AO895" s="135"/>
      <c r="AP895" s="135"/>
      <c r="AQ895" s="63"/>
      <c r="AR895" s="135"/>
      <c r="AS895" s="135"/>
      <c r="AT895" s="135"/>
      <c r="AU895" s="63"/>
      <c r="AV895" s="63"/>
      <c r="AW895" s="63"/>
      <c r="AX895" s="63"/>
      <c r="BC895" s="24"/>
      <c r="BD895" s="24"/>
    </row>
    <row r="896" spans="32:56" ht="15" customHeight="1" x14ac:dyDescent="0.2">
      <c r="AF896" s="134"/>
      <c r="AG896" s="135"/>
      <c r="AH896" s="135"/>
      <c r="AI896" s="135"/>
      <c r="AJ896" s="135"/>
      <c r="AK896" s="65"/>
      <c r="AL896" s="65"/>
      <c r="AM896" s="65"/>
      <c r="AN896" s="135"/>
      <c r="AO896" s="135"/>
      <c r="AP896" s="135"/>
      <c r="AQ896" s="63"/>
      <c r="AR896" s="135"/>
      <c r="AS896" s="135"/>
      <c r="AT896" s="135"/>
      <c r="AU896" s="63"/>
      <c r="AV896" s="63"/>
      <c r="AW896" s="63"/>
      <c r="AX896" s="63"/>
      <c r="BC896" s="24"/>
      <c r="BD896" s="24"/>
    </row>
    <row r="897" spans="32:56" ht="15" customHeight="1" x14ac:dyDescent="0.2">
      <c r="AF897" s="134"/>
      <c r="AG897" s="135"/>
      <c r="AH897" s="135"/>
      <c r="AI897" s="135"/>
      <c r="AJ897" s="135"/>
      <c r="AK897" s="65"/>
      <c r="AL897" s="65"/>
      <c r="AM897" s="65"/>
      <c r="AN897" s="135"/>
      <c r="AO897" s="135"/>
      <c r="AP897" s="135"/>
      <c r="AQ897" s="63"/>
      <c r="AR897" s="135"/>
      <c r="AS897" s="135"/>
      <c r="AT897" s="135"/>
      <c r="AU897" s="63"/>
      <c r="AV897" s="63"/>
      <c r="AW897" s="63"/>
      <c r="AX897" s="63"/>
      <c r="BC897" s="24"/>
      <c r="BD897" s="24"/>
    </row>
    <row r="898" spans="32:56" ht="15" customHeight="1" x14ac:dyDescent="0.2">
      <c r="AF898" s="134"/>
      <c r="AG898" s="135"/>
      <c r="AH898" s="135"/>
      <c r="AI898" s="135"/>
      <c r="AJ898" s="135"/>
      <c r="AK898" s="65"/>
      <c r="AL898" s="65"/>
      <c r="AM898" s="65"/>
      <c r="AN898" s="135"/>
      <c r="AO898" s="135"/>
      <c r="AP898" s="135"/>
      <c r="AQ898" s="63"/>
      <c r="AR898" s="135"/>
      <c r="AS898" s="135"/>
      <c r="AT898" s="135"/>
      <c r="AU898" s="63"/>
      <c r="AV898" s="63"/>
      <c r="AW898" s="63"/>
      <c r="AX898" s="63"/>
      <c r="BC898" s="24"/>
      <c r="BD898" s="24"/>
    </row>
    <row r="899" spans="32:56" ht="15" customHeight="1" x14ac:dyDescent="0.2">
      <c r="AF899" s="134"/>
      <c r="AG899" s="135"/>
      <c r="AH899" s="135"/>
      <c r="AI899" s="135"/>
      <c r="AJ899" s="135"/>
      <c r="AK899" s="65"/>
      <c r="AL899" s="65"/>
      <c r="AM899" s="65"/>
      <c r="AN899" s="135"/>
      <c r="AO899" s="135"/>
      <c r="AP899" s="135"/>
      <c r="AQ899" s="63"/>
      <c r="AR899" s="135"/>
      <c r="AS899" s="135"/>
      <c r="AT899" s="135"/>
      <c r="AU899" s="63"/>
      <c r="AV899" s="63"/>
      <c r="AW899" s="63"/>
      <c r="AX899" s="63"/>
      <c r="BC899" s="24"/>
      <c r="BD899" s="24"/>
    </row>
    <row r="900" spans="32:56" ht="15" customHeight="1" x14ac:dyDescent="0.2">
      <c r="AF900" s="134"/>
      <c r="AG900" s="135"/>
      <c r="AH900" s="135"/>
      <c r="AI900" s="135"/>
      <c r="AJ900" s="135"/>
      <c r="AK900" s="65"/>
      <c r="AL900" s="65"/>
      <c r="AM900" s="65"/>
      <c r="AN900" s="135"/>
      <c r="AO900" s="135"/>
      <c r="AP900" s="135"/>
      <c r="AQ900" s="63"/>
      <c r="AR900" s="135"/>
      <c r="AS900" s="135"/>
      <c r="AT900" s="135"/>
      <c r="AU900" s="63"/>
      <c r="AV900" s="63"/>
      <c r="AW900" s="63"/>
      <c r="AX900" s="63"/>
      <c r="BC900" s="24"/>
      <c r="BD900" s="24"/>
    </row>
    <row r="901" spans="32:56" ht="15" customHeight="1" x14ac:dyDescent="0.2">
      <c r="AF901" s="134"/>
      <c r="AG901" s="135"/>
      <c r="AH901" s="135"/>
      <c r="AI901" s="135"/>
      <c r="AJ901" s="135"/>
      <c r="AK901" s="65"/>
      <c r="AL901" s="65"/>
      <c r="AM901" s="65"/>
      <c r="AN901" s="135"/>
      <c r="AO901" s="135"/>
      <c r="AP901" s="135"/>
      <c r="AQ901" s="63"/>
      <c r="AR901" s="135"/>
      <c r="AS901" s="135"/>
      <c r="AT901" s="135"/>
      <c r="AU901" s="63"/>
      <c r="AV901" s="63"/>
      <c r="AW901" s="63"/>
      <c r="AX901" s="63"/>
      <c r="BC901" s="24"/>
      <c r="BD901" s="24"/>
    </row>
    <row r="902" spans="32:56" ht="15" customHeight="1" x14ac:dyDescent="0.2">
      <c r="AF902" s="134"/>
      <c r="AG902" s="135"/>
      <c r="AH902" s="135"/>
      <c r="AI902" s="135"/>
      <c r="AJ902" s="135"/>
      <c r="AK902" s="65"/>
      <c r="AL902" s="65"/>
      <c r="AM902" s="65"/>
      <c r="AN902" s="135"/>
      <c r="AO902" s="135"/>
      <c r="AP902" s="135"/>
      <c r="AQ902" s="63"/>
      <c r="AR902" s="135"/>
      <c r="AS902" s="135"/>
      <c r="AT902" s="135"/>
      <c r="AU902" s="63"/>
      <c r="AV902" s="63"/>
      <c r="AW902" s="63"/>
      <c r="AX902" s="63"/>
      <c r="BC902" s="24"/>
      <c r="BD902" s="24"/>
    </row>
    <row r="903" spans="32:56" ht="15" customHeight="1" x14ac:dyDescent="0.2">
      <c r="AF903" s="134"/>
      <c r="AG903" s="135"/>
      <c r="AH903" s="135"/>
      <c r="AI903" s="135"/>
      <c r="AJ903" s="135"/>
      <c r="AK903" s="65"/>
      <c r="AL903" s="65"/>
      <c r="AM903" s="65"/>
      <c r="AN903" s="135"/>
      <c r="AO903" s="135"/>
      <c r="AP903" s="135"/>
      <c r="AQ903" s="63"/>
      <c r="AR903" s="135"/>
      <c r="AS903" s="135"/>
      <c r="AT903" s="135"/>
      <c r="AU903" s="63"/>
      <c r="AV903" s="63"/>
      <c r="AW903" s="63"/>
      <c r="AX903" s="63"/>
      <c r="BC903" s="24"/>
      <c r="BD903" s="24"/>
    </row>
    <row r="904" spans="32:56" ht="15" customHeight="1" x14ac:dyDescent="0.2">
      <c r="AF904" s="134"/>
      <c r="AG904" s="135"/>
      <c r="AH904" s="135"/>
      <c r="AI904" s="135"/>
      <c r="AJ904" s="135"/>
      <c r="AK904" s="65"/>
      <c r="AL904" s="65"/>
      <c r="AM904" s="65"/>
      <c r="AN904" s="135"/>
      <c r="AO904" s="135"/>
      <c r="AP904" s="135"/>
      <c r="AQ904" s="63"/>
      <c r="AR904" s="135"/>
      <c r="AS904" s="135"/>
      <c r="AT904" s="135"/>
      <c r="AU904" s="63"/>
      <c r="AV904" s="63"/>
      <c r="AW904" s="63"/>
      <c r="AX904" s="63"/>
      <c r="BC904" s="24"/>
      <c r="BD904" s="24"/>
    </row>
    <row r="905" spans="32:56" ht="15" customHeight="1" x14ac:dyDescent="0.2">
      <c r="AF905" s="134"/>
      <c r="AG905" s="135"/>
      <c r="AH905" s="135"/>
      <c r="AI905" s="135"/>
      <c r="AJ905" s="135"/>
      <c r="AK905" s="65"/>
      <c r="AL905" s="65"/>
      <c r="AM905" s="65"/>
      <c r="AN905" s="135"/>
      <c r="AO905" s="135"/>
      <c r="AP905" s="135"/>
      <c r="AQ905" s="63"/>
      <c r="AR905" s="135"/>
      <c r="AS905" s="135"/>
      <c r="AT905" s="135"/>
      <c r="AU905" s="63"/>
      <c r="AV905" s="63"/>
      <c r="AW905" s="63"/>
      <c r="AX905" s="63"/>
      <c r="BC905" s="24"/>
      <c r="BD905" s="24"/>
    </row>
    <row r="906" spans="32:56" ht="15" customHeight="1" x14ac:dyDescent="0.2">
      <c r="AF906" s="134"/>
      <c r="AG906" s="135"/>
      <c r="AH906" s="135"/>
      <c r="AI906" s="135"/>
      <c r="AJ906" s="135"/>
      <c r="AK906" s="65"/>
      <c r="AL906" s="65"/>
      <c r="AM906" s="65"/>
      <c r="AN906" s="135"/>
      <c r="AO906" s="135"/>
      <c r="AP906" s="135"/>
      <c r="AQ906" s="63"/>
      <c r="AR906" s="135"/>
      <c r="AS906" s="135"/>
      <c r="AT906" s="135"/>
      <c r="AU906" s="63"/>
      <c r="AV906" s="63"/>
      <c r="AW906" s="63"/>
      <c r="AX906" s="63"/>
      <c r="BC906" s="24"/>
      <c r="BD906" s="24"/>
    </row>
    <row r="907" spans="32:56" ht="15" customHeight="1" x14ac:dyDescent="0.2">
      <c r="AF907" s="134"/>
      <c r="AG907" s="135"/>
      <c r="AH907" s="135"/>
      <c r="AI907" s="135"/>
      <c r="AJ907" s="135"/>
      <c r="AK907" s="65"/>
      <c r="AL907" s="65"/>
      <c r="AM907" s="65"/>
      <c r="AN907" s="135"/>
      <c r="AO907" s="135"/>
      <c r="AP907" s="135"/>
      <c r="AQ907" s="63"/>
      <c r="AR907" s="135"/>
      <c r="AS907" s="135"/>
      <c r="AT907" s="135"/>
      <c r="AU907" s="63"/>
      <c r="AV907" s="63"/>
      <c r="AW907" s="63"/>
      <c r="AX907" s="63"/>
      <c r="BC907" s="24"/>
      <c r="BD907" s="24"/>
    </row>
    <row r="908" spans="32:56" ht="15" customHeight="1" x14ac:dyDescent="0.2">
      <c r="AF908" s="134"/>
      <c r="AG908" s="135"/>
      <c r="AH908" s="135"/>
      <c r="AI908" s="135"/>
      <c r="AJ908" s="135"/>
      <c r="AK908" s="65"/>
      <c r="AL908" s="65"/>
      <c r="AM908" s="65"/>
      <c r="AN908" s="135"/>
      <c r="AO908" s="135"/>
      <c r="AP908" s="135"/>
      <c r="AQ908" s="63"/>
      <c r="AR908" s="135"/>
      <c r="AS908" s="135"/>
      <c r="AT908" s="135"/>
      <c r="AU908" s="63"/>
      <c r="AV908" s="63"/>
      <c r="AW908" s="63"/>
      <c r="AX908" s="63"/>
      <c r="BC908" s="24"/>
      <c r="BD908" s="24"/>
    </row>
    <row r="909" spans="32:56" ht="15" customHeight="1" x14ac:dyDescent="0.2">
      <c r="AF909" s="134"/>
      <c r="AG909" s="135"/>
      <c r="AH909" s="135"/>
      <c r="AI909" s="135"/>
      <c r="AJ909" s="135"/>
      <c r="AK909" s="65"/>
      <c r="AL909" s="65"/>
      <c r="AM909" s="65"/>
      <c r="AN909" s="135"/>
      <c r="AO909" s="135"/>
      <c r="AP909" s="135"/>
      <c r="AQ909" s="63"/>
      <c r="AR909" s="135"/>
      <c r="AS909" s="135"/>
      <c r="AT909" s="135"/>
      <c r="AU909" s="63"/>
      <c r="AV909" s="63"/>
      <c r="AW909" s="63"/>
      <c r="AX909" s="63"/>
      <c r="BC909" s="24"/>
      <c r="BD909" s="24"/>
    </row>
    <row r="910" spans="32:56" ht="15" customHeight="1" x14ac:dyDescent="0.2">
      <c r="AF910" s="134"/>
      <c r="AG910" s="135"/>
      <c r="AH910" s="135"/>
      <c r="AI910" s="135"/>
      <c r="AJ910" s="135"/>
      <c r="AK910" s="65"/>
      <c r="AL910" s="65"/>
      <c r="AM910" s="65"/>
      <c r="AN910" s="135"/>
      <c r="AO910" s="135"/>
      <c r="AP910" s="135"/>
      <c r="AQ910" s="63"/>
      <c r="AR910" s="135"/>
      <c r="AS910" s="135"/>
      <c r="AT910" s="135"/>
      <c r="AU910" s="63"/>
      <c r="AV910" s="63"/>
      <c r="AW910" s="63"/>
      <c r="AX910" s="63"/>
      <c r="BC910" s="24"/>
      <c r="BD910" s="24"/>
    </row>
    <row r="911" spans="32:56" ht="15" customHeight="1" x14ac:dyDescent="0.2">
      <c r="AF911" s="134"/>
      <c r="AG911" s="135"/>
      <c r="AH911" s="135"/>
      <c r="AI911" s="135"/>
      <c r="AJ911" s="135"/>
      <c r="AK911" s="65"/>
      <c r="AL911" s="65"/>
      <c r="AM911" s="65"/>
      <c r="AN911" s="135"/>
      <c r="AO911" s="135"/>
      <c r="AP911" s="135"/>
      <c r="AQ911" s="63"/>
      <c r="AR911" s="135"/>
      <c r="AS911" s="135"/>
      <c r="AT911" s="135"/>
      <c r="AU911" s="63"/>
      <c r="AV911" s="63"/>
      <c r="AW911" s="63"/>
      <c r="AX911" s="63"/>
      <c r="BC911" s="24"/>
      <c r="BD911" s="24"/>
    </row>
    <row r="912" spans="32:56" ht="15" customHeight="1" x14ac:dyDescent="0.2">
      <c r="AF912" s="134"/>
      <c r="AG912" s="135"/>
      <c r="AH912" s="135"/>
      <c r="AI912" s="135"/>
      <c r="AJ912" s="135"/>
      <c r="AK912" s="65"/>
      <c r="AL912" s="65"/>
      <c r="AM912" s="65"/>
      <c r="AN912" s="135"/>
      <c r="AO912" s="135"/>
      <c r="AP912" s="135"/>
      <c r="AQ912" s="63"/>
      <c r="AR912" s="135"/>
      <c r="AS912" s="135"/>
      <c r="AT912" s="135"/>
      <c r="AU912" s="63"/>
      <c r="AV912" s="63"/>
      <c r="AW912" s="63"/>
      <c r="AX912" s="63"/>
      <c r="BC912" s="24"/>
      <c r="BD912" s="24"/>
    </row>
    <row r="913" spans="32:56" ht="15" customHeight="1" x14ac:dyDescent="0.2">
      <c r="AF913" s="134"/>
      <c r="AG913" s="135"/>
      <c r="AH913" s="135"/>
      <c r="AI913" s="135"/>
      <c r="AJ913" s="135"/>
      <c r="AK913" s="65"/>
      <c r="AL913" s="65"/>
      <c r="AM913" s="65"/>
      <c r="AN913" s="135"/>
      <c r="AO913" s="135"/>
      <c r="AP913" s="135"/>
      <c r="AQ913" s="63"/>
      <c r="AR913" s="135"/>
      <c r="AS913" s="135"/>
      <c r="AT913" s="135"/>
      <c r="AU913" s="63"/>
      <c r="AV913" s="63"/>
      <c r="AW913" s="63"/>
      <c r="AX913" s="63"/>
      <c r="BC913" s="24"/>
      <c r="BD913" s="24"/>
    </row>
    <row r="914" spans="32:56" ht="15" customHeight="1" x14ac:dyDescent="0.2">
      <c r="AF914" s="134"/>
      <c r="AG914" s="135"/>
      <c r="AH914" s="135"/>
      <c r="AI914" s="135"/>
      <c r="AJ914" s="135"/>
      <c r="AK914" s="65"/>
      <c r="AL914" s="65"/>
      <c r="AM914" s="65"/>
      <c r="AN914" s="135"/>
      <c r="AO914" s="135"/>
      <c r="AP914" s="135"/>
      <c r="AQ914" s="63"/>
      <c r="AR914" s="135"/>
      <c r="AS914" s="135"/>
      <c r="AT914" s="135"/>
      <c r="AU914" s="63"/>
      <c r="AV914" s="63"/>
      <c r="AW914" s="63"/>
      <c r="AX914" s="63"/>
      <c r="BC914" s="24"/>
      <c r="BD914" s="24"/>
    </row>
    <row r="915" spans="32:56" ht="15" customHeight="1" x14ac:dyDescent="0.2">
      <c r="AF915" s="134"/>
      <c r="AG915" s="135"/>
      <c r="AH915" s="135"/>
      <c r="AI915" s="135"/>
      <c r="AJ915" s="135"/>
      <c r="AK915" s="65"/>
      <c r="AL915" s="65"/>
      <c r="AM915" s="65"/>
      <c r="AN915" s="135"/>
      <c r="AO915" s="135"/>
      <c r="AP915" s="135"/>
      <c r="AQ915" s="63"/>
      <c r="AR915" s="135"/>
      <c r="AS915" s="135"/>
      <c r="AT915" s="135"/>
      <c r="AU915" s="63"/>
      <c r="AV915" s="63"/>
      <c r="AW915" s="63"/>
      <c r="AX915" s="63"/>
      <c r="BC915" s="24"/>
      <c r="BD915" s="24"/>
    </row>
    <row r="916" spans="32:56" ht="15" customHeight="1" x14ac:dyDescent="0.2">
      <c r="AF916" s="134"/>
      <c r="AG916" s="135"/>
      <c r="AH916" s="135"/>
      <c r="AI916" s="135"/>
      <c r="AJ916" s="135"/>
      <c r="AK916" s="65"/>
      <c r="AL916" s="65"/>
      <c r="AM916" s="65"/>
      <c r="AN916" s="135"/>
      <c r="AO916" s="135"/>
      <c r="AP916" s="135"/>
      <c r="AQ916" s="63"/>
      <c r="AR916" s="135"/>
      <c r="AS916" s="135"/>
      <c r="AT916" s="135"/>
      <c r="AU916" s="63"/>
      <c r="AV916" s="63"/>
      <c r="AW916" s="63"/>
      <c r="AX916" s="63"/>
      <c r="BC916" s="24"/>
      <c r="BD916" s="24"/>
    </row>
    <row r="917" spans="32:56" ht="15" customHeight="1" x14ac:dyDescent="0.2">
      <c r="AF917" s="134"/>
      <c r="AG917" s="135"/>
      <c r="AH917" s="135"/>
      <c r="AI917" s="135"/>
      <c r="AJ917" s="135"/>
      <c r="AK917" s="65"/>
      <c r="AL917" s="65"/>
      <c r="AM917" s="65"/>
      <c r="AN917" s="135"/>
      <c r="AO917" s="135"/>
      <c r="AP917" s="135"/>
      <c r="AQ917" s="63"/>
      <c r="AR917" s="135"/>
      <c r="AS917" s="135"/>
      <c r="AT917" s="135"/>
      <c r="AU917" s="63"/>
      <c r="AV917" s="63"/>
      <c r="AW917" s="63"/>
      <c r="AX917" s="63"/>
      <c r="BC917" s="24"/>
      <c r="BD917" s="24"/>
    </row>
    <row r="918" spans="32:56" ht="15" customHeight="1" x14ac:dyDescent="0.2">
      <c r="AF918" s="134"/>
      <c r="AG918" s="135"/>
      <c r="AH918" s="135"/>
      <c r="AI918" s="135"/>
      <c r="AJ918" s="135"/>
      <c r="AK918" s="65"/>
      <c r="AL918" s="65"/>
      <c r="AM918" s="65"/>
      <c r="AN918" s="135"/>
      <c r="AO918" s="135"/>
      <c r="AP918" s="135"/>
      <c r="AQ918" s="63"/>
      <c r="AR918" s="135"/>
      <c r="AS918" s="135"/>
      <c r="AT918" s="135"/>
      <c r="AU918" s="63"/>
      <c r="AV918" s="63"/>
      <c r="AW918" s="63"/>
      <c r="AX918" s="63"/>
      <c r="BC918" s="24"/>
      <c r="BD918" s="24"/>
    </row>
    <row r="919" spans="32:56" ht="15" customHeight="1" x14ac:dyDescent="0.2">
      <c r="AF919" s="134"/>
      <c r="AG919" s="135"/>
      <c r="AH919" s="135"/>
      <c r="AI919" s="135"/>
      <c r="AJ919" s="135"/>
      <c r="AK919" s="65"/>
      <c r="AL919" s="65"/>
      <c r="AM919" s="65"/>
      <c r="AN919" s="135"/>
      <c r="AO919" s="135"/>
      <c r="AP919" s="135"/>
      <c r="AQ919" s="63"/>
      <c r="AR919" s="135"/>
      <c r="AS919" s="135"/>
      <c r="AT919" s="135"/>
      <c r="AU919" s="63"/>
      <c r="AV919" s="63"/>
      <c r="AW919" s="63"/>
      <c r="AX919" s="63"/>
      <c r="BC919" s="24"/>
      <c r="BD919" s="24"/>
    </row>
    <row r="920" spans="32:56" ht="15" customHeight="1" x14ac:dyDescent="0.2">
      <c r="AF920" s="134"/>
      <c r="AG920" s="135"/>
      <c r="AH920" s="135"/>
      <c r="AI920" s="135"/>
      <c r="AJ920" s="135"/>
      <c r="AK920" s="65"/>
      <c r="AL920" s="65"/>
      <c r="AM920" s="65"/>
      <c r="AN920" s="135"/>
      <c r="AO920" s="135"/>
      <c r="AP920" s="135"/>
      <c r="AQ920" s="63"/>
      <c r="AR920" s="135"/>
      <c r="AS920" s="135"/>
      <c r="AT920" s="135"/>
      <c r="AU920" s="63"/>
      <c r="AV920" s="63"/>
      <c r="AW920" s="63"/>
      <c r="AX920" s="63"/>
      <c r="BC920" s="24"/>
      <c r="BD920" s="24"/>
    </row>
    <row r="921" spans="32:56" ht="15" customHeight="1" x14ac:dyDescent="0.2">
      <c r="AF921" s="134"/>
      <c r="AG921" s="135"/>
      <c r="AH921" s="135"/>
      <c r="AI921" s="135"/>
      <c r="AJ921" s="135"/>
      <c r="AK921" s="65"/>
      <c r="AL921" s="65"/>
      <c r="AM921" s="65"/>
      <c r="AN921" s="135"/>
      <c r="AO921" s="135"/>
      <c r="AP921" s="135"/>
      <c r="AQ921" s="63"/>
      <c r="AR921" s="135"/>
      <c r="AS921" s="135"/>
      <c r="AT921" s="135"/>
      <c r="AU921" s="63"/>
      <c r="AV921" s="63"/>
      <c r="AW921" s="63"/>
      <c r="AX921" s="63"/>
      <c r="BC921" s="24"/>
      <c r="BD921" s="24"/>
    </row>
    <row r="922" spans="32:56" ht="15" customHeight="1" x14ac:dyDescent="0.2">
      <c r="AF922" s="134"/>
      <c r="AG922" s="135"/>
      <c r="AH922" s="135"/>
      <c r="AI922" s="135"/>
      <c r="AJ922" s="135"/>
      <c r="AK922" s="65"/>
      <c r="AL922" s="65"/>
      <c r="AM922" s="65"/>
      <c r="AN922" s="135"/>
      <c r="AO922" s="135"/>
      <c r="AP922" s="135"/>
      <c r="AQ922" s="63"/>
      <c r="AR922" s="135"/>
      <c r="AS922" s="135"/>
      <c r="AT922" s="135"/>
      <c r="AU922" s="63"/>
      <c r="AV922" s="63"/>
      <c r="AW922" s="63"/>
      <c r="AX922" s="63"/>
      <c r="BC922" s="24"/>
      <c r="BD922" s="24"/>
    </row>
    <row r="923" spans="32:56" ht="15" customHeight="1" x14ac:dyDescent="0.2">
      <c r="AF923" s="134"/>
      <c r="AG923" s="135"/>
      <c r="AH923" s="135"/>
      <c r="AI923" s="135"/>
      <c r="AJ923" s="135"/>
      <c r="AK923" s="65"/>
      <c r="AL923" s="65"/>
      <c r="AM923" s="65"/>
      <c r="AN923" s="135"/>
      <c r="AO923" s="135"/>
      <c r="AP923" s="135"/>
      <c r="AQ923" s="63"/>
      <c r="AR923" s="135"/>
      <c r="AS923" s="135"/>
      <c r="AT923" s="135"/>
      <c r="AU923" s="63"/>
      <c r="AV923" s="63"/>
      <c r="AW923" s="63"/>
      <c r="AX923" s="63"/>
      <c r="BC923" s="24"/>
      <c r="BD923" s="24"/>
    </row>
    <row r="924" spans="32:56" ht="15" customHeight="1" x14ac:dyDescent="0.2">
      <c r="AF924" s="134"/>
      <c r="AG924" s="135"/>
      <c r="AH924" s="135"/>
      <c r="AI924" s="135"/>
      <c r="AJ924" s="135"/>
      <c r="AK924" s="65"/>
      <c r="AL924" s="65"/>
      <c r="AM924" s="65"/>
      <c r="AN924" s="135"/>
      <c r="AO924" s="135"/>
      <c r="AP924" s="135"/>
      <c r="AQ924" s="63"/>
      <c r="AR924" s="135"/>
      <c r="AS924" s="135"/>
      <c r="AT924" s="135"/>
      <c r="AU924" s="63"/>
      <c r="AV924" s="63"/>
      <c r="AW924" s="63"/>
      <c r="AX924" s="63"/>
      <c r="BC924" s="24"/>
      <c r="BD924" s="24"/>
    </row>
    <row r="925" spans="32:56" ht="15" customHeight="1" x14ac:dyDescent="0.2">
      <c r="AF925" s="134"/>
      <c r="AG925" s="135"/>
      <c r="AH925" s="135"/>
      <c r="AI925" s="135"/>
      <c r="AJ925" s="135"/>
      <c r="AK925" s="65"/>
      <c r="AL925" s="65"/>
      <c r="AM925" s="65"/>
      <c r="AN925" s="135"/>
      <c r="AO925" s="135"/>
      <c r="AP925" s="135"/>
      <c r="AQ925" s="63"/>
      <c r="AR925" s="135"/>
      <c r="AS925" s="135"/>
      <c r="AT925" s="135"/>
      <c r="AU925" s="63"/>
      <c r="AV925" s="63"/>
      <c r="AW925" s="63"/>
      <c r="AX925" s="63"/>
      <c r="BC925" s="24"/>
      <c r="BD925" s="24"/>
    </row>
    <row r="926" spans="32:56" ht="15" customHeight="1" x14ac:dyDescent="0.2">
      <c r="AF926" s="134"/>
      <c r="AG926" s="135"/>
      <c r="AH926" s="135"/>
      <c r="AI926" s="135"/>
      <c r="AJ926" s="135"/>
      <c r="AK926" s="65"/>
      <c r="AL926" s="65"/>
      <c r="AM926" s="65"/>
      <c r="AN926" s="135"/>
      <c r="AO926" s="135"/>
      <c r="AP926" s="135"/>
      <c r="AQ926" s="63"/>
      <c r="AR926" s="135"/>
      <c r="AS926" s="135"/>
      <c r="AT926" s="135"/>
      <c r="AU926" s="63"/>
      <c r="AV926" s="63"/>
      <c r="AW926" s="63"/>
      <c r="AX926" s="63"/>
      <c r="BC926" s="24"/>
      <c r="BD926" s="24"/>
    </row>
    <row r="927" spans="32:56" ht="15" customHeight="1" x14ac:dyDescent="0.2">
      <c r="AF927" s="134"/>
      <c r="AG927" s="135"/>
      <c r="AH927" s="135"/>
      <c r="AI927" s="135"/>
      <c r="AJ927" s="135"/>
      <c r="AK927" s="65"/>
      <c r="AL927" s="65"/>
      <c r="AM927" s="65"/>
      <c r="AN927" s="135"/>
      <c r="AO927" s="135"/>
      <c r="AP927" s="135"/>
      <c r="AQ927" s="63"/>
      <c r="AR927" s="135"/>
      <c r="AS927" s="135"/>
      <c r="AT927" s="135"/>
      <c r="AU927" s="63"/>
      <c r="AV927" s="63"/>
      <c r="AW927" s="63"/>
      <c r="AX927" s="63"/>
      <c r="BC927" s="24"/>
      <c r="BD927" s="24"/>
    </row>
    <row r="928" spans="32:56" ht="15" customHeight="1" x14ac:dyDescent="0.2">
      <c r="AF928" s="134"/>
      <c r="AG928" s="135"/>
      <c r="AH928" s="135"/>
      <c r="AI928" s="135"/>
      <c r="AJ928" s="135"/>
      <c r="AK928" s="65"/>
      <c r="AL928" s="65"/>
      <c r="AM928" s="65"/>
      <c r="AN928" s="135"/>
      <c r="AO928" s="135"/>
      <c r="AP928" s="135"/>
      <c r="AQ928" s="63"/>
      <c r="AR928" s="135"/>
      <c r="AS928" s="135"/>
      <c r="AT928" s="135"/>
      <c r="AU928" s="63"/>
      <c r="AV928" s="63"/>
      <c r="AW928" s="63"/>
      <c r="AX928" s="63"/>
      <c r="BC928" s="24"/>
      <c r="BD928" s="24"/>
    </row>
    <row r="929" spans="32:56" ht="15" customHeight="1" x14ac:dyDescent="0.2">
      <c r="AF929" s="134"/>
      <c r="AG929" s="135"/>
      <c r="AH929" s="135"/>
      <c r="AI929" s="135"/>
      <c r="AJ929" s="135"/>
      <c r="AK929" s="65"/>
      <c r="AL929" s="65"/>
      <c r="AM929" s="65"/>
      <c r="AN929" s="135"/>
      <c r="AO929" s="135"/>
      <c r="AP929" s="135"/>
      <c r="AQ929" s="63"/>
      <c r="AR929" s="135"/>
      <c r="AS929" s="135"/>
      <c r="AT929" s="135"/>
      <c r="AU929" s="63"/>
      <c r="AV929" s="63"/>
      <c r="AW929" s="63"/>
      <c r="AX929" s="63"/>
      <c r="BC929" s="24"/>
      <c r="BD929" s="24"/>
    </row>
    <row r="930" spans="32:56" ht="15" customHeight="1" x14ac:dyDescent="0.2">
      <c r="AF930" s="134"/>
      <c r="AG930" s="135"/>
      <c r="AH930" s="135"/>
      <c r="AI930" s="135"/>
      <c r="AJ930" s="135"/>
      <c r="AK930" s="65"/>
      <c r="AL930" s="65"/>
      <c r="AM930" s="65"/>
      <c r="AN930" s="135"/>
      <c r="AO930" s="135"/>
      <c r="AP930" s="135"/>
      <c r="AQ930" s="63"/>
      <c r="AR930" s="135"/>
      <c r="AS930" s="135"/>
      <c r="AT930" s="135"/>
      <c r="AU930" s="63"/>
      <c r="AV930" s="63"/>
      <c r="AW930" s="63"/>
      <c r="AX930" s="63"/>
      <c r="BC930" s="24"/>
      <c r="BD930" s="24"/>
    </row>
    <row r="931" spans="32:56" ht="15" customHeight="1" x14ac:dyDescent="0.2">
      <c r="AF931" s="134"/>
      <c r="AG931" s="135"/>
      <c r="AH931" s="135"/>
      <c r="AI931" s="135"/>
      <c r="AJ931" s="135"/>
      <c r="AK931" s="65"/>
      <c r="AL931" s="65"/>
      <c r="AM931" s="65"/>
      <c r="AN931" s="135"/>
      <c r="AO931" s="135"/>
      <c r="AP931" s="135"/>
      <c r="AQ931" s="63"/>
      <c r="AR931" s="135"/>
      <c r="AS931" s="135"/>
      <c r="AT931" s="135"/>
      <c r="AU931" s="63"/>
      <c r="AV931" s="63"/>
      <c r="AW931" s="63"/>
      <c r="AX931" s="63"/>
      <c r="BC931" s="24"/>
      <c r="BD931" s="24"/>
    </row>
    <row r="932" spans="32:56" ht="15" customHeight="1" x14ac:dyDescent="0.2">
      <c r="AF932" s="134"/>
      <c r="AG932" s="135"/>
      <c r="AH932" s="135"/>
      <c r="AI932" s="135"/>
      <c r="AJ932" s="135"/>
      <c r="AK932" s="65"/>
      <c r="AL932" s="65"/>
      <c r="AM932" s="65"/>
      <c r="AN932" s="135"/>
      <c r="AO932" s="135"/>
      <c r="AP932" s="135"/>
      <c r="AQ932" s="63"/>
      <c r="AR932" s="135"/>
      <c r="AS932" s="135"/>
      <c r="AT932" s="135"/>
      <c r="AU932" s="63"/>
      <c r="AV932" s="63"/>
      <c r="AW932" s="63"/>
      <c r="AX932" s="63"/>
      <c r="BC932" s="24"/>
      <c r="BD932" s="24"/>
    </row>
    <row r="933" spans="32:56" ht="15" customHeight="1" x14ac:dyDescent="0.2">
      <c r="AF933" s="134"/>
      <c r="AG933" s="135"/>
      <c r="AH933" s="135"/>
      <c r="AI933" s="135"/>
      <c r="AJ933" s="135"/>
      <c r="AK933" s="65"/>
      <c r="AL933" s="65"/>
      <c r="AM933" s="65"/>
      <c r="AN933" s="135"/>
      <c r="AO933" s="135"/>
      <c r="AP933" s="135"/>
      <c r="AQ933" s="63"/>
      <c r="AR933" s="135"/>
      <c r="AS933" s="135"/>
      <c r="AT933" s="135"/>
      <c r="AU933" s="63"/>
      <c r="AV933" s="63"/>
      <c r="AW933" s="63"/>
      <c r="AX933" s="63"/>
      <c r="BC933" s="24"/>
      <c r="BD933" s="24"/>
    </row>
    <row r="934" spans="32:56" ht="15" customHeight="1" x14ac:dyDescent="0.2">
      <c r="AF934" s="134"/>
      <c r="AG934" s="135"/>
      <c r="AH934" s="135"/>
      <c r="AI934" s="135"/>
      <c r="AJ934" s="135"/>
      <c r="AK934" s="65"/>
      <c r="AL934" s="65"/>
      <c r="AM934" s="65"/>
      <c r="AN934" s="135"/>
      <c r="AO934" s="135"/>
      <c r="AP934" s="135"/>
      <c r="AQ934" s="63"/>
      <c r="AR934" s="135"/>
      <c r="AS934" s="135"/>
      <c r="AT934" s="135"/>
      <c r="AU934" s="63"/>
      <c r="AV934" s="63"/>
      <c r="AW934" s="63"/>
      <c r="AX934" s="63"/>
      <c r="BC934" s="24"/>
      <c r="BD934" s="24"/>
    </row>
    <row r="935" spans="32:56" ht="15" customHeight="1" x14ac:dyDescent="0.2">
      <c r="AF935" s="134"/>
      <c r="AG935" s="135"/>
      <c r="AH935" s="135"/>
      <c r="AI935" s="135"/>
      <c r="AJ935" s="135"/>
      <c r="AK935" s="65"/>
      <c r="AL935" s="65"/>
      <c r="AM935" s="65"/>
      <c r="AN935" s="135"/>
      <c r="AO935" s="135"/>
      <c r="AP935" s="135"/>
      <c r="AQ935" s="63"/>
      <c r="AR935" s="135"/>
      <c r="AS935" s="135"/>
      <c r="AT935" s="135"/>
      <c r="AU935" s="63"/>
      <c r="AV935" s="63"/>
      <c r="AW935" s="63"/>
      <c r="AX935" s="63"/>
      <c r="BC935" s="24"/>
      <c r="BD935" s="24"/>
    </row>
    <row r="936" spans="32:56" ht="15" customHeight="1" x14ac:dyDescent="0.2">
      <c r="AF936" s="134"/>
      <c r="AG936" s="135"/>
      <c r="AH936" s="135"/>
      <c r="AI936" s="135"/>
      <c r="AJ936" s="135"/>
      <c r="AK936" s="65"/>
      <c r="AL936" s="65"/>
      <c r="AM936" s="65"/>
      <c r="AN936" s="135"/>
      <c r="AO936" s="135"/>
      <c r="AP936" s="135"/>
      <c r="AQ936" s="63"/>
      <c r="AR936" s="135"/>
      <c r="AS936" s="135"/>
      <c r="AT936" s="135"/>
      <c r="AU936" s="63"/>
      <c r="AV936" s="63"/>
      <c r="AW936" s="63"/>
      <c r="AX936" s="63"/>
      <c r="BC936" s="24"/>
      <c r="BD936" s="24"/>
    </row>
    <row r="937" spans="32:56" ht="15" customHeight="1" x14ac:dyDescent="0.2">
      <c r="AF937" s="134"/>
      <c r="AG937" s="135"/>
      <c r="AH937" s="135"/>
      <c r="AI937" s="135"/>
      <c r="AJ937" s="135"/>
      <c r="AK937" s="65"/>
      <c r="AL937" s="65"/>
      <c r="AM937" s="65"/>
      <c r="AN937" s="135"/>
      <c r="AO937" s="135"/>
      <c r="AP937" s="135"/>
      <c r="AQ937" s="63"/>
      <c r="AR937" s="135"/>
      <c r="AS937" s="135"/>
      <c r="AT937" s="135"/>
      <c r="AU937" s="63"/>
      <c r="AV937" s="63"/>
      <c r="AW937" s="63"/>
      <c r="AX937" s="63"/>
      <c r="BC937" s="24"/>
      <c r="BD937" s="24"/>
    </row>
    <row r="938" spans="32:56" ht="15" customHeight="1" x14ac:dyDescent="0.2">
      <c r="AF938" s="134"/>
      <c r="AG938" s="135"/>
      <c r="AH938" s="135"/>
      <c r="AI938" s="135"/>
      <c r="AJ938" s="135"/>
      <c r="AK938" s="65"/>
      <c r="AL938" s="65"/>
      <c r="AM938" s="65"/>
      <c r="AN938" s="135"/>
      <c r="AO938" s="135"/>
      <c r="AP938" s="135"/>
      <c r="AQ938" s="63"/>
      <c r="AR938" s="135"/>
      <c r="AS938" s="135"/>
      <c r="AT938" s="135"/>
      <c r="AU938" s="63"/>
      <c r="AV938" s="63"/>
      <c r="AW938" s="63"/>
      <c r="AX938" s="63"/>
      <c r="BC938" s="24"/>
      <c r="BD938" s="24"/>
    </row>
    <row r="939" spans="32:56" ht="15" customHeight="1" x14ac:dyDescent="0.2">
      <c r="AF939" s="134"/>
      <c r="AG939" s="135"/>
      <c r="AH939" s="135"/>
      <c r="AI939" s="135"/>
      <c r="AJ939" s="135"/>
      <c r="AK939" s="65"/>
      <c r="AL939" s="65"/>
      <c r="AM939" s="65"/>
      <c r="AN939" s="135"/>
      <c r="AO939" s="135"/>
      <c r="AP939" s="135"/>
      <c r="AQ939" s="63"/>
      <c r="AR939" s="135"/>
      <c r="AS939" s="135"/>
      <c r="AT939" s="135"/>
      <c r="AU939" s="63"/>
      <c r="BC939" s="24"/>
      <c r="BD939" s="24"/>
    </row>
    <row r="940" spans="32:56" ht="15" customHeight="1" x14ac:dyDescent="0.2">
      <c r="AF940" s="134"/>
      <c r="AG940" s="135"/>
      <c r="AH940" s="135"/>
      <c r="AI940" s="135"/>
      <c r="AJ940" s="135"/>
      <c r="AK940" s="65"/>
      <c r="AL940" s="65"/>
      <c r="AM940" s="65"/>
      <c r="AN940" s="135"/>
      <c r="AO940" s="135"/>
      <c r="AP940" s="135"/>
      <c r="AQ940" s="63"/>
      <c r="AR940" s="135"/>
      <c r="AS940" s="136"/>
      <c r="AT940" s="134"/>
      <c r="BC940" s="24"/>
      <c r="BD940" s="24"/>
    </row>
    <row r="941" spans="32:56" ht="15" customHeight="1" x14ac:dyDescent="0.2">
      <c r="AF941" s="134"/>
      <c r="AG941" s="135"/>
      <c r="AH941" s="135"/>
      <c r="AI941" s="135"/>
      <c r="AJ941" s="135"/>
      <c r="AK941" s="65"/>
      <c r="AL941" s="65"/>
      <c r="AM941" s="65"/>
      <c r="AN941" s="135"/>
      <c r="AO941" s="135"/>
      <c r="AP941" s="135"/>
      <c r="AQ941" s="63"/>
      <c r="AR941" s="135"/>
      <c r="AS941" s="136"/>
      <c r="AT941" s="134"/>
      <c r="BC941" s="24"/>
      <c r="BD941" s="24"/>
    </row>
    <row r="942" spans="32:56" ht="15" customHeight="1" x14ac:dyDescent="0.2">
      <c r="AF942" s="134"/>
      <c r="AG942" s="135"/>
      <c r="AH942" s="135"/>
      <c r="AI942" s="135"/>
      <c r="AJ942" s="135"/>
      <c r="AK942" s="65"/>
      <c r="AL942" s="65"/>
      <c r="AM942" s="65"/>
      <c r="AN942" s="135"/>
      <c r="AO942" s="135"/>
      <c r="AP942" s="135"/>
      <c r="AQ942" s="63"/>
      <c r="AR942" s="135"/>
      <c r="AS942" s="136"/>
      <c r="AT942" s="134"/>
      <c r="BC942" s="24"/>
      <c r="BD942" s="24"/>
    </row>
    <row r="943" spans="32:56" ht="15" customHeight="1" x14ac:dyDescent="0.2">
      <c r="AF943" s="134"/>
      <c r="AG943" s="135"/>
      <c r="AH943" s="135"/>
      <c r="AI943" s="135"/>
      <c r="AJ943" s="135"/>
      <c r="AK943" s="65"/>
      <c r="AL943" s="65"/>
      <c r="AM943" s="65"/>
      <c r="AN943" s="135"/>
      <c r="AO943" s="135"/>
      <c r="AP943" s="135"/>
      <c r="AQ943" s="63"/>
      <c r="AR943" s="135"/>
      <c r="AS943" s="136"/>
      <c r="AT943" s="134"/>
      <c r="BC943" s="24"/>
      <c r="BD943" s="24"/>
    </row>
    <row r="944" spans="32:56" ht="15" customHeight="1" x14ac:dyDescent="0.2">
      <c r="AF944" s="134"/>
      <c r="AG944" s="135"/>
      <c r="AH944" s="135"/>
      <c r="AI944" s="135"/>
      <c r="AJ944" s="135"/>
      <c r="AK944" s="65"/>
      <c r="AL944" s="65"/>
      <c r="AM944" s="65"/>
      <c r="AN944" s="135"/>
      <c r="AO944" s="136"/>
      <c r="AP944" s="134"/>
      <c r="AQ944" s="63"/>
      <c r="AR944" s="135"/>
      <c r="AS944" s="136"/>
      <c r="AT944" s="134"/>
      <c r="BC944" s="24"/>
      <c r="BD944" s="24"/>
    </row>
    <row r="945" spans="32:56" ht="15" customHeight="1" x14ac:dyDescent="0.2">
      <c r="AF945" s="134"/>
      <c r="AG945" s="135"/>
      <c r="AH945" s="135"/>
      <c r="AI945" s="135"/>
      <c r="AJ945" s="135"/>
      <c r="AK945" s="65"/>
      <c r="AL945" s="65"/>
      <c r="AM945" s="65"/>
      <c r="AN945" s="135"/>
      <c r="AO945" s="136"/>
      <c r="AP945" s="134"/>
      <c r="AR945" s="135"/>
      <c r="AS945" s="136"/>
      <c r="AT945" s="134"/>
      <c r="BC945" s="24"/>
      <c r="BD945" s="24"/>
    </row>
    <row r="946" spans="32:56" ht="15" customHeight="1" x14ac:dyDescent="0.2">
      <c r="AF946" s="134"/>
      <c r="AG946" s="135"/>
      <c r="AH946" s="135"/>
      <c r="AI946" s="135"/>
      <c r="AJ946" s="135"/>
      <c r="AK946" s="65"/>
      <c r="AL946" s="65"/>
      <c r="AM946" s="65"/>
      <c r="AN946" s="135"/>
      <c r="AO946" s="136"/>
      <c r="AP946" s="134"/>
      <c r="AR946" s="135"/>
      <c r="AS946" s="136"/>
      <c r="AT946" s="134"/>
      <c r="BC946" s="24"/>
      <c r="BD946" s="24"/>
    </row>
    <row r="947" spans="32:56" ht="15" customHeight="1" x14ac:dyDescent="0.2">
      <c r="AF947" s="134"/>
      <c r="AG947" s="135"/>
      <c r="AH947" s="135"/>
      <c r="AI947" s="135"/>
      <c r="AJ947" s="135"/>
      <c r="AK947" s="65"/>
      <c r="AL947" s="65"/>
      <c r="AM947" s="65"/>
      <c r="AN947" s="135"/>
      <c r="AO947" s="136"/>
      <c r="AP947" s="134"/>
      <c r="AR947" s="135"/>
      <c r="AS947" s="136"/>
      <c r="AT947" s="134"/>
      <c r="BC947" s="24"/>
      <c r="BD947" s="24"/>
    </row>
    <row r="948" spans="32:56" ht="15" customHeight="1" x14ac:dyDescent="0.2">
      <c r="AF948" s="134"/>
      <c r="AG948" s="135"/>
      <c r="AH948" s="135"/>
      <c r="AI948" s="135"/>
      <c r="AJ948" s="135"/>
      <c r="AK948" s="65"/>
      <c r="AL948" s="65"/>
      <c r="AM948" s="65"/>
      <c r="AN948" s="135"/>
      <c r="AO948" s="136"/>
      <c r="AP948" s="134"/>
      <c r="AR948" s="135"/>
      <c r="AS948" s="136"/>
      <c r="AT948" s="134"/>
      <c r="BC948" s="24"/>
      <c r="BD948" s="24"/>
    </row>
    <row r="949" spans="32:56" ht="15" customHeight="1" x14ac:dyDescent="0.2">
      <c r="AF949" s="134"/>
      <c r="AG949" s="135"/>
      <c r="AH949" s="135"/>
      <c r="AI949" s="135"/>
      <c r="AJ949" s="135"/>
      <c r="AK949" s="65"/>
      <c r="AL949" s="65"/>
      <c r="AM949" s="65"/>
      <c r="AN949" s="135"/>
      <c r="AO949" s="136"/>
      <c r="AP949" s="134"/>
      <c r="AR949" s="135"/>
      <c r="AS949" s="136"/>
      <c r="AT949" s="134"/>
      <c r="BC949" s="24"/>
      <c r="BD949" s="24"/>
    </row>
    <row r="950" spans="32:56" ht="15" customHeight="1" x14ac:dyDescent="0.2">
      <c r="AF950" s="134"/>
      <c r="AG950" s="135"/>
      <c r="AH950" s="135"/>
      <c r="AI950" s="135"/>
      <c r="AJ950" s="135"/>
      <c r="AK950" s="65"/>
      <c r="AL950" s="65"/>
      <c r="AM950" s="65"/>
      <c r="AN950" s="135"/>
      <c r="AO950" s="136"/>
      <c r="AP950" s="134"/>
      <c r="AR950" s="135"/>
      <c r="AS950" s="136"/>
      <c r="AT950" s="134"/>
      <c r="BC950" s="24"/>
      <c r="BD950" s="24"/>
    </row>
    <row r="951" spans="32:56" ht="15" customHeight="1" x14ac:dyDescent="0.2">
      <c r="AF951" s="134"/>
      <c r="AG951" s="135"/>
      <c r="AH951" s="135"/>
      <c r="AI951" s="135"/>
      <c r="AJ951" s="135"/>
      <c r="AK951" s="65"/>
      <c r="AL951" s="65"/>
      <c r="AM951" s="65"/>
      <c r="AN951" s="135"/>
      <c r="AO951" s="136"/>
      <c r="AP951" s="134"/>
      <c r="AR951" s="135"/>
      <c r="AS951" s="136"/>
      <c r="AT951" s="134"/>
      <c r="BC951" s="24"/>
      <c r="BD951" s="24"/>
    </row>
    <row r="952" spans="32:56" ht="15" customHeight="1" x14ac:dyDescent="0.2">
      <c r="AF952" s="134"/>
      <c r="AG952" s="135"/>
      <c r="AH952" s="135"/>
      <c r="AI952" s="135"/>
      <c r="AJ952" s="135"/>
      <c r="AK952" s="65"/>
      <c r="AL952" s="65"/>
      <c r="AM952" s="65"/>
      <c r="AN952" s="135"/>
      <c r="AO952" s="136"/>
      <c r="AP952" s="134"/>
      <c r="AR952" s="135"/>
      <c r="AS952" s="136"/>
      <c r="AT952" s="134"/>
      <c r="BC952" s="24"/>
      <c r="BD952" s="24"/>
    </row>
    <row r="953" spans="32:56" ht="15" customHeight="1" x14ac:dyDescent="0.2">
      <c r="AF953" s="134"/>
      <c r="AG953" s="135"/>
      <c r="AH953" s="135"/>
      <c r="AI953" s="135"/>
      <c r="AJ953" s="135"/>
      <c r="AK953" s="65"/>
      <c r="AL953" s="65"/>
      <c r="AM953" s="65"/>
      <c r="AN953" s="135"/>
      <c r="AO953" s="136"/>
      <c r="AP953" s="134"/>
      <c r="AR953" s="135"/>
      <c r="AS953" s="136"/>
      <c r="AT953" s="134"/>
      <c r="BC953" s="24"/>
      <c r="BD953" s="24"/>
    </row>
    <row r="954" spans="32:56" ht="15" customHeight="1" x14ac:dyDescent="0.2">
      <c r="AF954" s="134"/>
      <c r="AG954" s="135"/>
      <c r="AH954" s="135"/>
      <c r="AI954" s="135"/>
      <c r="AJ954" s="135"/>
      <c r="AK954" s="65"/>
      <c r="AL954" s="65"/>
      <c r="AM954" s="65"/>
      <c r="AN954" s="135"/>
      <c r="AO954" s="136"/>
      <c r="AP954" s="134"/>
      <c r="AR954" s="135"/>
      <c r="AS954" s="136"/>
      <c r="AT954" s="134"/>
      <c r="BC954" s="24"/>
      <c r="BD954" s="24"/>
    </row>
    <row r="955" spans="32:56" ht="15" customHeight="1" x14ac:dyDescent="0.2">
      <c r="AF955" s="134"/>
      <c r="AG955" s="135"/>
      <c r="AH955" s="135"/>
      <c r="AI955" s="135"/>
      <c r="AJ955" s="135"/>
      <c r="AK955" s="65"/>
      <c r="AL955" s="65"/>
      <c r="AM955" s="65"/>
      <c r="AN955" s="135"/>
      <c r="AO955" s="136"/>
      <c r="AP955" s="134"/>
      <c r="AR955" s="135"/>
      <c r="AS955" s="136"/>
      <c r="AT955" s="134"/>
      <c r="BC955" s="24"/>
      <c r="BD955" s="24"/>
    </row>
    <row r="956" spans="32:56" ht="15" customHeight="1" x14ac:dyDescent="0.2">
      <c r="AF956" s="134"/>
      <c r="AG956" s="135"/>
      <c r="AH956" s="135"/>
      <c r="AI956" s="135"/>
      <c r="AJ956" s="135"/>
      <c r="AK956" s="65"/>
      <c r="AL956" s="65"/>
      <c r="AM956" s="65"/>
      <c r="AN956" s="135"/>
      <c r="AO956" s="136"/>
      <c r="AP956" s="134"/>
      <c r="AR956" s="135"/>
      <c r="AS956" s="136"/>
      <c r="AT956" s="134"/>
      <c r="BC956" s="24"/>
      <c r="BD956" s="24"/>
    </row>
    <row r="957" spans="32:56" ht="15" customHeight="1" x14ac:dyDescent="0.2">
      <c r="AF957" s="134"/>
      <c r="AG957" s="135"/>
      <c r="AH957" s="135"/>
      <c r="AI957" s="135"/>
      <c r="AJ957" s="135"/>
      <c r="AK957" s="65"/>
      <c r="AL957" s="65"/>
      <c r="AM957" s="65"/>
      <c r="AN957" s="135"/>
      <c r="AO957" s="136"/>
      <c r="AP957" s="134"/>
      <c r="AR957" s="135"/>
      <c r="AS957" s="136"/>
      <c r="AT957" s="134"/>
      <c r="BC957" s="24"/>
      <c r="BD957" s="24"/>
    </row>
    <row r="958" spans="32:56" ht="15" customHeight="1" x14ac:dyDescent="0.2">
      <c r="AF958" s="134"/>
      <c r="AG958" s="135"/>
      <c r="AH958" s="135"/>
      <c r="AI958" s="135"/>
      <c r="AJ958" s="135"/>
      <c r="AK958" s="65"/>
      <c r="AL958" s="65"/>
      <c r="AM958" s="65"/>
      <c r="AN958" s="135"/>
      <c r="AO958" s="136"/>
      <c r="AP958" s="134"/>
      <c r="AR958" s="135"/>
      <c r="AS958" s="136"/>
      <c r="AT958" s="134"/>
      <c r="BC958" s="24"/>
      <c r="BD958" s="24"/>
    </row>
    <row r="959" spans="32:56" ht="15" customHeight="1" x14ac:dyDescent="0.2">
      <c r="AF959" s="134"/>
      <c r="AG959" s="135"/>
      <c r="AH959" s="135"/>
      <c r="AI959" s="135"/>
      <c r="AJ959" s="135"/>
      <c r="AK959" s="65"/>
      <c r="AL959" s="65"/>
      <c r="AM959" s="65"/>
      <c r="AN959" s="135"/>
      <c r="AO959" s="136"/>
      <c r="AP959" s="134"/>
      <c r="AR959" s="135"/>
      <c r="AS959" s="136"/>
      <c r="AT959" s="134"/>
      <c r="BC959" s="24"/>
      <c r="BD959" s="24"/>
    </row>
    <row r="960" spans="32:56" ht="15" customHeight="1" x14ac:dyDescent="0.2">
      <c r="AF960" s="134"/>
      <c r="AG960" s="135"/>
      <c r="AH960" s="135"/>
      <c r="AI960" s="135"/>
      <c r="AJ960" s="135"/>
      <c r="AK960" s="65"/>
      <c r="AL960" s="65"/>
      <c r="AM960" s="65"/>
      <c r="AN960" s="135"/>
      <c r="AO960" s="136"/>
      <c r="AP960" s="134"/>
      <c r="AR960" s="135"/>
      <c r="AS960" s="136"/>
      <c r="AT960" s="134"/>
      <c r="BC960" s="24"/>
      <c r="BD960" s="24"/>
    </row>
    <row r="961" spans="32:56" ht="15" customHeight="1" x14ac:dyDescent="0.2">
      <c r="AF961" s="134"/>
      <c r="AG961" s="135"/>
      <c r="AH961" s="135"/>
      <c r="AI961" s="135"/>
      <c r="AJ961" s="135"/>
      <c r="AK961" s="65"/>
      <c r="AL961" s="65"/>
      <c r="AM961" s="65"/>
      <c r="AN961" s="135"/>
      <c r="AO961" s="136"/>
      <c r="AP961" s="134"/>
      <c r="AR961" s="135"/>
      <c r="AS961" s="136"/>
      <c r="AT961" s="134"/>
      <c r="BC961" s="24"/>
      <c r="BD961" s="24"/>
    </row>
    <row r="962" spans="32:56" ht="15" customHeight="1" x14ac:dyDescent="0.2">
      <c r="AF962" s="134"/>
      <c r="AG962" s="135"/>
      <c r="AH962" s="135"/>
      <c r="AI962" s="135"/>
      <c r="AJ962" s="135"/>
      <c r="AK962" s="65"/>
      <c r="AL962" s="65"/>
      <c r="AM962" s="65"/>
      <c r="AN962" s="135"/>
      <c r="AO962" s="136"/>
      <c r="AP962" s="134"/>
      <c r="AR962" s="135"/>
      <c r="AS962" s="136"/>
      <c r="AT962" s="134"/>
      <c r="BC962" s="24"/>
      <c r="BD962" s="24"/>
    </row>
    <row r="963" spans="32:56" ht="15" customHeight="1" x14ac:dyDescent="0.2">
      <c r="AF963" s="134"/>
      <c r="AG963" s="135"/>
      <c r="AH963" s="135"/>
      <c r="AI963" s="135"/>
      <c r="AJ963" s="135"/>
      <c r="AK963" s="65"/>
      <c r="AL963" s="65"/>
      <c r="AM963" s="65"/>
      <c r="AN963" s="135"/>
      <c r="AO963" s="136"/>
      <c r="AP963" s="134"/>
      <c r="AR963" s="135"/>
      <c r="AS963" s="136"/>
      <c r="AT963" s="134"/>
      <c r="BC963" s="24"/>
      <c r="BD963" s="24"/>
    </row>
    <row r="964" spans="32:56" ht="15" customHeight="1" x14ac:dyDescent="0.2">
      <c r="AF964" s="134"/>
      <c r="AG964" s="135"/>
      <c r="AH964" s="135"/>
      <c r="AI964" s="135"/>
      <c r="AJ964" s="135"/>
      <c r="AK964" s="65"/>
      <c r="AL964" s="65"/>
      <c r="AM964" s="65"/>
      <c r="AN964" s="135"/>
      <c r="AO964" s="136"/>
      <c r="AP964" s="134"/>
      <c r="AR964" s="135"/>
      <c r="AS964" s="136"/>
      <c r="AT964" s="134"/>
      <c r="BC964" s="24"/>
      <c r="BD964" s="24"/>
    </row>
    <row r="965" spans="32:56" ht="15" customHeight="1" x14ac:dyDescent="0.2">
      <c r="AF965" s="134"/>
      <c r="AG965" s="135"/>
      <c r="AH965" s="135"/>
      <c r="AI965" s="135"/>
      <c r="AJ965" s="135"/>
      <c r="AK965" s="65"/>
      <c r="AL965" s="65"/>
      <c r="AM965" s="65"/>
      <c r="AN965" s="135"/>
      <c r="AO965" s="136"/>
      <c r="AP965" s="134"/>
      <c r="AR965" s="135"/>
      <c r="AS965" s="136"/>
      <c r="AT965" s="134"/>
      <c r="BC965" s="24"/>
      <c r="BD965" s="24"/>
    </row>
    <row r="966" spans="32:56" ht="15" customHeight="1" x14ac:dyDescent="0.2">
      <c r="AF966" s="134"/>
      <c r="AG966" s="135"/>
      <c r="AH966" s="135"/>
      <c r="AI966" s="135"/>
      <c r="AJ966" s="135"/>
      <c r="AK966" s="65"/>
      <c r="AL966" s="65"/>
      <c r="AM966" s="65"/>
      <c r="AN966" s="135"/>
      <c r="AO966" s="136"/>
      <c r="AP966" s="134"/>
      <c r="AR966" s="135"/>
      <c r="AS966" s="136"/>
      <c r="AT966" s="134"/>
      <c r="BC966" s="24"/>
      <c r="BD966" s="24"/>
    </row>
    <row r="967" spans="32:56" ht="15" customHeight="1" x14ac:dyDescent="0.2">
      <c r="AF967" s="134"/>
      <c r="AG967" s="135"/>
      <c r="AH967" s="135"/>
      <c r="AI967" s="135"/>
      <c r="AJ967" s="135"/>
      <c r="AK967" s="65"/>
      <c r="AL967" s="65"/>
      <c r="AM967" s="65"/>
      <c r="AN967" s="135"/>
      <c r="AO967" s="136"/>
      <c r="AP967" s="134"/>
      <c r="AR967" s="135"/>
      <c r="AS967" s="136"/>
      <c r="AT967" s="134"/>
      <c r="BC967" s="24"/>
      <c r="BD967" s="24"/>
    </row>
    <row r="968" spans="32:56" ht="15" customHeight="1" x14ac:dyDescent="0.2">
      <c r="AF968" s="134"/>
      <c r="AG968" s="135"/>
      <c r="AH968" s="135"/>
      <c r="AI968" s="135"/>
      <c r="AJ968" s="135"/>
      <c r="AK968" s="65"/>
      <c r="AL968" s="65"/>
      <c r="AM968" s="65"/>
      <c r="AN968" s="135"/>
      <c r="AO968" s="136"/>
      <c r="AP968" s="134"/>
      <c r="AR968" s="135"/>
      <c r="AS968" s="136"/>
      <c r="AT968" s="134"/>
      <c r="BC968" s="24"/>
      <c r="BD968" s="24"/>
    </row>
    <row r="969" spans="32:56" ht="15" customHeight="1" x14ac:dyDescent="0.2">
      <c r="AF969" s="134"/>
      <c r="AG969" s="135"/>
      <c r="AH969" s="135"/>
      <c r="AI969" s="135"/>
      <c r="AJ969" s="135"/>
      <c r="AK969" s="65"/>
      <c r="AL969" s="65"/>
      <c r="AM969" s="65"/>
      <c r="AN969" s="135"/>
      <c r="AO969" s="136"/>
      <c r="AP969" s="134"/>
      <c r="AR969" s="135"/>
      <c r="AS969" s="136"/>
      <c r="AT969" s="134"/>
      <c r="BC969" s="24"/>
      <c r="BD969" s="24"/>
    </row>
    <row r="970" spans="32:56" ht="15" customHeight="1" x14ac:dyDescent="0.2">
      <c r="AF970" s="134"/>
      <c r="AG970" s="135"/>
      <c r="AH970" s="135"/>
      <c r="AI970" s="135"/>
      <c r="AJ970" s="135"/>
      <c r="AK970" s="65"/>
      <c r="AL970" s="65"/>
      <c r="AM970" s="65"/>
      <c r="AN970" s="135"/>
      <c r="AO970" s="136"/>
      <c r="AP970" s="134"/>
      <c r="AR970" s="135"/>
      <c r="AS970" s="136"/>
      <c r="AT970" s="134"/>
      <c r="BC970" s="24"/>
      <c r="BD970" s="24"/>
    </row>
    <row r="971" spans="32:56" ht="15" customHeight="1" x14ac:dyDescent="0.2">
      <c r="AF971" s="134"/>
      <c r="AG971" s="135"/>
      <c r="AH971" s="135"/>
      <c r="AI971" s="135"/>
      <c r="AJ971" s="135"/>
      <c r="AK971" s="65"/>
      <c r="AL971" s="65"/>
      <c r="AM971" s="65"/>
      <c r="AN971" s="135"/>
      <c r="AO971" s="136"/>
      <c r="AP971" s="134"/>
      <c r="AR971" s="135"/>
      <c r="AS971" s="136"/>
      <c r="AT971" s="134"/>
      <c r="BC971" s="24"/>
      <c r="BD971" s="24"/>
    </row>
    <row r="972" spans="32:56" ht="15" customHeight="1" x14ac:dyDescent="0.2">
      <c r="AF972" s="134"/>
      <c r="AG972" s="135"/>
      <c r="AH972" s="135"/>
      <c r="AI972" s="135"/>
      <c r="AJ972" s="135"/>
      <c r="AK972" s="65"/>
      <c r="AL972" s="65"/>
      <c r="AM972" s="65"/>
      <c r="AN972" s="135"/>
      <c r="AO972" s="136"/>
      <c r="AP972" s="134"/>
      <c r="AR972" s="135"/>
      <c r="AS972" s="136"/>
      <c r="AT972" s="134"/>
      <c r="BC972" s="24"/>
      <c r="BD972" s="24"/>
    </row>
    <row r="973" spans="32:56" ht="15" customHeight="1" x14ac:dyDescent="0.2">
      <c r="AF973" s="134"/>
      <c r="AG973" s="135"/>
      <c r="AH973" s="135"/>
      <c r="AI973" s="135"/>
      <c r="AJ973" s="135"/>
      <c r="AK973" s="65"/>
      <c r="AL973" s="65"/>
      <c r="AM973" s="65"/>
      <c r="AN973" s="135"/>
      <c r="AO973" s="136"/>
      <c r="AP973" s="134"/>
      <c r="AR973" s="135"/>
      <c r="AS973" s="136"/>
      <c r="AT973" s="134"/>
      <c r="BC973" s="24"/>
      <c r="BD973" s="24"/>
    </row>
    <row r="974" spans="32:56" ht="15" customHeight="1" x14ac:dyDescent="0.2">
      <c r="AF974" s="134"/>
      <c r="AG974" s="135"/>
      <c r="AH974" s="135"/>
      <c r="AI974" s="135"/>
      <c r="AJ974" s="135"/>
      <c r="AK974" s="65"/>
      <c r="AL974" s="65"/>
      <c r="AM974" s="65"/>
      <c r="AN974" s="135"/>
      <c r="AO974" s="136"/>
      <c r="AP974" s="134"/>
      <c r="AR974" s="135"/>
      <c r="AS974" s="136"/>
      <c r="AT974" s="134"/>
      <c r="BC974" s="24"/>
      <c r="BD974" s="24"/>
    </row>
    <row r="975" spans="32:56" ht="15" customHeight="1" x14ac:dyDescent="0.2">
      <c r="AF975" s="134"/>
      <c r="AG975" s="135"/>
      <c r="AH975" s="135"/>
      <c r="AI975" s="135"/>
      <c r="AJ975" s="135"/>
      <c r="AK975" s="65"/>
      <c r="AL975" s="65"/>
      <c r="AM975" s="65"/>
      <c r="AN975" s="135"/>
      <c r="AO975" s="136"/>
      <c r="AP975" s="134"/>
      <c r="AR975" s="135"/>
      <c r="AS975" s="136"/>
      <c r="AT975" s="134"/>
      <c r="BC975" s="24"/>
      <c r="BD975" s="24"/>
    </row>
    <row r="976" spans="32:56" ht="15" customHeight="1" x14ac:dyDescent="0.2">
      <c r="AF976" s="134"/>
      <c r="AG976" s="135"/>
      <c r="AH976" s="135"/>
      <c r="AI976" s="135"/>
      <c r="AJ976" s="135"/>
      <c r="AK976" s="65"/>
      <c r="AL976" s="65"/>
      <c r="AM976" s="65"/>
      <c r="AN976" s="135"/>
      <c r="AO976" s="136"/>
      <c r="AP976" s="134"/>
      <c r="AR976" s="135"/>
      <c r="AS976" s="136"/>
      <c r="AT976" s="134"/>
      <c r="BC976" s="24"/>
      <c r="BD976" s="24"/>
    </row>
    <row r="977" spans="32:56" ht="15" customHeight="1" x14ac:dyDescent="0.2">
      <c r="AF977" s="134"/>
      <c r="AG977" s="135"/>
      <c r="AH977" s="135"/>
      <c r="AI977" s="135"/>
      <c r="AJ977" s="135"/>
      <c r="AK977" s="65"/>
      <c r="AL977" s="65"/>
      <c r="AM977" s="65"/>
      <c r="AN977" s="135"/>
      <c r="AO977" s="136"/>
      <c r="AP977" s="134"/>
      <c r="AR977" s="135"/>
      <c r="AS977" s="136"/>
      <c r="AT977" s="134"/>
      <c r="BC977" s="24"/>
      <c r="BD977" s="24"/>
    </row>
    <row r="978" spans="32:56" ht="15" customHeight="1" x14ac:dyDescent="0.2">
      <c r="AF978" s="134"/>
      <c r="AG978" s="135"/>
      <c r="AH978" s="135"/>
      <c r="AI978" s="135"/>
      <c r="AJ978" s="135"/>
      <c r="AK978" s="65"/>
      <c r="AL978" s="65"/>
      <c r="AM978" s="65"/>
      <c r="AN978" s="135"/>
      <c r="AO978" s="136"/>
      <c r="AP978" s="134"/>
      <c r="AR978" s="135"/>
      <c r="AS978" s="136"/>
      <c r="AT978" s="134"/>
      <c r="BC978" s="24"/>
      <c r="BD978" s="24"/>
    </row>
    <row r="979" spans="32:56" ht="15" customHeight="1" x14ac:dyDescent="0.2">
      <c r="AF979" s="134"/>
      <c r="AG979" s="135"/>
      <c r="AH979" s="135"/>
      <c r="AI979" s="135"/>
      <c r="AJ979" s="135"/>
      <c r="AK979" s="65"/>
      <c r="AL979" s="65"/>
      <c r="AM979" s="65"/>
      <c r="AN979" s="135"/>
      <c r="AO979" s="136"/>
      <c r="AP979" s="134"/>
      <c r="AR979" s="135"/>
      <c r="AS979" s="136"/>
      <c r="AT979" s="134"/>
      <c r="BC979" s="24"/>
      <c r="BD979" s="24"/>
    </row>
    <row r="980" spans="32:56" ht="15" customHeight="1" x14ac:dyDescent="0.2">
      <c r="AF980" s="134"/>
      <c r="AG980" s="135"/>
      <c r="AH980" s="135"/>
      <c r="AI980" s="135"/>
      <c r="AJ980" s="135"/>
      <c r="AK980" s="65"/>
      <c r="AL980" s="65"/>
      <c r="AM980" s="65"/>
      <c r="AN980" s="135"/>
      <c r="AO980" s="136"/>
      <c r="AP980" s="134"/>
      <c r="AR980" s="135"/>
      <c r="AS980" s="136"/>
      <c r="AT980" s="134"/>
      <c r="BC980" s="24"/>
      <c r="BD980" s="24"/>
    </row>
    <row r="981" spans="32:56" ht="15" customHeight="1" x14ac:dyDescent="0.2">
      <c r="AF981" s="134"/>
      <c r="AG981" s="135"/>
      <c r="AH981" s="135"/>
      <c r="AI981" s="135"/>
      <c r="AJ981" s="135"/>
      <c r="AK981" s="65"/>
      <c r="AL981" s="65"/>
      <c r="AM981" s="65"/>
      <c r="AN981" s="135"/>
      <c r="AO981" s="136"/>
      <c r="AP981" s="134"/>
      <c r="AR981" s="135"/>
      <c r="AS981" s="136"/>
      <c r="AT981" s="134"/>
      <c r="BC981" s="24"/>
      <c r="BD981" s="24"/>
    </row>
    <row r="982" spans="32:56" ht="15" customHeight="1" x14ac:dyDescent="0.2">
      <c r="AF982" s="134"/>
      <c r="AG982" s="135"/>
      <c r="AH982" s="135"/>
      <c r="AI982" s="135"/>
      <c r="AJ982" s="135"/>
      <c r="AK982" s="65"/>
      <c r="AL982" s="65"/>
      <c r="AM982" s="65"/>
      <c r="AN982" s="135"/>
      <c r="AO982" s="136"/>
      <c r="AP982" s="134"/>
      <c r="AR982" s="135"/>
      <c r="AS982" s="136"/>
      <c r="AT982" s="134"/>
      <c r="BC982" s="24"/>
      <c r="BD982" s="24"/>
    </row>
    <row r="983" spans="32:56" ht="15" customHeight="1" x14ac:dyDescent="0.2">
      <c r="AF983" s="134"/>
      <c r="AG983" s="135"/>
      <c r="AH983" s="135"/>
      <c r="AI983" s="135"/>
      <c r="AJ983" s="135"/>
      <c r="AK983" s="65"/>
      <c r="AL983" s="65"/>
      <c r="AM983" s="65"/>
      <c r="AN983" s="135"/>
      <c r="AO983" s="136"/>
      <c r="AP983" s="134"/>
      <c r="AR983" s="135"/>
      <c r="AS983" s="136"/>
      <c r="AT983" s="134"/>
      <c r="BC983" s="24"/>
      <c r="BD983" s="24"/>
    </row>
    <row r="984" spans="32:56" ht="15" customHeight="1" x14ac:dyDescent="0.2">
      <c r="AF984" s="134"/>
      <c r="AG984" s="135"/>
      <c r="AH984" s="135"/>
      <c r="AI984" s="135"/>
      <c r="AJ984" s="135"/>
      <c r="AK984" s="65"/>
      <c r="AL984" s="65"/>
      <c r="AM984" s="65"/>
      <c r="AN984" s="135"/>
      <c r="AO984" s="136"/>
      <c r="AP984" s="134"/>
      <c r="AR984" s="135"/>
      <c r="AS984" s="136"/>
      <c r="AT984" s="134"/>
      <c r="BC984" s="24"/>
      <c r="BD984" s="24"/>
    </row>
    <row r="985" spans="32:56" ht="15" customHeight="1" x14ac:dyDescent="0.2">
      <c r="AF985" s="134"/>
      <c r="AG985" s="135"/>
      <c r="AH985" s="135"/>
      <c r="AI985" s="135"/>
      <c r="AJ985" s="135"/>
      <c r="AK985" s="65"/>
      <c r="AL985" s="65"/>
      <c r="AM985" s="65"/>
      <c r="AN985" s="135"/>
      <c r="AO985" s="136"/>
      <c r="AP985" s="134"/>
      <c r="AR985" s="135"/>
      <c r="AS985" s="136"/>
      <c r="AT985" s="134"/>
      <c r="BC985" s="24"/>
      <c r="BD985" s="24"/>
    </row>
    <row r="986" spans="32:56" ht="15" customHeight="1" x14ac:dyDescent="0.2">
      <c r="AF986" s="134"/>
      <c r="AG986" s="135"/>
      <c r="AH986" s="135"/>
      <c r="AI986" s="135"/>
      <c r="AJ986" s="135"/>
      <c r="AK986" s="65"/>
      <c r="AL986" s="65"/>
      <c r="AM986" s="65"/>
      <c r="AN986" s="135"/>
      <c r="AO986" s="136"/>
      <c r="AP986" s="134"/>
      <c r="AR986" s="135"/>
      <c r="AS986" s="136"/>
      <c r="AT986" s="134"/>
      <c r="BC986" s="24"/>
      <c r="BD986" s="24"/>
    </row>
    <row r="987" spans="32:56" ht="15" customHeight="1" x14ac:dyDescent="0.2">
      <c r="AF987" s="134"/>
      <c r="AG987" s="135"/>
      <c r="AH987" s="135"/>
      <c r="AI987" s="135"/>
      <c r="AJ987" s="135"/>
      <c r="AK987" s="65"/>
      <c r="AL987" s="65"/>
      <c r="AM987" s="65"/>
      <c r="AN987" s="135"/>
      <c r="AO987" s="136"/>
      <c r="AP987" s="134"/>
      <c r="AR987" s="135"/>
      <c r="AS987" s="136"/>
      <c r="AT987" s="134"/>
      <c r="BC987" s="24"/>
      <c r="BD987" s="24"/>
    </row>
    <row r="988" spans="32:56" ht="15" customHeight="1" x14ac:dyDescent="0.2">
      <c r="AF988" s="134"/>
      <c r="AG988" s="135"/>
      <c r="AH988" s="135"/>
      <c r="AI988" s="135"/>
      <c r="AJ988" s="135"/>
      <c r="AK988" s="65"/>
      <c r="AL988" s="65"/>
      <c r="AM988" s="65"/>
      <c r="AN988" s="135"/>
      <c r="AO988" s="136"/>
      <c r="AP988" s="134"/>
      <c r="AR988" s="135"/>
      <c r="AS988" s="136"/>
      <c r="AT988" s="134"/>
      <c r="BC988" s="24"/>
      <c r="BD988" s="24"/>
    </row>
    <row r="989" spans="32:56" ht="15" customHeight="1" x14ac:dyDescent="0.2">
      <c r="AF989" s="134"/>
      <c r="AG989" s="135"/>
      <c r="AH989" s="135"/>
      <c r="AI989" s="135"/>
      <c r="AJ989" s="135"/>
      <c r="AK989" s="65"/>
      <c r="AL989" s="65"/>
      <c r="AM989" s="65"/>
      <c r="AN989" s="135"/>
      <c r="AO989" s="136"/>
      <c r="AP989" s="134"/>
      <c r="AR989" s="135"/>
      <c r="AS989" s="136"/>
      <c r="AT989" s="134"/>
      <c r="BC989" s="24"/>
      <c r="BD989" s="24"/>
    </row>
    <row r="990" spans="32:56" ht="15" customHeight="1" x14ac:dyDescent="0.2">
      <c r="AF990" s="134"/>
      <c r="AG990" s="135"/>
      <c r="AH990" s="135"/>
      <c r="AI990" s="135"/>
      <c r="AJ990" s="135"/>
      <c r="AK990" s="65"/>
      <c r="AL990" s="65"/>
      <c r="AM990" s="65"/>
      <c r="AN990" s="135"/>
      <c r="AO990" s="136"/>
      <c r="AP990" s="134"/>
      <c r="AR990" s="135"/>
      <c r="AS990" s="136"/>
      <c r="AT990" s="134"/>
      <c r="BC990" s="24"/>
      <c r="BD990" s="24"/>
    </row>
    <row r="991" spans="32:56" ht="15" customHeight="1" x14ac:dyDescent="0.2">
      <c r="AF991" s="134"/>
      <c r="AG991" s="135"/>
      <c r="AH991" s="135"/>
      <c r="AI991" s="135"/>
      <c r="AJ991" s="135"/>
      <c r="AK991" s="65"/>
      <c r="AL991" s="65"/>
      <c r="AM991" s="65"/>
      <c r="AN991" s="135"/>
      <c r="AO991" s="136"/>
      <c r="AP991" s="134"/>
      <c r="AR991" s="135"/>
      <c r="AS991" s="136"/>
      <c r="AT991" s="134"/>
      <c r="BC991" s="24"/>
      <c r="BD991" s="24"/>
    </row>
    <row r="992" spans="32:56" ht="15" customHeight="1" x14ac:dyDescent="0.2">
      <c r="AF992" s="134"/>
      <c r="AG992" s="135"/>
      <c r="AH992" s="135"/>
      <c r="AI992" s="135"/>
      <c r="AJ992" s="135"/>
      <c r="AK992" s="65"/>
      <c r="AL992" s="65"/>
      <c r="AM992" s="65"/>
      <c r="AN992" s="135"/>
      <c r="AO992" s="136"/>
      <c r="AP992" s="134"/>
      <c r="AR992" s="135"/>
      <c r="AS992" s="136"/>
      <c r="AT992" s="134"/>
      <c r="BC992" s="24"/>
      <c r="BD992" s="24"/>
    </row>
    <row r="993" spans="32:56" ht="15" customHeight="1" x14ac:dyDescent="0.2">
      <c r="AF993" s="134"/>
      <c r="AG993" s="135"/>
      <c r="AH993" s="135"/>
      <c r="AI993" s="135"/>
      <c r="AJ993" s="135"/>
      <c r="AK993" s="65"/>
      <c r="AL993" s="65"/>
      <c r="AM993" s="65"/>
      <c r="AN993" s="135"/>
      <c r="AO993" s="136"/>
      <c r="AP993" s="134"/>
      <c r="AR993" s="135"/>
      <c r="AS993" s="136"/>
      <c r="AT993" s="134"/>
      <c r="BC993" s="24"/>
      <c r="BD993" s="24"/>
    </row>
    <row r="994" spans="32:56" ht="15" customHeight="1" x14ac:dyDescent="0.2">
      <c r="AF994" s="134"/>
      <c r="AG994" s="135"/>
      <c r="AH994" s="135"/>
      <c r="AI994" s="135"/>
      <c r="AJ994" s="135"/>
      <c r="AK994" s="65"/>
      <c r="AL994" s="65"/>
      <c r="AM994" s="65"/>
      <c r="AN994" s="135"/>
      <c r="AO994" s="136"/>
      <c r="AP994" s="134"/>
      <c r="AR994" s="135"/>
      <c r="AS994" s="136"/>
      <c r="AT994" s="134"/>
      <c r="BC994" s="24"/>
      <c r="BD994" s="24"/>
    </row>
    <row r="995" spans="32:56" ht="15" customHeight="1" x14ac:dyDescent="0.2">
      <c r="AF995" s="134"/>
      <c r="AG995" s="135"/>
      <c r="AH995" s="135"/>
      <c r="AI995" s="135"/>
      <c r="AJ995" s="135"/>
      <c r="AK995" s="65"/>
      <c r="AL995" s="65"/>
      <c r="AM995" s="65"/>
      <c r="AN995" s="135"/>
      <c r="AO995" s="136"/>
      <c r="AP995" s="134"/>
      <c r="AR995" s="135"/>
      <c r="AS995" s="136"/>
      <c r="AT995" s="134"/>
      <c r="BC995" s="24"/>
      <c r="BD995" s="24"/>
    </row>
    <row r="996" spans="32:56" ht="15" customHeight="1" x14ac:dyDescent="0.2">
      <c r="AF996" s="134"/>
      <c r="AG996" s="135"/>
      <c r="AH996" s="135"/>
      <c r="AI996" s="135"/>
      <c r="AJ996" s="135"/>
      <c r="AK996" s="65"/>
      <c r="AL996" s="65"/>
      <c r="AM996" s="65"/>
      <c r="AN996" s="135"/>
      <c r="AO996" s="136"/>
      <c r="AP996" s="134"/>
      <c r="AR996" s="135"/>
      <c r="AS996" s="136"/>
      <c r="AT996" s="134"/>
      <c r="BC996" s="24"/>
      <c r="BD996" s="24"/>
    </row>
    <row r="997" spans="32:56" ht="15" customHeight="1" x14ac:dyDescent="0.2">
      <c r="AF997" s="134"/>
      <c r="AG997" s="135"/>
      <c r="AH997" s="135"/>
      <c r="AI997" s="135"/>
      <c r="AJ997" s="135"/>
      <c r="AK997" s="65"/>
      <c r="AL997" s="65"/>
      <c r="AM997" s="65"/>
      <c r="AN997" s="135"/>
      <c r="AO997" s="136"/>
      <c r="AP997" s="134"/>
      <c r="AR997" s="135"/>
      <c r="AS997" s="136"/>
      <c r="AT997" s="134"/>
      <c r="BC997" s="24"/>
      <c r="BD997" s="24"/>
    </row>
    <row r="998" spans="32:56" ht="15" customHeight="1" x14ac:dyDescent="0.2">
      <c r="AF998" s="134"/>
      <c r="AG998" s="135"/>
      <c r="AH998" s="135"/>
      <c r="AI998" s="135"/>
      <c r="AJ998" s="135"/>
      <c r="AK998" s="65"/>
      <c r="AL998" s="65"/>
      <c r="AM998" s="65"/>
      <c r="AN998" s="135"/>
      <c r="AO998" s="136"/>
      <c r="AP998" s="134"/>
      <c r="AR998" s="135"/>
      <c r="AS998" s="136"/>
      <c r="AT998" s="134"/>
      <c r="BC998" s="24"/>
      <c r="BD998" s="24"/>
    </row>
    <row r="999" spans="32:56" ht="15" customHeight="1" x14ac:dyDescent="0.2">
      <c r="AF999" s="134"/>
      <c r="AG999" s="135"/>
      <c r="AH999" s="135"/>
      <c r="AI999" s="135"/>
      <c r="AJ999" s="135"/>
      <c r="AK999" s="65"/>
      <c r="AL999" s="65"/>
      <c r="AM999" s="65"/>
      <c r="AN999" s="135"/>
      <c r="AO999" s="136"/>
      <c r="AP999" s="134"/>
      <c r="AR999" s="135"/>
      <c r="AS999" s="136"/>
      <c r="AT999" s="134"/>
      <c r="BC999" s="24"/>
      <c r="BD999" s="24"/>
    </row>
    <row r="1000" spans="32:56" ht="15" customHeight="1" x14ac:dyDescent="0.2">
      <c r="AF1000" s="134"/>
      <c r="AG1000" s="135"/>
      <c r="AH1000" s="135"/>
      <c r="AI1000" s="135"/>
      <c r="AJ1000" s="135"/>
      <c r="AK1000" s="65"/>
      <c r="AL1000" s="65"/>
      <c r="AM1000" s="65"/>
      <c r="AN1000" s="135"/>
      <c r="AO1000" s="136"/>
      <c r="AP1000" s="134"/>
      <c r="AR1000" s="135"/>
      <c r="AS1000" s="136"/>
      <c r="AT1000" s="134"/>
      <c r="BC1000" s="24"/>
      <c r="BD1000" s="24"/>
    </row>
    <row r="1001" spans="32:56" ht="15" customHeight="1" x14ac:dyDescent="0.2">
      <c r="AF1001" s="134"/>
      <c r="AG1001" s="135"/>
      <c r="AH1001" s="135"/>
      <c r="AI1001" s="135"/>
      <c r="AJ1001" s="135"/>
      <c r="AK1001" s="65"/>
      <c r="AL1001" s="65"/>
      <c r="AM1001" s="65"/>
      <c r="AN1001" s="135"/>
      <c r="AO1001" s="136"/>
      <c r="AP1001" s="134"/>
      <c r="AR1001" s="135"/>
      <c r="AS1001" s="136"/>
      <c r="AT1001" s="134"/>
      <c r="BC1001" s="24"/>
      <c r="BD1001" s="24"/>
    </row>
    <row r="1002" spans="32:56" ht="15" customHeight="1" x14ac:dyDescent="0.2">
      <c r="AF1002" s="134"/>
      <c r="AG1002" s="135"/>
      <c r="AH1002" s="135"/>
      <c r="AI1002" s="135"/>
      <c r="AJ1002" s="135"/>
      <c r="AK1002" s="65"/>
      <c r="AL1002" s="65"/>
      <c r="AM1002" s="65"/>
      <c r="AN1002" s="135"/>
      <c r="AO1002" s="136"/>
      <c r="AP1002" s="134"/>
      <c r="AR1002" s="135"/>
      <c r="AS1002" s="136"/>
      <c r="AT1002" s="134"/>
      <c r="BC1002" s="24"/>
      <c r="BD1002" s="24"/>
    </row>
    <row r="1003" spans="32:56" ht="15" customHeight="1" x14ac:dyDescent="0.2">
      <c r="AF1003" s="134"/>
      <c r="AG1003" s="135"/>
      <c r="AH1003" s="135"/>
      <c r="AI1003" s="135"/>
      <c r="AJ1003" s="135"/>
      <c r="AK1003" s="65"/>
      <c r="AL1003" s="65"/>
      <c r="AM1003" s="65"/>
      <c r="AN1003" s="135"/>
      <c r="AO1003" s="136"/>
      <c r="AP1003" s="134"/>
      <c r="AR1003" s="135"/>
      <c r="AS1003" s="136"/>
      <c r="AT1003" s="134"/>
      <c r="BC1003" s="24"/>
      <c r="BD1003" s="24"/>
    </row>
    <row r="1004" spans="32:56" ht="15" customHeight="1" x14ac:dyDescent="0.2">
      <c r="AF1004" s="134"/>
      <c r="AG1004" s="135"/>
      <c r="AH1004" s="135"/>
      <c r="AI1004" s="135"/>
      <c r="AJ1004" s="135"/>
      <c r="AK1004" s="65"/>
      <c r="AL1004" s="65"/>
      <c r="AM1004" s="65"/>
      <c r="AN1004" s="135"/>
      <c r="AO1004" s="136"/>
      <c r="AP1004" s="134"/>
      <c r="AR1004" s="135"/>
      <c r="AS1004" s="136"/>
      <c r="AT1004" s="134"/>
      <c r="BC1004" s="24"/>
      <c r="BD1004" s="24"/>
    </row>
    <row r="1005" spans="32:56" ht="15" customHeight="1" x14ac:dyDescent="0.2">
      <c r="AF1005" s="134"/>
      <c r="AG1005" s="135"/>
      <c r="AH1005" s="135"/>
      <c r="AI1005" s="135"/>
      <c r="AJ1005" s="135"/>
      <c r="AK1005" s="65"/>
      <c r="AL1005" s="65"/>
      <c r="AM1005" s="65"/>
      <c r="AN1005" s="135"/>
      <c r="AO1005" s="136"/>
      <c r="AP1005" s="134"/>
      <c r="AR1005" s="135"/>
      <c r="AS1005" s="136"/>
      <c r="AT1005" s="134"/>
      <c r="BC1005" s="24"/>
      <c r="BD1005" s="24"/>
    </row>
    <row r="1006" spans="32:56" ht="15" customHeight="1" x14ac:dyDescent="0.2">
      <c r="AF1006" s="134"/>
      <c r="AG1006" s="135"/>
      <c r="AH1006" s="135"/>
      <c r="AI1006" s="135"/>
      <c r="AJ1006" s="135"/>
      <c r="AK1006" s="65"/>
      <c r="AL1006" s="65"/>
      <c r="AM1006" s="65"/>
      <c r="AN1006" s="135"/>
      <c r="AO1006" s="136"/>
      <c r="AP1006" s="134"/>
      <c r="AR1006" s="135"/>
      <c r="AS1006" s="136"/>
      <c r="AT1006" s="134"/>
      <c r="BC1006" s="24"/>
      <c r="BD1006" s="24"/>
    </row>
    <row r="1007" spans="32:56" ht="15" customHeight="1" x14ac:dyDescent="0.2">
      <c r="AF1007" s="134"/>
      <c r="AG1007" s="135"/>
      <c r="AH1007" s="135"/>
      <c r="AI1007" s="135"/>
      <c r="AJ1007" s="135"/>
      <c r="AK1007" s="65"/>
      <c r="AL1007" s="65"/>
      <c r="AM1007" s="65"/>
      <c r="AN1007" s="135"/>
      <c r="AO1007" s="136"/>
      <c r="AP1007" s="134"/>
      <c r="AR1007" s="135"/>
      <c r="AS1007" s="136"/>
      <c r="AT1007" s="134"/>
      <c r="BC1007" s="24"/>
      <c r="BD1007" s="24"/>
    </row>
    <row r="1008" spans="32:56" ht="15" customHeight="1" x14ac:dyDescent="0.2">
      <c r="AF1008" s="134"/>
      <c r="AG1008" s="135"/>
      <c r="AH1008" s="135"/>
      <c r="AI1008" s="135"/>
      <c r="AJ1008" s="135"/>
      <c r="AK1008" s="65"/>
      <c r="AL1008" s="65"/>
      <c r="AM1008" s="65"/>
      <c r="AN1008" s="135"/>
      <c r="AO1008" s="136"/>
      <c r="AP1008" s="134"/>
      <c r="AR1008" s="135"/>
      <c r="AS1008" s="136"/>
      <c r="AT1008" s="134"/>
      <c r="BC1008" s="24"/>
      <c r="BD1008" s="24"/>
    </row>
    <row r="1009" spans="32:56" ht="15" customHeight="1" x14ac:dyDescent="0.2">
      <c r="AF1009" s="134"/>
      <c r="AG1009" s="135"/>
      <c r="AH1009" s="135"/>
      <c r="AI1009" s="135"/>
      <c r="AJ1009" s="135"/>
      <c r="AK1009" s="65"/>
      <c r="AL1009" s="65"/>
      <c r="AM1009" s="65"/>
      <c r="AN1009" s="135"/>
      <c r="AO1009" s="136"/>
      <c r="AP1009" s="134"/>
      <c r="AR1009" s="135"/>
      <c r="AS1009" s="136"/>
      <c r="AT1009" s="134"/>
      <c r="BC1009" s="24"/>
      <c r="BD1009" s="24"/>
    </row>
    <row r="1010" spans="32:56" ht="15" customHeight="1" x14ac:dyDescent="0.2">
      <c r="AF1010" s="134"/>
      <c r="AG1010" s="135"/>
      <c r="AH1010" s="135"/>
      <c r="AI1010" s="135"/>
      <c r="AJ1010" s="135"/>
      <c r="AK1010" s="65"/>
      <c r="AL1010" s="65"/>
      <c r="AM1010" s="65"/>
      <c r="AN1010" s="135"/>
      <c r="AO1010" s="136"/>
      <c r="AP1010" s="134"/>
      <c r="AR1010" s="135"/>
      <c r="AS1010" s="136"/>
      <c r="AT1010" s="134"/>
      <c r="BC1010" s="24"/>
      <c r="BD1010" s="24"/>
    </row>
    <row r="1011" spans="32:56" ht="15" customHeight="1" x14ac:dyDescent="0.2">
      <c r="AF1011" s="134"/>
      <c r="AG1011" s="135"/>
      <c r="AH1011" s="135"/>
      <c r="AI1011" s="135"/>
      <c r="AJ1011" s="135"/>
      <c r="AK1011" s="65"/>
      <c r="AL1011" s="65"/>
      <c r="AM1011" s="65"/>
      <c r="AN1011" s="135"/>
      <c r="AO1011" s="136"/>
      <c r="AP1011" s="134"/>
      <c r="AR1011" s="135"/>
      <c r="AS1011" s="136"/>
      <c r="AT1011" s="134"/>
      <c r="BC1011" s="24"/>
      <c r="BD1011" s="24"/>
    </row>
    <row r="1012" spans="32:56" ht="15" customHeight="1" x14ac:dyDescent="0.2">
      <c r="AF1012" s="134"/>
      <c r="AG1012" s="135"/>
      <c r="AH1012" s="135"/>
      <c r="AI1012" s="135"/>
      <c r="AJ1012" s="135"/>
      <c r="AK1012" s="65"/>
      <c r="AL1012" s="65"/>
      <c r="AM1012" s="65"/>
      <c r="AN1012" s="135"/>
      <c r="AO1012" s="136"/>
      <c r="AP1012" s="134"/>
      <c r="AR1012" s="135"/>
      <c r="AS1012" s="136"/>
      <c r="AT1012" s="134"/>
      <c r="BC1012" s="24"/>
      <c r="BD1012" s="24"/>
    </row>
    <row r="1013" spans="32:56" ht="15" customHeight="1" x14ac:dyDescent="0.2">
      <c r="AF1013" s="134"/>
      <c r="AG1013" s="135"/>
      <c r="AH1013" s="135"/>
      <c r="AI1013" s="135"/>
      <c r="AJ1013" s="135"/>
      <c r="AK1013" s="65"/>
      <c r="AL1013" s="65"/>
      <c r="AM1013" s="65"/>
      <c r="AN1013" s="135"/>
      <c r="AO1013" s="136"/>
      <c r="AP1013" s="134"/>
      <c r="AR1013" s="135"/>
      <c r="AS1013" s="136"/>
      <c r="AT1013" s="134"/>
      <c r="BC1013" s="24"/>
      <c r="BD1013" s="24"/>
    </row>
    <row r="1014" spans="32:56" ht="15" customHeight="1" x14ac:dyDescent="0.2">
      <c r="AF1014" s="134"/>
      <c r="AG1014" s="135"/>
      <c r="AH1014" s="135"/>
      <c r="AI1014" s="135"/>
      <c r="AJ1014" s="135"/>
      <c r="AK1014" s="65"/>
      <c r="AL1014" s="65"/>
      <c r="AM1014" s="65"/>
      <c r="AN1014" s="135"/>
      <c r="AO1014" s="136"/>
      <c r="AP1014" s="134"/>
      <c r="AR1014" s="135"/>
      <c r="AS1014" s="136"/>
      <c r="AT1014" s="134"/>
      <c r="BC1014" s="24"/>
      <c r="BD1014" s="24"/>
    </row>
    <row r="1015" spans="32:56" ht="15" customHeight="1" x14ac:dyDescent="0.2">
      <c r="AF1015" s="134"/>
      <c r="AG1015" s="135"/>
      <c r="AH1015" s="135"/>
      <c r="AI1015" s="135"/>
      <c r="AJ1015" s="135"/>
      <c r="AK1015" s="65"/>
      <c r="AL1015" s="65"/>
      <c r="AM1015" s="65"/>
      <c r="AN1015" s="135"/>
      <c r="AO1015" s="136"/>
      <c r="AP1015" s="134"/>
      <c r="AR1015" s="135"/>
      <c r="AS1015" s="136"/>
      <c r="AT1015" s="134"/>
      <c r="BC1015" s="24"/>
      <c r="BD1015" s="24"/>
    </row>
    <row r="1016" spans="32:56" ht="15" customHeight="1" x14ac:dyDescent="0.2">
      <c r="AF1016" s="134"/>
      <c r="AG1016" s="135"/>
      <c r="AH1016" s="135"/>
      <c r="AI1016" s="135"/>
      <c r="AJ1016" s="135"/>
      <c r="AK1016" s="65"/>
      <c r="AL1016" s="65"/>
      <c r="AM1016" s="65"/>
      <c r="AN1016" s="135"/>
      <c r="AO1016" s="136"/>
      <c r="AP1016" s="134"/>
      <c r="AR1016" s="135"/>
      <c r="AS1016" s="136"/>
      <c r="AT1016" s="134"/>
      <c r="BC1016" s="24"/>
      <c r="BD1016" s="24"/>
    </row>
    <row r="1017" spans="32:56" ht="15" customHeight="1" x14ac:dyDescent="0.2">
      <c r="AF1017" s="134"/>
      <c r="AG1017" s="135"/>
      <c r="AH1017" s="135"/>
      <c r="AI1017" s="135"/>
      <c r="AJ1017" s="135"/>
      <c r="AK1017" s="65"/>
      <c r="AL1017" s="65"/>
      <c r="AM1017" s="65"/>
      <c r="AN1017" s="135"/>
      <c r="AO1017" s="136"/>
      <c r="AP1017" s="134"/>
      <c r="AR1017" s="135"/>
      <c r="AS1017" s="136"/>
      <c r="AT1017" s="134"/>
      <c r="BC1017" s="24"/>
      <c r="BD1017" s="24"/>
    </row>
    <row r="1018" spans="32:56" ht="15" customHeight="1" x14ac:dyDescent="0.2">
      <c r="AF1018" s="134"/>
      <c r="AG1018" s="135"/>
      <c r="AH1018" s="135"/>
      <c r="AI1018" s="135"/>
      <c r="AJ1018" s="135"/>
      <c r="AK1018" s="65"/>
      <c r="AL1018" s="65"/>
      <c r="AM1018" s="65"/>
      <c r="AN1018" s="135"/>
      <c r="AO1018" s="136"/>
      <c r="AP1018" s="134"/>
      <c r="AR1018" s="135"/>
      <c r="AS1018" s="136"/>
      <c r="AT1018" s="134"/>
      <c r="BC1018" s="24"/>
      <c r="BD1018" s="24"/>
    </row>
    <row r="1019" spans="32:56" ht="15" customHeight="1" x14ac:dyDescent="0.2">
      <c r="AF1019" s="134"/>
      <c r="AG1019" s="135"/>
      <c r="AH1019" s="135"/>
      <c r="AI1019" s="135"/>
      <c r="AJ1019" s="135"/>
      <c r="AK1019" s="65"/>
      <c r="AL1019" s="65"/>
      <c r="AM1019" s="65"/>
      <c r="AN1019" s="135"/>
      <c r="AO1019" s="136"/>
      <c r="AP1019" s="134"/>
      <c r="AR1019" s="135"/>
      <c r="AS1019" s="136"/>
      <c r="AT1019" s="134"/>
      <c r="BC1019" s="24"/>
      <c r="BD1019" s="24"/>
    </row>
    <row r="1020" spans="32:56" ht="15" customHeight="1" x14ac:dyDescent="0.2">
      <c r="AF1020" s="134"/>
      <c r="AG1020" s="135"/>
      <c r="AH1020" s="135"/>
      <c r="AI1020" s="135"/>
      <c r="AJ1020" s="135"/>
      <c r="AK1020" s="65"/>
      <c r="AL1020" s="65"/>
      <c r="AM1020" s="65"/>
      <c r="AN1020" s="135"/>
      <c r="AO1020" s="136"/>
      <c r="AP1020" s="134"/>
      <c r="AR1020" s="135"/>
      <c r="AS1020" s="136"/>
      <c r="AT1020" s="134"/>
      <c r="BC1020" s="24"/>
      <c r="BD1020" s="24"/>
    </row>
    <row r="1021" spans="32:56" ht="15" customHeight="1" x14ac:dyDescent="0.2">
      <c r="AF1021" s="134"/>
      <c r="AG1021" s="135"/>
      <c r="AH1021" s="135"/>
      <c r="AI1021" s="135"/>
      <c r="AJ1021" s="135"/>
      <c r="AK1021" s="65"/>
      <c r="AL1021" s="65"/>
      <c r="AM1021" s="65"/>
      <c r="AN1021" s="135"/>
      <c r="AO1021" s="136"/>
      <c r="AP1021" s="134"/>
      <c r="AR1021" s="135"/>
      <c r="AS1021" s="136"/>
      <c r="AT1021" s="134"/>
      <c r="BC1021" s="24"/>
      <c r="BD1021" s="24"/>
    </row>
    <row r="1022" spans="32:56" ht="15" customHeight="1" x14ac:dyDescent="0.2">
      <c r="AF1022" s="134"/>
      <c r="AG1022" s="135"/>
      <c r="AH1022" s="135"/>
      <c r="AI1022" s="135"/>
      <c r="AJ1022" s="135"/>
      <c r="AK1022" s="65"/>
      <c r="AL1022" s="65"/>
      <c r="AM1022" s="65"/>
      <c r="AN1022" s="135"/>
      <c r="AO1022" s="136"/>
      <c r="AP1022" s="134"/>
      <c r="AR1022" s="135"/>
      <c r="AS1022" s="136"/>
      <c r="AT1022" s="134"/>
      <c r="BC1022" s="24"/>
      <c r="BD1022" s="24"/>
    </row>
    <row r="1023" spans="32:56" ht="15" customHeight="1" x14ac:dyDescent="0.2">
      <c r="AF1023" s="134"/>
      <c r="AG1023" s="135"/>
      <c r="AH1023" s="135"/>
      <c r="AI1023" s="135"/>
      <c r="AJ1023" s="135"/>
      <c r="AK1023" s="65"/>
      <c r="AL1023" s="65"/>
      <c r="AM1023" s="65"/>
      <c r="AN1023" s="135"/>
      <c r="AO1023" s="136"/>
      <c r="AP1023" s="134"/>
      <c r="AR1023" s="135"/>
      <c r="AS1023" s="136"/>
      <c r="AT1023" s="134"/>
      <c r="BC1023" s="24"/>
      <c r="BD1023" s="24"/>
    </row>
    <row r="1024" spans="32:56" ht="15" customHeight="1" x14ac:dyDescent="0.2">
      <c r="AF1024" s="134"/>
      <c r="AG1024" s="135"/>
      <c r="AH1024" s="135"/>
      <c r="AI1024" s="135"/>
      <c r="AJ1024" s="135"/>
      <c r="AK1024" s="65"/>
      <c r="AL1024" s="65"/>
      <c r="AM1024" s="65"/>
      <c r="AN1024" s="135"/>
      <c r="AO1024" s="136"/>
      <c r="AP1024" s="134"/>
      <c r="AR1024" s="135"/>
      <c r="AS1024" s="136"/>
      <c r="AT1024" s="134"/>
      <c r="BC1024" s="24"/>
      <c r="BD1024" s="24"/>
    </row>
    <row r="1025" spans="32:56" ht="15" customHeight="1" x14ac:dyDescent="0.2">
      <c r="AF1025" s="134"/>
      <c r="AG1025" s="135"/>
      <c r="AH1025" s="135"/>
      <c r="AI1025" s="135"/>
      <c r="AJ1025" s="135"/>
      <c r="AK1025" s="65"/>
      <c r="AL1025" s="65"/>
      <c r="AM1025" s="65"/>
      <c r="AN1025" s="135"/>
      <c r="AO1025" s="136"/>
      <c r="AP1025" s="134"/>
      <c r="AR1025" s="135"/>
      <c r="AS1025" s="136"/>
      <c r="AT1025" s="134"/>
      <c r="BC1025" s="24"/>
      <c r="BD1025" s="24"/>
    </row>
    <row r="1026" spans="32:56" ht="15" customHeight="1" x14ac:dyDescent="0.2">
      <c r="AF1026" s="134"/>
      <c r="AG1026" s="135"/>
      <c r="AH1026" s="135"/>
      <c r="AI1026" s="135"/>
      <c r="AJ1026" s="135"/>
      <c r="AK1026" s="65"/>
      <c r="AL1026" s="65"/>
      <c r="AM1026" s="65"/>
      <c r="AN1026" s="135"/>
      <c r="AO1026" s="136"/>
      <c r="AP1026" s="134"/>
      <c r="AR1026" s="135"/>
      <c r="AS1026" s="136"/>
      <c r="AT1026" s="134"/>
      <c r="BC1026" s="24"/>
      <c r="BD1026" s="24"/>
    </row>
    <row r="1027" spans="32:56" ht="15" customHeight="1" x14ac:dyDescent="0.2">
      <c r="AF1027" s="134"/>
      <c r="AG1027" s="135"/>
      <c r="AH1027" s="135"/>
      <c r="AI1027" s="135"/>
      <c r="AJ1027" s="135"/>
      <c r="AK1027" s="65"/>
      <c r="AL1027" s="65"/>
      <c r="AM1027" s="65"/>
      <c r="AN1027" s="135"/>
      <c r="AO1027" s="136"/>
      <c r="AP1027" s="134"/>
      <c r="AR1027" s="135"/>
      <c r="AS1027" s="136"/>
      <c r="AT1027" s="134"/>
      <c r="BC1027" s="24"/>
      <c r="BD1027" s="24"/>
    </row>
    <row r="1028" spans="32:56" ht="15" customHeight="1" x14ac:dyDescent="0.2">
      <c r="AF1028" s="134"/>
      <c r="AG1028" s="135"/>
      <c r="AH1028" s="135"/>
      <c r="AI1028" s="135"/>
      <c r="AJ1028" s="135"/>
      <c r="AK1028" s="65"/>
      <c r="AL1028" s="65"/>
      <c r="AM1028" s="65"/>
      <c r="AN1028" s="135"/>
      <c r="AO1028" s="136"/>
      <c r="AP1028" s="134"/>
      <c r="AR1028" s="135"/>
      <c r="AS1028" s="136"/>
      <c r="AT1028" s="134"/>
      <c r="BC1028" s="24"/>
      <c r="BD1028" s="24"/>
    </row>
    <row r="1029" spans="32:56" ht="15" customHeight="1" x14ac:dyDescent="0.2">
      <c r="AF1029" s="134"/>
      <c r="AG1029" s="135"/>
      <c r="AH1029" s="135"/>
      <c r="AI1029" s="135"/>
      <c r="AJ1029" s="135"/>
      <c r="AK1029" s="65"/>
      <c r="AL1029" s="65"/>
      <c r="AM1029" s="65"/>
      <c r="AN1029" s="135"/>
      <c r="AO1029" s="136"/>
      <c r="AP1029" s="134"/>
      <c r="AR1029" s="135"/>
      <c r="AS1029" s="136"/>
      <c r="AT1029" s="134"/>
      <c r="BC1029" s="24"/>
      <c r="BD1029" s="24"/>
    </row>
    <row r="1030" spans="32:56" ht="15" customHeight="1" x14ac:dyDescent="0.2">
      <c r="AF1030" s="134"/>
      <c r="AG1030" s="135"/>
      <c r="AH1030" s="135"/>
      <c r="AI1030" s="135"/>
      <c r="AJ1030" s="135"/>
      <c r="AK1030" s="65"/>
      <c r="AL1030" s="65"/>
      <c r="AM1030" s="65"/>
      <c r="AN1030" s="135"/>
      <c r="AO1030" s="136"/>
      <c r="AP1030" s="134"/>
      <c r="AR1030" s="135"/>
      <c r="AS1030" s="136"/>
      <c r="AT1030" s="134"/>
      <c r="BC1030" s="24"/>
      <c r="BD1030" s="24"/>
    </row>
    <row r="1031" spans="32:56" ht="15" customHeight="1" x14ac:dyDescent="0.2">
      <c r="AF1031" s="134"/>
      <c r="AG1031" s="135"/>
      <c r="AH1031" s="135"/>
      <c r="AI1031" s="135"/>
      <c r="AJ1031" s="135"/>
      <c r="AK1031" s="65"/>
      <c r="AL1031" s="65"/>
      <c r="AM1031" s="65"/>
      <c r="AN1031" s="135"/>
      <c r="AO1031" s="136"/>
      <c r="AP1031" s="134"/>
      <c r="AR1031" s="135"/>
      <c r="AS1031" s="136"/>
      <c r="AT1031" s="134"/>
      <c r="BC1031" s="24"/>
      <c r="BD1031" s="24"/>
    </row>
    <row r="1032" spans="32:56" ht="15" customHeight="1" x14ac:dyDescent="0.2">
      <c r="AF1032" s="134"/>
      <c r="AG1032" s="135"/>
      <c r="AH1032" s="135"/>
      <c r="AI1032" s="135"/>
      <c r="AJ1032" s="135"/>
      <c r="AK1032" s="65"/>
      <c r="AL1032" s="65"/>
      <c r="AM1032" s="65"/>
      <c r="AN1032" s="135"/>
      <c r="AO1032" s="136"/>
      <c r="AP1032" s="134"/>
      <c r="AR1032" s="135"/>
      <c r="AS1032" s="136"/>
      <c r="AT1032" s="134"/>
      <c r="BC1032" s="24"/>
      <c r="BD1032" s="24"/>
    </row>
    <row r="1033" spans="32:56" ht="15" customHeight="1" x14ac:dyDescent="0.2">
      <c r="AF1033" s="134"/>
      <c r="AG1033" s="135"/>
      <c r="AH1033" s="135"/>
      <c r="AI1033" s="135"/>
      <c r="AJ1033" s="135"/>
      <c r="AK1033" s="65"/>
      <c r="AL1033" s="65"/>
      <c r="AM1033" s="65"/>
      <c r="AN1033" s="135"/>
      <c r="AO1033" s="136"/>
      <c r="AP1033" s="134"/>
      <c r="AR1033" s="135"/>
      <c r="AS1033" s="136"/>
      <c r="AT1033" s="134"/>
      <c r="BC1033" s="24"/>
      <c r="BD1033" s="24"/>
    </row>
    <row r="1034" spans="32:56" ht="15" customHeight="1" x14ac:dyDescent="0.2">
      <c r="AF1034" s="134"/>
      <c r="AG1034" s="135"/>
      <c r="AH1034" s="135"/>
      <c r="AI1034" s="135"/>
      <c r="AJ1034" s="135"/>
      <c r="AK1034" s="65"/>
      <c r="AL1034" s="65"/>
      <c r="AM1034" s="65"/>
      <c r="AN1034" s="135"/>
      <c r="AO1034" s="136"/>
      <c r="AP1034" s="134"/>
      <c r="AR1034" s="135"/>
      <c r="AS1034" s="136"/>
      <c r="AT1034" s="134"/>
      <c r="BC1034" s="24"/>
      <c r="BD1034" s="24"/>
    </row>
    <row r="1035" spans="32:56" ht="15" customHeight="1" x14ac:dyDescent="0.2">
      <c r="AF1035" s="134"/>
      <c r="AG1035" s="135"/>
      <c r="AH1035" s="135"/>
      <c r="AI1035" s="135"/>
      <c r="AJ1035" s="135"/>
      <c r="AK1035" s="65"/>
      <c r="AL1035" s="65"/>
      <c r="AM1035" s="65"/>
      <c r="AN1035" s="135"/>
      <c r="AO1035" s="136"/>
      <c r="AP1035" s="134"/>
      <c r="AR1035" s="135"/>
      <c r="AS1035" s="136"/>
      <c r="AT1035" s="134"/>
      <c r="BC1035" s="24"/>
      <c r="BD1035" s="24"/>
    </row>
    <row r="1036" spans="32:56" ht="15" customHeight="1" x14ac:dyDescent="0.2">
      <c r="AF1036" s="134"/>
      <c r="AG1036" s="135"/>
      <c r="AH1036" s="135"/>
      <c r="AI1036" s="135"/>
      <c r="AJ1036" s="135"/>
      <c r="AK1036" s="65"/>
      <c r="AL1036" s="65"/>
      <c r="AM1036" s="65"/>
      <c r="AN1036" s="135"/>
      <c r="AO1036" s="136"/>
      <c r="AP1036" s="134"/>
      <c r="AR1036" s="135"/>
      <c r="AS1036" s="136"/>
      <c r="AT1036" s="134"/>
      <c r="BC1036" s="24"/>
      <c r="BD1036" s="24"/>
    </row>
    <row r="1037" spans="32:56" ht="15" customHeight="1" x14ac:dyDescent="0.2">
      <c r="AF1037" s="134"/>
      <c r="AG1037" s="135"/>
      <c r="AH1037" s="135"/>
      <c r="AI1037" s="135"/>
      <c r="AJ1037" s="135"/>
      <c r="AK1037" s="65"/>
      <c r="AL1037" s="65"/>
      <c r="AM1037" s="65"/>
      <c r="AN1037" s="135"/>
      <c r="AO1037" s="136"/>
      <c r="AP1037" s="134"/>
      <c r="AR1037" s="135"/>
      <c r="AS1037" s="136"/>
      <c r="AT1037" s="134"/>
      <c r="BC1037" s="24"/>
      <c r="BD1037" s="24"/>
    </row>
    <row r="1038" spans="32:56" ht="15" customHeight="1" x14ac:dyDescent="0.2">
      <c r="AF1038" s="134"/>
      <c r="AG1038" s="135"/>
      <c r="AH1038" s="135"/>
      <c r="AI1038" s="135"/>
      <c r="AJ1038" s="135"/>
      <c r="AK1038" s="65"/>
      <c r="AL1038" s="65"/>
      <c r="AM1038" s="65"/>
      <c r="AN1038" s="135"/>
      <c r="AO1038" s="136"/>
      <c r="AP1038" s="134"/>
      <c r="AR1038" s="135"/>
      <c r="AS1038" s="136"/>
      <c r="AT1038" s="134"/>
      <c r="BC1038" s="24"/>
      <c r="BD1038" s="24"/>
    </row>
    <row r="1039" spans="32:56" ht="15" customHeight="1" x14ac:dyDescent="0.2">
      <c r="AF1039" s="134"/>
      <c r="AG1039" s="135"/>
      <c r="AH1039" s="135"/>
      <c r="AI1039" s="135"/>
      <c r="AJ1039" s="135"/>
      <c r="AK1039" s="65"/>
      <c r="AL1039" s="65"/>
      <c r="AM1039" s="65"/>
      <c r="AN1039" s="135"/>
      <c r="AO1039" s="136"/>
      <c r="AP1039" s="134"/>
      <c r="AR1039" s="135"/>
      <c r="AS1039" s="136"/>
      <c r="AT1039" s="134"/>
      <c r="BC1039" s="24"/>
      <c r="BD1039" s="24"/>
    </row>
    <row r="1040" spans="32:56" ht="15" customHeight="1" x14ac:dyDescent="0.2">
      <c r="AF1040" s="134"/>
      <c r="AG1040" s="135"/>
      <c r="AH1040" s="135"/>
      <c r="AI1040" s="135"/>
      <c r="AJ1040" s="135"/>
      <c r="AK1040" s="65"/>
      <c r="AL1040" s="65"/>
      <c r="AM1040" s="65"/>
      <c r="AN1040" s="135"/>
      <c r="AO1040" s="136"/>
      <c r="AP1040" s="134"/>
      <c r="AR1040" s="135"/>
      <c r="AS1040" s="136"/>
      <c r="AT1040" s="134"/>
      <c r="BC1040" s="24"/>
      <c r="BD1040" s="24"/>
    </row>
    <row r="1041" spans="32:56" ht="15" customHeight="1" x14ac:dyDescent="0.2">
      <c r="AF1041" s="134"/>
      <c r="AG1041" s="135"/>
      <c r="AH1041" s="135"/>
      <c r="AI1041" s="135"/>
      <c r="AJ1041" s="135"/>
      <c r="AK1041" s="65"/>
      <c r="AL1041" s="65"/>
      <c r="AM1041" s="65"/>
      <c r="AN1041" s="135"/>
      <c r="AO1041" s="136"/>
      <c r="AP1041" s="134"/>
      <c r="AR1041" s="135"/>
      <c r="AS1041" s="136"/>
      <c r="AT1041" s="134"/>
      <c r="BC1041" s="24"/>
      <c r="BD1041" s="24"/>
    </row>
    <row r="1042" spans="32:56" ht="15" customHeight="1" x14ac:dyDescent="0.2">
      <c r="AF1042" s="134"/>
      <c r="AG1042" s="135"/>
      <c r="AH1042" s="135"/>
      <c r="AI1042" s="135"/>
      <c r="AJ1042" s="135"/>
      <c r="AK1042" s="65"/>
      <c r="AL1042" s="65"/>
      <c r="AM1042" s="65"/>
      <c r="AN1042" s="135"/>
      <c r="AO1042" s="136"/>
      <c r="AP1042" s="134"/>
      <c r="AR1042" s="135"/>
      <c r="AS1042" s="136"/>
      <c r="AT1042" s="134"/>
      <c r="BC1042" s="24"/>
      <c r="BD1042" s="24"/>
    </row>
    <row r="1043" spans="32:56" ht="15" customHeight="1" x14ac:dyDescent="0.2">
      <c r="AF1043" s="134"/>
      <c r="AG1043" s="135"/>
      <c r="AH1043" s="135"/>
      <c r="AI1043" s="135"/>
      <c r="AJ1043" s="135"/>
      <c r="AK1043" s="65"/>
      <c r="AL1043" s="65"/>
      <c r="AM1043" s="65"/>
      <c r="AN1043" s="135"/>
      <c r="AO1043" s="136"/>
      <c r="AP1043" s="134"/>
      <c r="AR1043" s="135"/>
      <c r="AS1043" s="136"/>
      <c r="AT1043" s="134"/>
      <c r="BC1043" s="24"/>
      <c r="BD1043" s="24"/>
    </row>
    <row r="1044" spans="32:56" ht="15" customHeight="1" x14ac:dyDescent="0.2">
      <c r="AF1044" s="134"/>
      <c r="AG1044" s="135"/>
      <c r="AH1044" s="135"/>
      <c r="AI1044" s="135"/>
      <c r="AJ1044" s="135"/>
      <c r="AK1044" s="65"/>
      <c r="AL1044" s="65"/>
      <c r="AM1044" s="65"/>
      <c r="AN1044" s="135"/>
      <c r="AO1044" s="136"/>
      <c r="AP1044" s="134"/>
      <c r="AR1044" s="135"/>
      <c r="AS1044" s="136"/>
      <c r="AT1044" s="134"/>
      <c r="BC1044" s="24"/>
      <c r="BD1044" s="24"/>
    </row>
    <row r="1045" spans="32:56" ht="15" customHeight="1" x14ac:dyDescent="0.2">
      <c r="AF1045" s="134"/>
      <c r="AG1045" s="135"/>
      <c r="AH1045" s="135"/>
      <c r="AI1045" s="135"/>
      <c r="AJ1045" s="135"/>
      <c r="AK1045" s="65"/>
      <c r="AL1045" s="65"/>
      <c r="AM1045" s="65"/>
      <c r="AN1045" s="135"/>
      <c r="AO1045" s="136"/>
      <c r="AP1045" s="134"/>
      <c r="AR1045" s="135"/>
      <c r="AS1045" s="136"/>
      <c r="AT1045" s="134"/>
      <c r="BC1045" s="24"/>
      <c r="BD1045" s="24"/>
    </row>
    <row r="1046" spans="32:56" ht="15" customHeight="1" x14ac:dyDescent="0.2">
      <c r="AF1046" s="134"/>
      <c r="AG1046" s="135"/>
      <c r="AH1046" s="135"/>
      <c r="AI1046" s="135"/>
      <c r="AJ1046" s="135"/>
      <c r="AK1046" s="65"/>
      <c r="AL1046" s="65"/>
      <c r="AM1046" s="65"/>
      <c r="AN1046" s="135"/>
      <c r="AO1046" s="136"/>
      <c r="AP1046" s="134"/>
      <c r="AR1046" s="135"/>
      <c r="AS1046" s="136"/>
      <c r="AT1046" s="134"/>
      <c r="BC1046" s="24"/>
      <c r="BD1046" s="24"/>
    </row>
    <row r="1047" spans="32:56" ht="15" customHeight="1" x14ac:dyDescent="0.2">
      <c r="AF1047" s="134"/>
      <c r="AG1047" s="135"/>
      <c r="AH1047" s="135"/>
      <c r="AI1047" s="135"/>
      <c r="AJ1047" s="135"/>
      <c r="AK1047" s="65"/>
      <c r="AL1047" s="65"/>
      <c r="AM1047" s="65"/>
      <c r="AN1047" s="135"/>
      <c r="AO1047" s="136"/>
      <c r="AP1047" s="134"/>
      <c r="AR1047" s="135"/>
      <c r="AS1047" s="136"/>
      <c r="AT1047" s="134"/>
      <c r="BC1047" s="24"/>
      <c r="BD1047" s="24"/>
    </row>
    <row r="1048" spans="32:56" ht="15" customHeight="1" x14ac:dyDescent="0.2">
      <c r="AF1048" s="134"/>
      <c r="AG1048" s="135"/>
      <c r="AH1048" s="135"/>
      <c r="AI1048" s="135"/>
      <c r="AJ1048" s="135"/>
      <c r="AK1048" s="65"/>
      <c r="AL1048" s="65"/>
      <c r="AM1048" s="65"/>
      <c r="AN1048" s="135"/>
      <c r="AO1048" s="136"/>
      <c r="AP1048" s="134"/>
      <c r="AR1048" s="135"/>
      <c r="AS1048" s="136"/>
      <c r="AT1048" s="134"/>
      <c r="BC1048" s="24"/>
      <c r="BD1048" s="24"/>
    </row>
    <row r="1049" spans="32:56" ht="15" customHeight="1" x14ac:dyDescent="0.2">
      <c r="AF1049" s="134"/>
      <c r="AG1049" s="135"/>
      <c r="AH1049" s="135"/>
      <c r="AI1049" s="135"/>
      <c r="AJ1049" s="135"/>
      <c r="AK1049" s="65"/>
      <c r="AL1049" s="65"/>
      <c r="AM1049" s="65"/>
      <c r="AN1049" s="135"/>
      <c r="AO1049" s="136"/>
      <c r="AP1049" s="134"/>
      <c r="AR1049" s="135"/>
      <c r="AS1049" s="136"/>
      <c r="AT1049" s="134"/>
      <c r="BC1049" s="24"/>
      <c r="BD1049" s="24"/>
    </row>
    <row r="1050" spans="32:56" ht="15" customHeight="1" x14ac:dyDescent="0.2">
      <c r="AF1050" s="134"/>
      <c r="AG1050" s="135"/>
      <c r="AH1050" s="135"/>
      <c r="AI1050" s="135"/>
      <c r="AJ1050" s="135"/>
      <c r="AK1050" s="65"/>
      <c r="AL1050" s="65"/>
      <c r="AM1050" s="65"/>
      <c r="AN1050" s="135"/>
      <c r="AO1050" s="136"/>
      <c r="AP1050" s="134"/>
      <c r="AR1050" s="135"/>
      <c r="AS1050" s="136"/>
      <c r="AT1050" s="134"/>
      <c r="BC1050" s="24"/>
      <c r="BD1050" s="24"/>
    </row>
    <row r="1051" spans="32:56" ht="15" customHeight="1" x14ac:dyDescent="0.2">
      <c r="AF1051" s="134"/>
      <c r="AG1051" s="135"/>
      <c r="AH1051" s="135"/>
      <c r="AI1051" s="135"/>
      <c r="AJ1051" s="135"/>
      <c r="AK1051" s="65"/>
      <c r="AL1051" s="65"/>
      <c r="AM1051" s="65"/>
      <c r="AN1051" s="135"/>
      <c r="AO1051" s="136"/>
      <c r="AP1051" s="134"/>
      <c r="AR1051" s="135"/>
      <c r="AS1051" s="136"/>
      <c r="AT1051" s="134"/>
      <c r="BC1051" s="24"/>
      <c r="BD1051" s="24"/>
    </row>
    <row r="1052" spans="32:56" ht="15" customHeight="1" x14ac:dyDescent="0.2">
      <c r="AF1052" s="134"/>
      <c r="AG1052" s="135"/>
      <c r="AH1052" s="135"/>
      <c r="AI1052" s="135"/>
      <c r="AJ1052" s="135"/>
      <c r="AK1052" s="65"/>
      <c r="AL1052" s="65"/>
      <c r="AM1052" s="65"/>
      <c r="AN1052" s="135"/>
      <c r="AO1052" s="136"/>
      <c r="AP1052" s="134"/>
      <c r="AR1052" s="135"/>
      <c r="AS1052" s="136"/>
      <c r="AT1052" s="134"/>
      <c r="BC1052" s="24"/>
      <c r="BD1052" s="24"/>
    </row>
    <row r="1053" spans="32:56" ht="15" customHeight="1" x14ac:dyDescent="0.2">
      <c r="AF1053" s="134"/>
      <c r="AG1053" s="135"/>
      <c r="AH1053" s="135"/>
      <c r="AI1053" s="135"/>
      <c r="AJ1053" s="135"/>
      <c r="AK1053" s="65"/>
      <c r="AL1053" s="65"/>
      <c r="AM1053" s="65"/>
      <c r="AN1053" s="135"/>
      <c r="AO1053" s="136"/>
      <c r="AP1053" s="134"/>
      <c r="AR1053" s="135"/>
      <c r="AS1053" s="136"/>
      <c r="AT1053" s="134"/>
      <c r="BC1053" s="24"/>
      <c r="BD1053" s="24"/>
    </row>
    <row r="1054" spans="32:56" ht="15" customHeight="1" x14ac:dyDescent="0.2">
      <c r="AF1054" s="134"/>
      <c r="AG1054" s="135"/>
      <c r="AH1054" s="135"/>
      <c r="AI1054" s="135"/>
      <c r="AJ1054" s="135"/>
      <c r="AK1054" s="65"/>
      <c r="AL1054" s="65"/>
      <c r="AM1054" s="65"/>
      <c r="AN1054" s="135"/>
      <c r="AO1054" s="136"/>
      <c r="AP1054" s="134"/>
      <c r="AR1054" s="135"/>
      <c r="AS1054" s="136"/>
      <c r="AT1054" s="134"/>
      <c r="BC1054" s="24"/>
      <c r="BD1054" s="24"/>
    </row>
    <row r="1055" spans="32:56" ht="15" customHeight="1" x14ac:dyDescent="0.2">
      <c r="AF1055" s="134"/>
      <c r="AG1055" s="135"/>
      <c r="AH1055" s="135"/>
      <c r="AI1055" s="135"/>
      <c r="AJ1055" s="135"/>
      <c r="AK1055" s="65"/>
      <c r="AL1055" s="65"/>
      <c r="AM1055" s="65"/>
      <c r="AN1055" s="135"/>
      <c r="AO1055" s="136"/>
      <c r="AP1055" s="134"/>
      <c r="AR1055" s="135"/>
      <c r="AS1055" s="136"/>
      <c r="AT1055" s="134"/>
      <c r="BC1055" s="24"/>
      <c r="BD1055" s="24"/>
    </row>
    <row r="1056" spans="32:56" ht="15" customHeight="1" x14ac:dyDescent="0.2">
      <c r="AF1056" s="134"/>
      <c r="AG1056" s="135"/>
      <c r="AH1056" s="135"/>
      <c r="AI1056" s="135"/>
      <c r="AJ1056" s="135"/>
      <c r="AK1056" s="65"/>
      <c r="AL1056" s="65"/>
      <c r="AM1056" s="65"/>
      <c r="AN1056" s="135"/>
      <c r="AO1056" s="136"/>
      <c r="AP1056" s="134"/>
      <c r="AR1056" s="135"/>
      <c r="AS1056" s="136"/>
      <c r="AT1056" s="134"/>
      <c r="BC1056" s="24"/>
      <c r="BD1056" s="24"/>
    </row>
    <row r="1057" spans="32:56" ht="15" customHeight="1" x14ac:dyDescent="0.2">
      <c r="AF1057" s="134"/>
      <c r="AG1057" s="135"/>
      <c r="AH1057" s="135"/>
      <c r="AI1057" s="135"/>
      <c r="AJ1057" s="135"/>
      <c r="AK1057" s="65"/>
      <c r="AL1057" s="65"/>
      <c r="AM1057" s="65"/>
      <c r="AN1057" s="135"/>
      <c r="AO1057" s="136"/>
      <c r="AP1057" s="134"/>
      <c r="AR1057" s="135"/>
      <c r="AS1057" s="136"/>
      <c r="AT1057" s="134"/>
      <c r="BC1057" s="24"/>
      <c r="BD1057" s="24"/>
    </row>
    <row r="1058" spans="32:56" ht="15" customHeight="1" x14ac:dyDescent="0.2">
      <c r="AF1058" s="134"/>
      <c r="AG1058" s="135"/>
      <c r="AH1058" s="135"/>
      <c r="AI1058" s="135"/>
      <c r="AJ1058" s="135"/>
      <c r="AK1058" s="65"/>
      <c r="AL1058" s="65"/>
      <c r="AM1058" s="65"/>
      <c r="AN1058" s="135"/>
      <c r="AO1058" s="136"/>
      <c r="AP1058" s="134"/>
      <c r="AR1058" s="135"/>
      <c r="AS1058" s="136"/>
      <c r="AT1058" s="134"/>
      <c r="BC1058" s="24"/>
      <c r="BD1058" s="24"/>
    </row>
    <row r="1059" spans="32:56" ht="15" customHeight="1" x14ac:dyDescent="0.2">
      <c r="AF1059" s="134"/>
      <c r="AG1059" s="135"/>
      <c r="AH1059" s="135"/>
      <c r="AI1059" s="135"/>
      <c r="AJ1059" s="135"/>
      <c r="AK1059" s="65"/>
      <c r="AL1059" s="65"/>
      <c r="AM1059" s="65"/>
      <c r="AN1059" s="135"/>
      <c r="AO1059" s="136"/>
      <c r="AP1059" s="134"/>
      <c r="AR1059" s="135"/>
      <c r="AS1059" s="136"/>
      <c r="AT1059" s="134"/>
      <c r="BC1059" s="24"/>
      <c r="BD1059" s="24"/>
    </row>
    <row r="1060" spans="32:56" ht="15" customHeight="1" x14ac:dyDescent="0.2">
      <c r="AF1060" s="134"/>
      <c r="AG1060" s="135"/>
      <c r="AH1060" s="135"/>
      <c r="AI1060" s="135"/>
      <c r="AJ1060" s="135"/>
      <c r="AK1060" s="65"/>
      <c r="AL1060" s="65"/>
      <c r="AM1060" s="65"/>
      <c r="AN1060" s="135"/>
      <c r="AO1060" s="136"/>
      <c r="AP1060" s="134"/>
      <c r="AR1060" s="135"/>
      <c r="AS1060" s="136"/>
      <c r="AT1060" s="134"/>
      <c r="BC1060" s="24"/>
      <c r="BD1060" s="24"/>
    </row>
    <row r="1061" spans="32:56" ht="15" customHeight="1" x14ac:dyDescent="0.2">
      <c r="AF1061" s="134"/>
      <c r="AG1061" s="135"/>
      <c r="AH1061" s="135"/>
      <c r="AI1061" s="135"/>
      <c r="AJ1061" s="135"/>
      <c r="AK1061" s="65"/>
      <c r="AL1061" s="65"/>
      <c r="AM1061" s="65"/>
      <c r="AN1061" s="135"/>
      <c r="AO1061" s="136"/>
      <c r="AP1061" s="134"/>
      <c r="AR1061" s="135"/>
      <c r="AS1061" s="136"/>
      <c r="AT1061" s="134"/>
      <c r="BC1061" s="24"/>
      <c r="BD1061" s="24"/>
    </row>
    <row r="1062" spans="32:56" ht="15" customHeight="1" x14ac:dyDescent="0.2">
      <c r="AF1062" s="134"/>
      <c r="AG1062" s="135"/>
      <c r="AH1062" s="135"/>
      <c r="AI1062" s="135"/>
      <c r="AJ1062" s="135"/>
      <c r="AK1062" s="65"/>
      <c r="AL1062" s="65"/>
      <c r="AM1062" s="65"/>
      <c r="AN1062" s="135"/>
      <c r="AO1062" s="136"/>
      <c r="AP1062" s="134"/>
      <c r="AR1062" s="135"/>
      <c r="AS1062" s="136"/>
      <c r="AT1062" s="134"/>
      <c r="BC1062" s="24"/>
      <c r="BD1062" s="24"/>
    </row>
    <row r="1063" spans="32:56" ht="15" customHeight="1" x14ac:dyDescent="0.2">
      <c r="AF1063" s="134"/>
      <c r="AG1063" s="135"/>
      <c r="AH1063" s="135"/>
      <c r="AI1063" s="135"/>
      <c r="AJ1063" s="135"/>
      <c r="AK1063" s="65"/>
      <c r="AL1063" s="65"/>
      <c r="AM1063" s="65"/>
      <c r="AN1063" s="135"/>
      <c r="AO1063" s="136"/>
      <c r="AP1063" s="134"/>
      <c r="AR1063" s="135"/>
      <c r="AS1063" s="136"/>
      <c r="AT1063" s="134"/>
      <c r="BC1063" s="24"/>
      <c r="BD1063" s="24"/>
    </row>
    <row r="1064" spans="32:56" ht="15" customHeight="1" x14ac:dyDescent="0.2">
      <c r="AF1064" s="134"/>
      <c r="AG1064" s="135"/>
      <c r="AH1064" s="135"/>
      <c r="AI1064" s="135"/>
      <c r="AJ1064" s="135"/>
      <c r="AK1064" s="65"/>
      <c r="AL1064" s="65"/>
      <c r="AM1064" s="65"/>
      <c r="AN1064" s="135"/>
      <c r="AO1064" s="136"/>
      <c r="AP1064" s="134"/>
      <c r="AR1064" s="135"/>
      <c r="AS1064" s="136"/>
      <c r="AT1064" s="134"/>
      <c r="BC1064" s="24"/>
      <c r="BD1064" s="24"/>
    </row>
    <row r="1065" spans="32:56" ht="15" customHeight="1" x14ac:dyDescent="0.2">
      <c r="AF1065" s="134"/>
      <c r="AG1065" s="135"/>
      <c r="AH1065" s="135"/>
      <c r="AI1065" s="135"/>
      <c r="AJ1065" s="135"/>
      <c r="AK1065" s="65"/>
      <c r="AL1065" s="65"/>
      <c r="AM1065" s="65"/>
      <c r="AN1065" s="135"/>
      <c r="AO1065" s="136"/>
      <c r="AP1065" s="134"/>
      <c r="AR1065" s="135"/>
      <c r="AS1065" s="136"/>
      <c r="AT1065" s="134"/>
      <c r="BC1065" s="24"/>
      <c r="BD1065" s="24"/>
    </row>
    <row r="1066" spans="32:56" ht="15" customHeight="1" x14ac:dyDescent="0.2">
      <c r="AF1066" s="134"/>
      <c r="AG1066" s="135"/>
      <c r="AH1066" s="135"/>
      <c r="AI1066" s="135"/>
      <c r="AJ1066" s="135"/>
      <c r="AK1066" s="65"/>
      <c r="AL1066" s="65"/>
      <c r="AM1066" s="65"/>
      <c r="AN1066" s="135"/>
      <c r="AO1066" s="136"/>
      <c r="AP1066" s="134"/>
      <c r="AR1066" s="135"/>
      <c r="AS1066" s="136"/>
      <c r="AT1066" s="134"/>
      <c r="BC1066" s="24"/>
      <c r="BD1066" s="24"/>
    </row>
    <row r="1067" spans="32:56" ht="15" customHeight="1" x14ac:dyDescent="0.2">
      <c r="AF1067" s="134"/>
      <c r="AG1067" s="135"/>
      <c r="AH1067" s="135"/>
      <c r="AI1067" s="135"/>
      <c r="AJ1067" s="135"/>
      <c r="AK1067" s="65"/>
      <c r="AL1067" s="65"/>
      <c r="AM1067" s="65"/>
      <c r="AN1067" s="135"/>
      <c r="AO1067" s="136"/>
      <c r="AP1067" s="134"/>
      <c r="AR1067" s="135"/>
      <c r="AS1067" s="136"/>
      <c r="AT1067" s="134"/>
      <c r="BC1067" s="24"/>
      <c r="BD1067" s="24"/>
    </row>
    <row r="1068" spans="32:56" ht="15" customHeight="1" x14ac:dyDescent="0.2">
      <c r="AF1068" s="134"/>
      <c r="AG1068" s="135"/>
      <c r="AH1068" s="135"/>
      <c r="AI1068" s="135"/>
      <c r="AJ1068" s="135"/>
      <c r="AK1068" s="65"/>
      <c r="AL1068" s="65"/>
      <c r="AM1068" s="65"/>
      <c r="AN1068" s="135"/>
      <c r="AO1068" s="136"/>
      <c r="AP1068" s="134"/>
      <c r="AR1068" s="135"/>
      <c r="AS1068" s="136"/>
      <c r="AT1068" s="134"/>
      <c r="BC1068" s="24"/>
      <c r="BD1068" s="24"/>
    </row>
    <row r="1069" spans="32:56" ht="15" customHeight="1" x14ac:dyDescent="0.2">
      <c r="AF1069" s="134"/>
      <c r="AG1069" s="135"/>
      <c r="AH1069" s="135"/>
      <c r="AI1069" s="135"/>
      <c r="AJ1069" s="135"/>
      <c r="AK1069" s="65"/>
      <c r="AL1069" s="65"/>
      <c r="AM1069" s="65"/>
      <c r="AN1069" s="135"/>
      <c r="AO1069" s="136"/>
      <c r="AP1069" s="134"/>
      <c r="AR1069" s="135"/>
      <c r="AS1069" s="136"/>
      <c r="AT1069" s="134"/>
      <c r="BC1069" s="24"/>
      <c r="BD1069" s="24"/>
    </row>
    <row r="1070" spans="32:56" ht="15" customHeight="1" x14ac:dyDescent="0.2">
      <c r="AF1070" s="134"/>
      <c r="AG1070" s="135"/>
      <c r="AH1070" s="135"/>
      <c r="AI1070" s="135"/>
      <c r="AJ1070" s="135"/>
      <c r="AK1070" s="65"/>
      <c r="AL1070" s="65"/>
      <c r="AM1070" s="65"/>
      <c r="AN1070" s="135"/>
      <c r="AO1070" s="136"/>
      <c r="AP1070" s="134"/>
      <c r="AR1070" s="135"/>
      <c r="AS1070" s="136"/>
      <c r="AT1070" s="134"/>
      <c r="BC1070" s="24"/>
      <c r="BD1070" s="24"/>
    </row>
    <row r="1071" spans="32:56" ht="15" customHeight="1" x14ac:dyDescent="0.2">
      <c r="AF1071" s="134"/>
      <c r="AG1071" s="135"/>
      <c r="AH1071" s="135"/>
      <c r="AI1071" s="135"/>
      <c r="AJ1071" s="135"/>
      <c r="AK1071" s="65"/>
      <c r="AL1071" s="65"/>
      <c r="AM1071" s="65"/>
      <c r="AN1071" s="135"/>
      <c r="AO1071" s="136"/>
      <c r="AP1071" s="134"/>
      <c r="AR1071" s="135"/>
      <c r="AS1071" s="136"/>
      <c r="AT1071" s="134"/>
      <c r="BC1071" s="24"/>
      <c r="BD1071" s="24"/>
    </row>
    <row r="1072" spans="32:56" ht="15" customHeight="1" x14ac:dyDescent="0.2">
      <c r="AF1072" s="134"/>
      <c r="AG1072" s="135"/>
      <c r="AH1072" s="135"/>
      <c r="AI1072" s="135"/>
      <c r="AJ1072" s="135"/>
      <c r="AK1072" s="65"/>
      <c r="AL1072" s="65"/>
      <c r="AM1072" s="65"/>
      <c r="AN1072" s="135"/>
      <c r="AO1072" s="136"/>
      <c r="AP1072" s="134"/>
      <c r="AR1072" s="135"/>
      <c r="AS1072" s="136"/>
      <c r="AT1072" s="134"/>
      <c r="BC1072" s="24"/>
      <c r="BD1072" s="24"/>
    </row>
    <row r="1073" spans="32:56" ht="15" customHeight="1" x14ac:dyDescent="0.2">
      <c r="AF1073" s="134"/>
      <c r="AG1073" s="135"/>
      <c r="AH1073" s="135"/>
      <c r="AI1073" s="135"/>
      <c r="AJ1073" s="135"/>
      <c r="AK1073" s="65"/>
      <c r="AL1073" s="65"/>
      <c r="AM1073" s="65"/>
      <c r="AN1073" s="135"/>
      <c r="AO1073" s="136"/>
      <c r="AP1073" s="134"/>
      <c r="AR1073" s="135"/>
      <c r="AS1073" s="136"/>
      <c r="AT1073" s="134"/>
      <c r="BC1073" s="24"/>
      <c r="BD1073" s="24"/>
    </row>
    <row r="1074" spans="32:56" ht="15" customHeight="1" x14ac:dyDescent="0.2">
      <c r="AF1074" s="134"/>
      <c r="AG1074" s="135"/>
      <c r="AH1074" s="135"/>
      <c r="AI1074" s="135"/>
      <c r="AJ1074" s="135"/>
      <c r="AK1074" s="65"/>
      <c r="AL1074" s="65"/>
      <c r="AM1074" s="65"/>
      <c r="AN1074" s="135"/>
      <c r="AO1074" s="136"/>
      <c r="AP1074" s="134"/>
      <c r="AR1074" s="135"/>
      <c r="AS1074" s="136"/>
      <c r="AT1074" s="134"/>
      <c r="BC1074" s="24"/>
      <c r="BD1074" s="24"/>
    </row>
    <row r="1075" spans="32:56" ht="15" customHeight="1" x14ac:dyDescent="0.2">
      <c r="AF1075" s="134"/>
      <c r="AG1075" s="135"/>
      <c r="AH1075" s="135"/>
      <c r="AI1075" s="135"/>
      <c r="AJ1075" s="135"/>
      <c r="AK1075" s="65"/>
      <c r="AL1075" s="65"/>
      <c r="AM1075" s="65"/>
      <c r="AN1075" s="135"/>
      <c r="AO1075" s="136"/>
      <c r="AP1075" s="134"/>
      <c r="AR1075" s="135"/>
      <c r="AS1075" s="136"/>
      <c r="AT1075" s="134"/>
      <c r="BC1075" s="24"/>
      <c r="BD1075" s="24"/>
    </row>
    <row r="1076" spans="32:56" ht="15" customHeight="1" x14ac:dyDescent="0.2">
      <c r="AF1076" s="134"/>
      <c r="AG1076" s="135"/>
      <c r="AH1076" s="135"/>
      <c r="AI1076" s="135"/>
      <c r="AJ1076" s="135"/>
      <c r="AK1076" s="65"/>
      <c r="AL1076" s="65"/>
      <c r="AM1076" s="65"/>
      <c r="AN1076" s="135"/>
      <c r="AO1076" s="136"/>
      <c r="AP1076" s="134"/>
      <c r="AR1076" s="135"/>
      <c r="AS1076" s="136"/>
      <c r="AT1076" s="134"/>
      <c r="BC1076" s="24"/>
      <c r="BD1076" s="24"/>
    </row>
    <row r="1077" spans="32:56" ht="15" customHeight="1" x14ac:dyDescent="0.2">
      <c r="AF1077" s="134"/>
      <c r="AG1077" s="135"/>
      <c r="AH1077" s="135"/>
      <c r="AI1077" s="135"/>
      <c r="AJ1077" s="135"/>
      <c r="AK1077" s="65"/>
      <c r="AL1077" s="65"/>
      <c r="AM1077" s="65"/>
      <c r="AN1077" s="135"/>
      <c r="AO1077" s="136"/>
      <c r="AP1077" s="134"/>
      <c r="AR1077" s="135"/>
      <c r="AS1077" s="136"/>
      <c r="AT1077" s="134"/>
      <c r="BC1077" s="24"/>
      <c r="BD1077" s="24"/>
    </row>
    <row r="1078" spans="32:56" ht="15" customHeight="1" x14ac:dyDescent="0.2">
      <c r="AF1078" s="134"/>
      <c r="AG1078" s="135"/>
      <c r="AH1078" s="135"/>
      <c r="AI1078" s="135"/>
      <c r="AJ1078" s="135"/>
      <c r="AK1078" s="65"/>
      <c r="AL1078" s="65"/>
      <c r="AM1078" s="65"/>
      <c r="AN1078" s="135"/>
      <c r="AO1078" s="136"/>
      <c r="AP1078" s="134"/>
      <c r="AR1078" s="135"/>
      <c r="AS1078" s="136"/>
      <c r="AT1078" s="134"/>
      <c r="BC1078" s="24"/>
      <c r="BD1078" s="24"/>
    </row>
    <row r="1079" spans="32:56" ht="15" customHeight="1" x14ac:dyDescent="0.2">
      <c r="AF1079" s="134"/>
      <c r="AG1079" s="135"/>
      <c r="AH1079" s="135"/>
      <c r="AI1079" s="135"/>
      <c r="AJ1079" s="135"/>
      <c r="AK1079" s="65"/>
      <c r="AL1079" s="65"/>
      <c r="AM1079" s="65"/>
      <c r="AN1079" s="135"/>
      <c r="AO1079" s="136"/>
      <c r="AP1079" s="134"/>
      <c r="AR1079" s="135"/>
      <c r="AS1079" s="136"/>
      <c r="AT1079" s="134"/>
      <c r="BC1079" s="24"/>
      <c r="BD1079" s="24"/>
    </row>
    <row r="1080" spans="32:56" ht="15" customHeight="1" x14ac:dyDescent="0.2">
      <c r="AF1080" s="134"/>
      <c r="AG1080" s="135"/>
      <c r="AH1080" s="135"/>
      <c r="AI1080" s="135"/>
      <c r="AJ1080" s="135"/>
      <c r="AK1080" s="65"/>
      <c r="AL1080" s="65"/>
      <c r="AM1080" s="65"/>
      <c r="AN1080" s="135"/>
      <c r="AO1080" s="136"/>
      <c r="AP1080" s="134"/>
      <c r="AR1080" s="135"/>
      <c r="AS1080" s="136"/>
      <c r="AT1080" s="134"/>
      <c r="BC1080" s="24"/>
      <c r="BD1080" s="24"/>
    </row>
    <row r="1081" spans="32:56" ht="15" customHeight="1" x14ac:dyDescent="0.2">
      <c r="AF1081" s="134"/>
      <c r="AG1081" s="135"/>
      <c r="AH1081" s="135"/>
      <c r="AI1081" s="135"/>
      <c r="AJ1081" s="135"/>
      <c r="AK1081" s="65"/>
      <c r="AL1081" s="65"/>
      <c r="AM1081" s="65"/>
      <c r="AN1081" s="135"/>
      <c r="AO1081" s="136"/>
      <c r="AP1081" s="134"/>
      <c r="AR1081" s="135"/>
      <c r="AS1081" s="136"/>
      <c r="AT1081" s="134"/>
      <c r="BC1081" s="24"/>
      <c r="BD1081" s="24"/>
    </row>
    <row r="1082" spans="32:56" ht="15" customHeight="1" x14ac:dyDescent="0.2">
      <c r="AF1082" s="134"/>
      <c r="AG1082" s="135"/>
      <c r="AH1082" s="135"/>
      <c r="AI1082" s="135"/>
      <c r="AJ1082" s="135"/>
      <c r="AK1082" s="65"/>
      <c r="AL1082" s="65"/>
      <c r="AM1082" s="65"/>
      <c r="AN1082" s="135"/>
      <c r="AO1082" s="136"/>
      <c r="AP1082" s="134"/>
      <c r="AR1082" s="135"/>
      <c r="AS1082" s="136"/>
      <c r="AT1082" s="134"/>
      <c r="BC1082" s="24"/>
      <c r="BD1082" s="24"/>
    </row>
    <row r="1083" spans="32:56" ht="15" customHeight="1" x14ac:dyDescent="0.2">
      <c r="AF1083" s="134"/>
      <c r="AG1083" s="135"/>
      <c r="AH1083" s="135"/>
      <c r="AI1083" s="135"/>
      <c r="AJ1083" s="135"/>
      <c r="AK1083" s="65"/>
      <c r="AL1083" s="65"/>
      <c r="AM1083" s="65"/>
      <c r="AN1083" s="135"/>
      <c r="AO1083" s="136"/>
      <c r="AP1083" s="134"/>
      <c r="AR1083" s="135"/>
      <c r="AS1083" s="136"/>
      <c r="AT1083" s="134"/>
      <c r="BC1083" s="24"/>
      <c r="BD1083" s="24"/>
    </row>
    <row r="1084" spans="32:56" ht="15" customHeight="1" x14ac:dyDescent="0.2">
      <c r="AF1084" s="134"/>
      <c r="AG1084" s="135"/>
      <c r="AH1084" s="135"/>
      <c r="AI1084" s="135"/>
      <c r="AJ1084" s="135"/>
      <c r="AK1084" s="65"/>
      <c r="AL1084" s="65"/>
      <c r="AM1084" s="65"/>
      <c r="AN1084" s="135"/>
      <c r="AO1084" s="136"/>
      <c r="AP1084" s="134"/>
      <c r="AR1084" s="135"/>
      <c r="AS1084" s="136"/>
      <c r="AT1084" s="134"/>
      <c r="BC1084" s="24"/>
      <c r="BD1084" s="24"/>
    </row>
    <row r="1085" spans="32:56" ht="15" customHeight="1" x14ac:dyDescent="0.2">
      <c r="AF1085" s="134"/>
      <c r="AG1085" s="135"/>
      <c r="AH1085" s="135"/>
      <c r="AI1085" s="135"/>
      <c r="AJ1085" s="135"/>
      <c r="AK1085" s="65"/>
      <c r="AL1085" s="65"/>
      <c r="AM1085" s="65"/>
      <c r="AN1085" s="135"/>
      <c r="AO1085" s="136"/>
      <c r="AP1085" s="134"/>
      <c r="AR1085" s="135"/>
      <c r="AS1085" s="136"/>
      <c r="AT1085" s="134"/>
      <c r="BC1085" s="24"/>
      <c r="BD1085" s="24"/>
    </row>
    <row r="1086" spans="32:56" ht="15" customHeight="1" x14ac:dyDescent="0.2">
      <c r="AF1086" s="134"/>
      <c r="AG1086" s="135"/>
      <c r="AH1086" s="135"/>
      <c r="AI1086" s="135"/>
      <c r="AJ1086" s="135"/>
      <c r="AK1086" s="65"/>
      <c r="AL1086" s="65"/>
      <c r="AM1086" s="65"/>
      <c r="AN1086" s="135"/>
      <c r="AO1086" s="136"/>
      <c r="AP1086" s="134"/>
      <c r="AR1086" s="135"/>
      <c r="AS1086" s="136"/>
      <c r="AT1086" s="134"/>
      <c r="BC1086" s="24"/>
      <c r="BD1086" s="24"/>
    </row>
    <row r="1087" spans="32:56" ht="15" customHeight="1" x14ac:dyDescent="0.2">
      <c r="AF1087" s="134"/>
      <c r="AG1087" s="135"/>
      <c r="AH1087" s="135"/>
      <c r="AI1087" s="135"/>
      <c r="AJ1087" s="135"/>
      <c r="AK1087" s="65"/>
      <c r="AL1087" s="65"/>
      <c r="AM1087" s="65"/>
      <c r="AN1087" s="135"/>
      <c r="AO1087" s="136"/>
      <c r="AP1087" s="134"/>
      <c r="AR1087" s="135"/>
      <c r="AS1087" s="136"/>
      <c r="AT1087" s="134"/>
      <c r="BC1087" s="24"/>
      <c r="BD1087" s="24"/>
    </row>
    <row r="1088" spans="32:56" ht="15" customHeight="1" x14ac:dyDescent="0.2">
      <c r="AF1088" s="134"/>
      <c r="AG1088" s="135"/>
      <c r="AH1088" s="135"/>
      <c r="AI1088" s="135"/>
      <c r="AJ1088" s="135"/>
      <c r="AK1088" s="65"/>
      <c r="AL1088" s="65"/>
      <c r="AM1088" s="65"/>
      <c r="AN1088" s="135"/>
      <c r="AO1088" s="136"/>
      <c r="AP1088" s="134"/>
      <c r="AR1088" s="135"/>
      <c r="AS1088" s="136"/>
      <c r="AT1088" s="134"/>
      <c r="BC1088" s="24"/>
      <c r="BD1088" s="24"/>
    </row>
    <row r="1089" spans="32:56" ht="15" customHeight="1" x14ac:dyDescent="0.2">
      <c r="AF1089" s="134"/>
      <c r="AG1089" s="135"/>
      <c r="AH1089" s="135"/>
      <c r="AI1089" s="135"/>
      <c r="AJ1089" s="135"/>
      <c r="AK1089" s="65"/>
      <c r="AL1089" s="65"/>
      <c r="AM1089" s="65"/>
      <c r="AN1089" s="135"/>
      <c r="AO1089" s="136"/>
      <c r="AP1089" s="134"/>
      <c r="AR1089" s="135"/>
      <c r="AS1089" s="136"/>
      <c r="AT1089" s="134"/>
      <c r="BC1089" s="24"/>
      <c r="BD1089" s="24"/>
    </row>
    <row r="1090" spans="32:56" ht="15" customHeight="1" x14ac:dyDescent="0.2">
      <c r="AF1090" s="134"/>
      <c r="AG1090" s="135"/>
      <c r="AH1090" s="135"/>
      <c r="AI1090" s="135"/>
      <c r="AJ1090" s="135"/>
      <c r="AK1090" s="65"/>
      <c r="AL1090" s="65"/>
      <c r="AM1090" s="65"/>
      <c r="AN1090" s="135"/>
      <c r="AO1090" s="136"/>
      <c r="AP1090" s="134"/>
      <c r="AR1090" s="135"/>
      <c r="AS1090" s="136"/>
      <c r="AT1090" s="134"/>
      <c r="BC1090" s="24"/>
      <c r="BD1090" s="24"/>
    </row>
    <row r="1091" spans="32:56" ht="15" customHeight="1" x14ac:dyDescent="0.2">
      <c r="AF1091" s="134"/>
      <c r="AG1091" s="135"/>
      <c r="AH1091" s="135"/>
      <c r="AI1091" s="135"/>
      <c r="AJ1091" s="135"/>
      <c r="AK1091" s="65"/>
      <c r="AL1091" s="65"/>
      <c r="AM1091" s="65"/>
      <c r="AN1091" s="135"/>
      <c r="AO1091" s="136"/>
      <c r="AP1091" s="134"/>
      <c r="AR1091" s="135"/>
      <c r="AS1091" s="136"/>
      <c r="AT1091" s="134"/>
      <c r="BC1091" s="24"/>
      <c r="BD1091" s="24"/>
    </row>
    <row r="1092" spans="32:56" ht="15" customHeight="1" x14ac:dyDescent="0.2">
      <c r="AF1092" s="134"/>
      <c r="AG1092" s="135"/>
      <c r="AH1092" s="135"/>
      <c r="AI1092" s="135"/>
      <c r="AJ1092" s="135"/>
      <c r="AK1092" s="65"/>
      <c r="AL1092" s="65"/>
      <c r="AM1092" s="65"/>
      <c r="AN1092" s="135"/>
      <c r="AO1092" s="136"/>
      <c r="AP1092" s="134"/>
      <c r="AR1092" s="135"/>
      <c r="AS1092" s="136"/>
      <c r="AT1092" s="134"/>
      <c r="BC1092" s="24"/>
      <c r="BD1092" s="24"/>
    </row>
    <row r="1093" spans="32:56" ht="15" customHeight="1" x14ac:dyDescent="0.2">
      <c r="AF1093" s="134"/>
      <c r="AG1093" s="135"/>
      <c r="AH1093" s="135"/>
      <c r="AI1093" s="135"/>
      <c r="AJ1093" s="135"/>
      <c r="AK1093" s="65"/>
      <c r="AL1093" s="65"/>
      <c r="AM1093" s="65"/>
      <c r="AN1093" s="135"/>
      <c r="AO1093" s="136"/>
      <c r="AP1093" s="134"/>
      <c r="AR1093" s="135"/>
      <c r="AS1093" s="136"/>
      <c r="AT1093" s="134"/>
      <c r="BC1093" s="24"/>
      <c r="BD1093" s="24"/>
    </row>
    <row r="1094" spans="32:56" ht="15" customHeight="1" x14ac:dyDescent="0.2">
      <c r="AF1094" s="134"/>
      <c r="AG1094" s="135"/>
      <c r="AH1094" s="135"/>
      <c r="AI1094" s="135"/>
      <c r="AJ1094" s="135"/>
      <c r="AK1094" s="65"/>
      <c r="AL1094" s="65"/>
      <c r="AM1094" s="65"/>
      <c r="AN1094" s="135"/>
      <c r="AO1094" s="136"/>
      <c r="AP1094" s="134"/>
      <c r="AR1094" s="135"/>
      <c r="AS1094" s="136"/>
      <c r="AT1094" s="134"/>
      <c r="BC1094" s="24"/>
      <c r="BD1094" s="24"/>
    </row>
    <row r="1095" spans="32:56" ht="15" customHeight="1" x14ac:dyDescent="0.2">
      <c r="AF1095" s="134"/>
      <c r="AG1095" s="135"/>
      <c r="AH1095" s="135"/>
      <c r="AI1095" s="135"/>
      <c r="AJ1095" s="135"/>
      <c r="AK1095" s="65"/>
      <c r="AL1095" s="65"/>
      <c r="AM1095" s="65"/>
      <c r="AN1095" s="135"/>
      <c r="AO1095" s="136"/>
      <c r="AP1095" s="134"/>
      <c r="AR1095" s="135"/>
      <c r="AS1095" s="136"/>
      <c r="AT1095" s="134"/>
      <c r="BC1095" s="24"/>
      <c r="BD1095" s="24"/>
    </row>
    <row r="1096" spans="32:56" ht="15" customHeight="1" x14ac:dyDescent="0.2">
      <c r="AF1096" s="134"/>
      <c r="AG1096" s="135"/>
      <c r="AH1096" s="135"/>
      <c r="AI1096" s="135"/>
      <c r="AJ1096" s="135"/>
      <c r="AK1096" s="65"/>
      <c r="AL1096" s="65"/>
      <c r="AM1096" s="65"/>
      <c r="AN1096" s="135"/>
      <c r="AO1096" s="136"/>
      <c r="AP1096" s="134"/>
      <c r="AR1096" s="135"/>
      <c r="AS1096" s="136"/>
      <c r="AT1096" s="134"/>
      <c r="BC1096" s="24"/>
      <c r="BD1096" s="24"/>
    </row>
    <row r="1097" spans="32:56" ht="15" customHeight="1" x14ac:dyDescent="0.2">
      <c r="AF1097" s="134"/>
      <c r="AG1097" s="135"/>
      <c r="AH1097" s="135"/>
      <c r="AI1097" s="135"/>
      <c r="AJ1097" s="135"/>
      <c r="AK1097" s="65"/>
      <c r="AL1097" s="65"/>
      <c r="AM1097" s="65"/>
      <c r="AN1097" s="135"/>
      <c r="AO1097" s="136"/>
      <c r="AP1097" s="134"/>
      <c r="AR1097" s="135"/>
      <c r="AS1097" s="136"/>
      <c r="AT1097" s="134"/>
      <c r="BC1097" s="24"/>
      <c r="BD1097" s="24"/>
    </row>
    <row r="1098" spans="32:56" ht="15" customHeight="1" x14ac:dyDescent="0.2">
      <c r="AF1098" s="134"/>
      <c r="AG1098" s="135"/>
      <c r="AH1098" s="135"/>
      <c r="AI1098" s="135"/>
      <c r="AJ1098" s="135"/>
      <c r="AK1098" s="65"/>
      <c r="AL1098" s="65"/>
      <c r="AM1098" s="65"/>
      <c r="AN1098" s="135"/>
      <c r="AO1098" s="136"/>
      <c r="AP1098" s="134"/>
      <c r="AR1098" s="135"/>
      <c r="AS1098" s="136"/>
      <c r="AT1098" s="134"/>
      <c r="BC1098" s="24"/>
      <c r="BD1098" s="24"/>
    </row>
    <row r="1099" spans="32:56" ht="15" customHeight="1" x14ac:dyDescent="0.2">
      <c r="AF1099" s="134"/>
      <c r="AG1099" s="135"/>
      <c r="AH1099" s="135"/>
      <c r="AI1099" s="135"/>
      <c r="AJ1099" s="135"/>
      <c r="AK1099" s="65"/>
      <c r="AL1099" s="65"/>
      <c r="AM1099" s="65"/>
      <c r="AN1099" s="135"/>
      <c r="AO1099" s="136"/>
      <c r="AP1099" s="134"/>
      <c r="AR1099" s="135"/>
      <c r="AS1099" s="136"/>
      <c r="AT1099" s="134"/>
      <c r="BC1099" s="24"/>
      <c r="BD1099" s="24"/>
    </row>
    <row r="1100" spans="32:56" ht="15" customHeight="1" x14ac:dyDescent="0.2">
      <c r="AF1100" s="134"/>
      <c r="AG1100" s="135"/>
      <c r="AH1100" s="135"/>
      <c r="AI1100" s="135"/>
      <c r="AJ1100" s="135"/>
      <c r="AK1100" s="65"/>
      <c r="AL1100" s="65"/>
      <c r="AM1100" s="65"/>
      <c r="AN1100" s="135"/>
      <c r="AO1100" s="136"/>
      <c r="AP1100" s="134"/>
      <c r="AR1100" s="135"/>
      <c r="AS1100" s="136"/>
      <c r="AT1100" s="134"/>
      <c r="BC1100" s="24"/>
      <c r="BD1100" s="24"/>
    </row>
    <row r="1101" spans="32:56" ht="15" customHeight="1" x14ac:dyDescent="0.2">
      <c r="AF1101" s="134"/>
      <c r="AG1101" s="135"/>
      <c r="AH1101" s="135"/>
      <c r="AI1101" s="135"/>
      <c r="AJ1101" s="135"/>
      <c r="AK1101" s="65"/>
      <c r="AL1101" s="65"/>
      <c r="AM1101" s="65"/>
      <c r="AN1101" s="135"/>
      <c r="AO1101" s="136"/>
      <c r="AP1101" s="134"/>
      <c r="AR1101" s="135"/>
      <c r="AS1101" s="136"/>
      <c r="AT1101" s="134"/>
      <c r="BC1101" s="24"/>
      <c r="BD1101" s="24"/>
    </row>
    <row r="1102" spans="32:56" ht="15" customHeight="1" x14ac:dyDescent="0.2">
      <c r="AF1102" s="134"/>
      <c r="AG1102" s="135"/>
      <c r="AH1102" s="135"/>
      <c r="AI1102" s="135"/>
      <c r="AJ1102" s="135"/>
      <c r="AK1102" s="65"/>
      <c r="AL1102" s="65"/>
      <c r="AM1102" s="65"/>
      <c r="AN1102" s="135"/>
      <c r="AO1102" s="136"/>
      <c r="AP1102" s="134"/>
      <c r="AR1102" s="135"/>
      <c r="AS1102" s="136"/>
      <c r="AT1102" s="134"/>
      <c r="BC1102" s="24"/>
      <c r="BD1102" s="24"/>
    </row>
    <row r="1103" spans="32:56" ht="15" customHeight="1" x14ac:dyDescent="0.2">
      <c r="AF1103" s="134"/>
      <c r="AG1103" s="135"/>
      <c r="AH1103" s="135"/>
      <c r="AI1103" s="135"/>
      <c r="AJ1103" s="135"/>
      <c r="AK1103" s="65"/>
      <c r="AL1103" s="65"/>
      <c r="AM1103" s="65"/>
      <c r="AN1103" s="135"/>
      <c r="AO1103" s="136"/>
      <c r="AP1103" s="134"/>
      <c r="AR1103" s="135"/>
      <c r="AS1103" s="136"/>
      <c r="AT1103" s="134"/>
      <c r="BC1103" s="24"/>
      <c r="BD1103" s="24"/>
    </row>
    <row r="1104" spans="32:56" ht="15" customHeight="1" x14ac:dyDescent="0.2">
      <c r="AF1104" s="134"/>
      <c r="AG1104" s="135"/>
      <c r="AH1104" s="135"/>
      <c r="AI1104" s="135"/>
      <c r="AJ1104" s="135"/>
      <c r="AK1104" s="65"/>
      <c r="AL1104" s="65"/>
      <c r="AM1104" s="65"/>
      <c r="AN1104" s="135"/>
      <c r="AO1104" s="136"/>
      <c r="AP1104" s="134"/>
      <c r="AR1104" s="135"/>
      <c r="AS1104" s="136"/>
      <c r="AT1104" s="134"/>
      <c r="BC1104" s="24"/>
      <c r="BD1104" s="24"/>
    </row>
    <row r="1105" spans="32:56" ht="15" customHeight="1" x14ac:dyDescent="0.2">
      <c r="AF1105" s="134"/>
      <c r="AG1105" s="135"/>
      <c r="AH1105" s="135"/>
      <c r="AI1105" s="135"/>
      <c r="AJ1105" s="135"/>
      <c r="AK1105" s="65"/>
      <c r="AL1105" s="65"/>
      <c r="AM1105" s="65"/>
      <c r="AN1105" s="135"/>
      <c r="AO1105" s="136"/>
      <c r="AP1105" s="134"/>
      <c r="AR1105" s="135"/>
      <c r="AS1105" s="136"/>
      <c r="AT1105" s="134"/>
      <c r="BC1105" s="24"/>
      <c r="BD1105" s="24"/>
    </row>
    <row r="1106" spans="32:56" ht="15" customHeight="1" x14ac:dyDescent="0.2">
      <c r="AF1106" s="134"/>
      <c r="AG1106" s="135"/>
      <c r="AH1106" s="135"/>
      <c r="AI1106" s="135"/>
      <c r="AJ1106" s="135"/>
      <c r="AK1106" s="65"/>
      <c r="AL1106" s="65"/>
      <c r="AM1106" s="65"/>
      <c r="AN1106" s="135"/>
      <c r="AO1106" s="136"/>
      <c r="AP1106" s="134"/>
      <c r="AR1106" s="135"/>
      <c r="AS1106" s="136"/>
      <c r="AT1106" s="134"/>
      <c r="BC1106" s="24"/>
      <c r="BD1106" s="24"/>
    </row>
    <row r="1107" spans="32:56" ht="15" customHeight="1" x14ac:dyDescent="0.2">
      <c r="AF1107" s="134"/>
      <c r="AG1107" s="135"/>
      <c r="AH1107" s="135"/>
      <c r="AI1107" s="135"/>
      <c r="AJ1107" s="135"/>
      <c r="AK1107" s="65"/>
      <c r="AL1107" s="65"/>
      <c r="AM1107" s="65"/>
      <c r="AN1107" s="135"/>
      <c r="AO1107" s="136"/>
      <c r="AP1107" s="134"/>
      <c r="AR1107" s="135"/>
      <c r="AS1107" s="136"/>
      <c r="AT1107" s="134"/>
      <c r="BC1107" s="24"/>
      <c r="BD1107" s="24"/>
    </row>
    <row r="1108" spans="32:56" ht="15" customHeight="1" x14ac:dyDescent="0.2">
      <c r="AF1108" s="134"/>
      <c r="AG1108" s="135"/>
      <c r="AH1108" s="135"/>
      <c r="AI1108" s="135"/>
      <c r="AJ1108" s="135"/>
      <c r="AK1108" s="65"/>
      <c r="AL1108" s="65"/>
      <c r="AM1108" s="65"/>
      <c r="AN1108" s="135"/>
      <c r="AO1108" s="136"/>
      <c r="AP1108" s="134"/>
      <c r="AR1108" s="135"/>
      <c r="AS1108" s="136"/>
      <c r="AT1108" s="134"/>
      <c r="BC1108" s="24"/>
      <c r="BD1108" s="24"/>
    </row>
    <row r="1109" spans="32:56" ht="15" customHeight="1" x14ac:dyDescent="0.2">
      <c r="AF1109" s="134"/>
      <c r="AG1109" s="135"/>
      <c r="AH1109" s="135"/>
      <c r="AI1109" s="135"/>
      <c r="AJ1109" s="135"/>
      <c r="AK1109" s="65"/>
      <c r="AL1109" s="65"/>
      <c r="AM1109" s="65"/>
      <c r="AN1109" s="135"/>
      <c r="AO1109" s="136"/>
      <c r="AP1109" s="134"/>
      <c r="AR1109" s="135"/>
      <c r="AS1109" s="136"/>
      <c r="AT1109" s="134"/>
      <c r="BC1109" s="24"/>
      <c r="BD1109" s="24"/>
    </row>
    <row r="1110" spans="32:56" ht="15" customHeight="1" x14ac:dyDescent="0.2">
      <c r="AF1110" s="134"/>
      <c r="AG1110" s="135"/>
      <c r="AH1110" s="135"/>
      <c r="AI1110" s="138"/>
      <c r="AJ1110" s="138"/>
      <c r="AK1110" s="139"/>
      <c r="AL1110" s="139"/>
      <c r="AM1110" s="65"/>
      <c r="AN1110" s="135"/>
      <c r="AO1110" s="136"/>
      <c r="AP1110" s="134"/>
      <c r="AR1110" s="135"/>
      <c r="BC1110" s="24"/>
      <c r="BD1110" s="24"/>
    </row>
    <row r="1111" spans="32:56" ht="15" customHeight="1" x14ac:dyDescent="0.2">
      <c r="AF1111" s="134"/>
      <c r="AG1111" s="135"/>
      <c r="AH1111" s="135"/>
      <c r="AM1111" s="65"/>
      <c r="AN1111" s="135"/>
      <c r="AO1111" s="136"/>
      <c r="AP1111" s="134"/>
      <c r="AR1111" s="61"/>
      <c r="BC1111" s="24"/>
      <c r="BD1111" s="24"/>
    </row>
    <row r="1112" spans="32:56" ht="15" customHeight="1" x14ac:dyDescent="0.2">
      <c r="AF1112" s="134"/>
      <c r="AG1112" s="135"/>
      <c r="AH1112" s="135"/>
      <c r="AM1112" s="65"/>
      <c r="AN1112" s="135"/>
      <c r="AO1112" s="136"/>
      <c r="AP1112" s="134"/>
      <c r="BC1112" s="24"/>
      <c r="BD1112" s="24"/>
    </row>
    <row r="1113" spans="32:56" ht="15" customHeight="1" x14ac:dyDescent="0.2">
      <c r="AF1113" s="134"/>
      <c r="AG1113" s="135"/>
      <c r="AH1113" s="135"/>
      <c r="AM1113" s="65"/>
      <c r="AN1113" s="135"/>
      <c r="AO1113" s="136"/>
      <c r="AP1113" s="134"/>
      <c r="BC1113" s="24"/>
      <c r="BD1113" s="24"/>
    </row>
    <row r="1114" spans="32:56" ht="15" customHeight="1" x14ac:dyDescent="0.2">
      <c r="AF1114" s="134"/>
      <c r="AG1114" s="135"/>
      <c r="AH1114" s="135"/>
      <c r="AM1114" s="139"/>
      <c r="AN1114" s="61"/>
      <c r="BC1114" s="24"/>
      <c r="BD1114" s="24"/>
    </row>
    <row r="1115" spans="32:56" ht="15" customHeight="1" x14ac:dyDescent="0.2">
      <c r="AF1115" s="134"/>
      <c r="AG1115" s="135"/>
      <c r="AH1115" s="135"/>
      <c r="BC1115" s="24"/>
      <c r="BD1115" s="24"/>
    </row>
    <row r="1116" spans="32:56" ht="15" customHeight="1" x14ac:dyDescent="0.2">
      <c r="AF1116" s="137"/>
      <c r="AG1116" s="138"/>
      <c r="AH1116" s="138"/>
      <c r="BC1116" s="24"/>
      <c r="BD1116" s="24"/>
    </row>
  </sheetData>
  <sheetProtection password="F3C4" sheet="1" objects="1" scenarios="1"/>
  <mergeCells count="62">
    <mergeCell ref="D28:F28"/>
    <mergeCell ref="M47:M58"/>
    <mergeCell ref="AO64:AP64"/>
    <mergeCell ref="AR64:AS64"/>
    <mergeCell ref="AT64:AU64"/>
    <mergeCell ref="AJ107:AK107"/>
    <mergeCell ref="G42:I42"/>
    <mergeCell ref="J42:L42"/>
    <mergeCell ref="AI64:AJ64"/>
    <mergeCell ref="AM64:AN64"/>
    <mergeCell ref="AF62:AH62"/>
    <mergeCell ref="U64:V64"/>
    <mergeCell ref="X64:Y64"/>
    <mergeCell ref="K69:L69"/>
    <mergeCell ref="AK64:AL64"/>
    <mergeCell ref="AG64:AH64"/>
    <mergeCell ref="E1:K2"/>
    <mergeCell ref="E3:K4"/>
    <mergeCell ref="G12:I12"/>
    <mergeCell ref="G19:H19"/>
    <mergeCell ref="I19:L19"/>
    <mergeCell ref="G9:I9"/>
    <mergeCell ref="G10:I10"/>
    <mergeCell ref="G11:I11"/>
    <mergeCell ref="C19:F19"/>
    <mergeCell ref="Q1:AB1"/>
    <mergeCell ref="Q2:R2"/>
    <mergeCell ref="S2:T2"/>
    <mergeCell ref="U2:V2"/>
    <mergeCell ref="W2:X2"/>
    <mergeCell ref="Y2:Z2"/>
    <mergeCell ref="Q11:R13"/>
    <mergeCell ref="S11:T13"/>
    <mergeCell ref="Y11:Z13"/>
    <mergeCell ref="AA6:AB8"/>
    <mergeCell ref="Q3:R5"/>
    <mergeCell ref="S3:T5"/>
    <mergeCell ref="Q9:AB9"/>
    <mergeCell ref="Q10:R10"/>
    <mergeCell ref="S10:T10"/>
    <mergeCell ref="U10:V10"/>
    <mergeCell ref="W10:X10"/>
    <mergeCell ref="Y10:Z10"/>
    <mergeCell ref="AA10:AB10"/>
    <mergeCell ref="Q6:R8"/>
    <mergeCell ref="S6:T8"/>
    <mergeCell ref="U6:V8"/>
    <mergeCell ref="Q14:R16"/>
    <mergeCell ref="S14:T16"/>
    <mergeCell ref="U14:V16"/>
    <mergeCell ref="W14:X16"/>
    <mergeCell ref="Y14:Z16"/>
    <mergeCell ref="AA3:AB5"/>
    <mergeCell ref="AA2:AB2"/>
    <mergeCell ref="U11:X13"/>
    <mergeCell ref="AA11:AB13"/>
    <mergeCell ref="AA14:AB16"/>
    <mergeCell ref="W6:X8"/>
    <mergeCell ref="Y6:Z8"/>
    <mergeCell ref="U3:V5"/>
    <mergeCell ref="W3:X5"/>
    <mergeCell ref="Y3:Z5"/>
  </mergeCells>
  <conditionalFormatting sqref="K41">
    <cfRule type="cellIs" dxfId="73" priority="177" operator="greaterThan">
      <formula>5</formula>
    </cfRule>
    <cfRule type="cellIs" dxfId="72" priority="178" operator="between">
      <formula>2</formula>
      <formula>5</formula>
    </cfRule>
    <cfRule type="cellIs" dxfId="71" priority="179" operator="between">
      <formula>1</formula>
      <formula>2</formula>
    </cfRule>
    <cfRule type="cellIs" dxfId="70" priority="180" operator="between">
      <formula>0.5</formula>
      <formula>1</formula>
    </cfRule>
    <cfRule type="cellIs" dxfId="69" priority="181" operator="lessThan">
      <formula>0.5</formula>
    </cfRule>
  </conditionalFormatting>
  <conditionalFormatting sqref="AJ62">
    <cfRule type="cellIs" dxfId="68" priority="116" operator="lessThan">
      <formula>$S$17</formula>
    </cfRule>
    <cfRule type="cellIs" dxfId="67" priority="117" operator="greaterThanOrEqual">
      <formula>$S$17</formula>
    </cfRule>
  </conditionalFormatting>
  <conditionalFormatting sqref="AJ63">
    <cfRule type="cellIs" dxfId="66" priority="108" operator="equal">
      <formula>FALSE</formula>
    </cfRule>
  </conditionalFormatting>
  <conditionalFormatting sqref="AN63">
    <cfRule type="cellIs" dxfId="65" priority="107" operator="equal">
      <formula>FALSE</formula>
    </cfRule>
  </conditionalFormatting>
  <conditionalFormatting sqref="AU63">
    <cfRule type="cellIs" dxfId="64" priority="106" operator="equal">
      <formula>FALSE</formula>
    </cfRule>
  </conditionalFormatting>
  <conditionalFormatting sqref="C77:H78 K77:L78">
    <cfRule type="expression" dxfId="63" priority="220">
      <formula>$AN$61&lt;0</formula>
    </cfRule>
    <cfRule type="expression" dxfId="62" priority="221">
      <formula>$AN$61=4</formula>
    </cfRule>
    <cfRule type="expression" dxfId="61" priority="222">
      <formula>$AN$61=3</formula>
    </cfRule>
    <cfRule type="expression" dxfId="60" priority="224">
      <formula>$AN$61=1</formula>
    </cfRule>
    <cfRule type="expression" dxfId="59" priority="225">
      <formula>($AN$61=0)</formula>
    </cfRule>
  </conditionalFormatting>
  <conditionalFormatting sqref="C73:H74">
    <cfRule type="expression" dxfId="58" priority="232">
      <formula>$AU$61&lt;0</formula>
    </cfRule>
    <cfRule type="expression" dxfId="57" priority="233">
      <formula>$AU$61=4</formula>
    </cfRule>
    <cfRule type="expression" dxfId="56" priority="234">
      <formula>$AU$61=3</formula>
    </cfRule>
    <cfRule type="expression" dxfId="55" priority="236">
      <formula>$AU$61=1</formula>
    </cfRule>
    <cfRule type="expression" dxfId="54" priority="237">
      <formula>($AU$61=0)</formula>
    </cfRule>
  </conditionalFormatting>
  <conditionalFormatting sqref="C75:H76 L75:L76">
    <cfRule type="expression" dxfId="53" priority="71">
      <formula>$AJ$61&lt;0</formula>
    </cfRule>
    <cfRule type="expression" dxfId="52" priority="72">
      <formula>$AJ$61=4</formula>
    </cfRule>
    <cfRule type="expression" dxfId="51" priority="73">
      <formula>$AJ$61=3</formula>
    </cfRule>
    <cfRule type="expression" dxfId="50" priority="74">
      <formula>$AJ$61=1</formula>
    </cfRule>
    <cfRule type="expression" dxfId="49" priority="75">
      <formula>($AJ$61=0)</formula>
    </cfRule>
  </conditionalFormatting>
  <conditionalFormatting sqref="AN62">
    <cfRule type="cellIs" dxfId="48" priority="69" operator="lessThan">
      <formula>$S$17</formula>
    </cfRule>
    <cfRule type="cellIs" dxfId="47" priority="70" operator="greaterThanOrEqual">
      <formula>$S$17</formula>
    </cfRule>
  </conditionalFormatting>
  <conditionalFormatting sqref="AU62">
    <cfRule type="cellIs" dxfId="46" priority="67" operator="lessThan">
      <formula>$S$17</formula>
    </cfRule>
    <cfRule type="cellIs" dxfId="45" priority="68" operator="greaterThanOrEqual">
      <formula>$S$17</formula>
    </cfRule>
  </conditionalFormatting>
  <conditionalFormatting sqref="J77:J78">
    <cfRule type="expression" dxfId="44" priority="56">
      <formula>$AN$61&lt;0</formula>
    </cfRule>
    <cfRule type="expression" dxfId="43" priority="57">
      <formula>$AN$61=4</formula>
    </cfRule>
    <cfRule type="expression" dxfId="42" priority="58">
      <formula>$AN$61=3</formula>
    </cfRule>
    <cfRule type="expression" dxfId="41" priority="59">
      <formula>$AN$61=1</formula>
    </cfRule>
    <cfRule type="expression" dxfId="40" priority="60">
      <formula>($AN$61=0)</formula>
    </cfRule>
  </conditionalFormatting>
  <conditionalFormatting sqref="J73:J74">
    <cfRule type="expression" dxfId="39" priority="61">
      <formula>$AU$61&lt;0</formula>
    </cfRule>
    <cfRule type="expression" dxfId="38" priority="62">
      <formula>$AU$61=4</formula>
    </cfRule>
    <cfRule type="expression" dxfId="37" priority="63">
      <formula>$AU$61=3</formula>
    </cfRule>
    <cfRule type="expression" dxfId="36" priority="64">
      <formula>$AU$61=1</formula>
    </cfRule>
    <cfRule type="expression" dxfId="35" priority="65">
      <formula>($AU$61=0)</formula>
    </cfRule>
  </conditionalFormatting>
  <conditionalFormatting sqref="J75:J76">
    <cfRule type="expression" dxfId="34" priority="51">
      <formula>$AJ$61&lt;0</formula>
    </cfRule>
    <cfRule type="expression" dxfId="33" priority="52">
      <formula>$AJ$61=4</formula>
    </cfRule>
    <cfRule type="expression" dxfId="32" priority="53">
      <formula>$AJ$61=3</formula>
    </cfRule>
    <cfRule type="expression" dxfId="31" priority="54">
      <formula>$AJ$61=1</formula>
    </cfRule>
    <cfRule type="expression" dxfId="30" priority="55">
      <formula>($AJ$61=0)</formula>
    </cfRule>
  </conditionalFormatting>
  <conditionalFormatting sqref="I62">
    <cfRule type="expression" dxfId="29" priority="48">
      <formula>$G$62="N"</formula>
    </cfRule>
  </conditionalFormatting>
  <conditionalFormatting sqref="H62">
    <cfRule type="expression" dxfId="28" priority="44">
      <formula>$G$62="N"</formula>
    </cfRule>
  </conditionalFormatting>
  <conditionalFormatting sqref="I77:I78">
    <cfRule type="expression" dxfId="27" priority="37">
      <formula>$AN$61&lt;0</formula>
    </cfRule>
    <cfRule type="expression" dxfId="26" priority="38">
      <formula>$AN$61=4</formula>
    </cfRule>
    <cfRule type="expression" dxfId="25" priority="39">
      <formula>$AN$61=3</formula>
    </cfRule>
    <cfRule type="expression" dxfId="24" priority="40">
      <formula>$AN$61=1</formula>
    </cfRule>
    <cfRule type="expression" dxfId="23" priority="41">
      <formula>($AN$61=0)</formula>
    </cfRule>
  </conditionalFormatting>
  <conditionalFormatting sqref="I73:I74">
    <cfRule type="expression" dxfId="22" priority="32">
      <formula>$AU$61&lt;0</formula>
    </cfRule>
    <cfRule type="expression" dxfId="21" priority="33">
      <formula>$AU$61=4</formula>
    </cfRule>
    <cfRule type="expression" dxfId="20" priority="34">
      <formula>$AU$61=3</formula>
    </cfRule>
    <cfRule type="expression" dxfId="19" priority="35">
      <formula>$AU$61=1</formula>
    </cfRule>
    <cfRule type="expression" dxfId="18" priority="36">
      <formula>($AU$61=0)</formula>
    </cfRule>
  </conditionalFormatting>
  <conditionalFormatting sqref="I75:I76">
    <cfRule type="expression" dxfId="17" priority="27">
      <formula>$AJ$61&lt;0</formula>
    </cfRule>
    <cfRule type="expression" dxfId="16" priority="28">
      <formula>$AJ$61=4</formula>
    </cfRule>
    <cfRule type="expression" dxfId="15" priority="29">
      <formula>$AJ$61=3</formula>
    </cfRule>
    <cfRule type="expression" dxfId="14" priority="30">
      <formula>$AJ$61=1</formula>
    </cfRule>
    <cfRule type="expression" dxfId="13" priority="31">
      <formula>($AJ$61=0)</formula>
    </cfRule>
  </conditionalFormatting>
  <conditionalFormatting sqref="K75:K76">
    <cfRule type="expression" dxfId="12" priority="22">
      <formula>$AJ$61&lt;0</formula>
    </cfRule>
    <cfRule type="expression" dxfId="11" priority="23">
      <formula>$AJ$61=4</formula>
    </cfRule>
    <cfRule type="expression" dxfId="10" priority="24">
      <formula>$AJ$61=3</formula>
    </cfRule>
    <cfRule type="expression" dxfId="9" priority="25">
      <formula>$AJ$61=1</formula>
    </cfRule>
    <cfRule type="expression" dxfId="8" priority="26">
      <formula>($AJ$61=0)</formula>
    </cfRule>
  </conditionalFormatting>
  <conditionalFormatting sqref="L62">
    <cfRule type="expression" dxfId="7" priority="15">
      <formula>$G$62="N"</formula>
    </cfRule>
  </conditionalFormatting>
  <conditionalFormatting sqref="C44:L46">
    <cfRule type="expression" dxfId="6" priority="7">
      <formula>$G$62="Y"</formula>
    </cfRule>
  </conditionalFormatting>
  <conditionalFormatting sqref="C63:L63">
    <cfRule type="expression" dxfId="5" priority="6">
      <formula>$G$62="N"</formula>
    </cfRule>
  </conditionalFormatting>
  <conditionalFormatting sqref="G46 K46">
    <cfRule type="expression" dxfId="4" priority="5">
      <formula>$F$45="Y"</formula>
    </cfRule>
    <cfRule type="expression" dxfId="3" priority="3">
      <formula>$G$62="Y"</formula>
    </cfRule>
  </conditionalFormatting>
  <conditionalFormatting sqref="G45:L45">
    <cfRule type="expression" dxfId="2" priority="4">
      <formula>$F$45="N"</formula>
    </cfRule>
  </conditionalFormatting>
  <conditionalFormatting sqref="C60:L60">
    <cfRule type="expression" dxfId="0" priority="2">
      <formula>$G$62="Y"</formula>
    </cfRule>
  </conditionalFormatting>
  <conditionalFormatting sqref="M47:M58">
    <cfRule type="expression" dxfId="1" priority="1">
      <formula>$G$62="N"</formula>
    </cfRule>
  </conditionalFormatting>
  <dataValidations count="5">
    <dataValidation type="list" allowBlank="1" showInputMessage="1" showErrorMessage="1" sqref="G65620 G131156 G196692 G262228 G327764 G393300 G458836 G524372 G589908 G655444 G720980 G786516 G852052 G917588 G983124 G65624 G131160 G196696 G262232 G327768 G393304 G458840 G524376 G589912 G655448 G720984 G786520 G852056 G917592 G983128">
      <formula1>"ITTC,IACC,JONSWAP,Chi"</formula1>
    </dataValidation>
    <dataValidation type="list" allowBlank="1" showInputMessage="1" showErrorMessage="1" sqref="G65606 G131142 G196678 G262214 G327750 G393286 G458822 G524358 G589894 G655430 G720966 G786502 G852038 G917574 G983110">
      <formula1>"Yes,No"</formula1>
    </dataValidation>
    <dataValidation type="list" allowBlank="1" showInputMessage="1" showErrorMessage="1" sqref="G64">
      <formula1>"ITTC,ISSC,JONSWAP,Chi_Hubble"</formula1>
    </dataValidation>
    <dataValidation type="list" allowBlank="1" showInputMessage="1" showErrorMessage="1" sqref="G49 G52 G55 G43 G58">
      <formula1>"ITTC,ISSC,JONSWAP"</formula1>
    </dataValidation>
    <dataValidation type="list" allowBlank="1" showInputMessage="1" showErrorMessage="1" sqref="G62 N24:N25 I25 L62 F45">
      <formula1>"Y,N"</formula1>
    </dataValidation>
  </dataValidations>
  <printOptions horizontalCentered="1"/>
  <pageMargins left="0.5" right="0.5" top="0.5" bottom="0.5" header="0.3" footer="0.3"/>
  <pageSetup scale="68" fitToWidth="0" fitToHeight="0" orientation="portrait" r:id="rId1"/>
  <headerFooter>
    <oddFooter>&amp;L&amp;F&amp;C&amp;P&amp;R&amp;D</oddFooter>
  </headerFooter>
  <rowBreaks count="2" manualBreakCount="2">
    <brk id="64" min="1" max="14" man="1"/>
    <brk id="110" min="1" max="14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RaoDriftFC">
                <anchor moveWithCells="1" sizeWithCells="1">
                  <from>
                    <xdr:col>9</xdr:col>
                    <xdr:colOff>66675</xdr:colOff>
                    <xdr:row>66</xdr:row>
                    <xdr:rowOff>9525</xdr:rowOff>
                  </from>
                  <to>
                    <xdr:col>12</xdr:col>
                    <xdr:colOff>19050</xdr:colOff>
                    <xdr:row>67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520"/>
  <sheetViews>
    <sheetView zoomScale="75" zoomScaleNormal="50" workbookViewId="0">
      <selection activeCell="A28" sqref="A28:N28"/>
    </sheetView>
  </sheetViews>
  <sheetFormatPr defaultRowHeight="12.75" customHeight="1" x14ac:dyDescent="0.2"/>
  <cols>
    <col min="1" max="18" width="9.33203125" style="1"/>
    <col min="19" max="19" width="23.33203125" style="87" bestFit="1" customWidth="1"/>
    <col min="20" max="20" width="12.1640625" style="87" bestFit="1" customWidth="1"/>
    <col min="21" max="21" width="20.6640625" style="87" bestFit="1" customWidth="1"/>
    <col min="22" max="22" width="9.5" style="87" bestFit="1" customWidth="1"/>
    <col min="23" max="23" width="12.1640625" style="87" bestFit="1" customWidth="1"/>
    <col min="24" max="24" width="9.33203125" style="87"/>
    <col min="25" max="25" width="13.83203125" style="87" customWidth="1"/>
    <col min="26" max="28" width="9.33203125" style="87"/>
    <col min="29" max="16384" width="9.33203125" style="1"/>
  </cols>
  <sheetData>
    <row r="1" spans="1:29" ht="20.100000000000001" customHeight="1" x14ac:dyDescent="0.25">
      <c r="A1" s="395" t="str">
        <f>DriftOff!E3</f>
        <v>Paragon DPDS3</v>
      </c>
      <c r="B1" s="395"/>
      <c r="C1" s="395"/>
      <c r="D1" s="395"/>
      <c r="E1" s="395"/>
      <c r="F1" s="395"/>
      <c r="G1" s="395"/>
      <c r="H1" s="395"/>
      <c r="I1" s="395"/>
      <c r="J1" s="395"/>
      <c r="K1" s="395"/>
      <c r="L1" s="395"/>
      <c r="M1" s="395"/>
      <c r="N1" s="395"/>
      <c r="P1" s="140" t="s">
        <v>138</v>
      </c>
      <c r="Q1" s="140">
        <v>30</v>
      </c>
      <c r="S1" s="74" t="s">
        <v>80</v>
      </c>
      <c r="T1" s="27"/>
      <c r="U1" s="75"/>
      <c r="Z1" s="221" t="s">
        <v>85</v>
      </c>
      <c r="AA1" s="221">
        <v>1.4593903E-2</v>
      </c>
      <c r="AB1" s="221" t="s">
        <v>89</v>
      </c>
    </row>
    <row r="2" spans="1:29" ht="20.100000000000001" customHeight="1" thickBot="1" x14ac:dyDescent="0.3">
      <c r="A2" s="396" t="s">
        <v>5</v>
      </c>
      <c r="B2" s="396"/>
      <c r="C2" s="396"/>
      <c r="D2" s="396"/>
      <c r="E2" s="396"/>
      <c r="F2" s="396"/>
      <c r="G2" s="396"/>
      <c r="H2" s="396"/>
      <c r="I2" s="396"/>
      <c r="J2" s="396"/>
      <c r="K2" s="396"/>
      <c r="L2" s="396"/>
      <c r="M2" s="396"/>
      <c r="N2" s="396"/>
      <c r="P2" s="140" t="s">
        <v>139</v>
      </c>
      <c r="Q2" s="140">
        <v>13</v>
      </c>
      <c r="S2" s="76" t="s">
        <v>43</v>
      </c>
      <c r="T2" s="77"/>
      <c r="U2" s="78"/>
      <c r="V2" s="77"/>
      <c r="W2" s="77"/>
      <c r="X2" s="153"/>
      <c r="Y2" s="154"/>
      <c r="Z2" s="27" t="s">
        <v>92</v>
      </c>
      <c r="AA2" s="27">
        <v>1.3558179483300001E-3</v>
      </c>
      <c r="AB2" s="27"/>
    </row>
    <row r="3" spans="1:29" ht="12.75" customHeight="1" x14ac:dyDescent="0.2">
      <c r="A3" s="397" t="s">
        <v>12</v>
      </c>
      <c r="B3" s="399" t="s">
        <v>13</v>
      </c>
      <c r="C3" s="401" t="s">
        <v>6</v>
      </c>
      <c r="D3" s="402"/>
      <c r="E3" s="401" t="s">
        <v>7</v>
      </c>
      <c r="F3" s="402"/>
      <c r="G3" s="401" t="s">
        <v>8</v>
      </c>
      <c r="H3" s="402"/>
      <c r="I3" s="401" t="s">
        <v>9</v>
      </c>
      <c r="J3" s="402"/>
      <c r="K3" s="401" t="s">
        <v>10</v>
      </c>
      <c r="L3" s="402"/>
      <c r="M3" s="401" t="s">
        <v>11</v>
      </c>
      <c r="N3" s="402"/>
      <c r="S3" s="79" t="s">
        <v>44</v>
      </c>
      <c r="T3" s="80">
        <v>8.6</v>
      </c>
      <c r="U3" s="81" t="s">
        <v>45</v>
      </c>
      <c r="V3" s="80"/>
      <c r="W3" s="80"/>
      <c r="X3" s="155"/>
      <c r="Y3" s="156"/>
      <c r="Z3" s="27" t="s">
        <v>130</v>
      </c>
      <c r="AA3" s="27">
        <v>0.30480000000000002</v>
      </c>
    </row>
    <row r="4" spans="1:29" ht="12.75" customHeight="1" x14ac:dyDescent="0.2">
      <c r="A4" s="398"/>
      <c r="B4" s="400"/>
      <c r="C4" s="222" t="s">
        <v>0</v>
      </c>
      <c r="D4" s="217" t="s">
        <v>1</v>
      </c>
      <c r="E4" s="222" t="s">
        <v>0</v>
      </c>
      <c r="F4" s="217" t="s">
        <v>1</v>
      </c>
      <c r="G4" s="222" t="s">
        <v>0</v>
      </c>
      <c r="H4" s="217" t="s">
        <v>1</v>
      </c>
      <c r="I4" s="222" t="s">
        <v>0</v>
      </c>
      <c r="J4" s="217" t="s">
        <v>1</v>
      </c>
      <c r="K4" s="222" t="s">
        <v>0</v>
      </c>
      <c r="L4" s="217" t="s">
        <v>1</v>
      </c>
      <c r="M4" s="222" t="s">
        <v>0</v>
      </c>
      <c r="N4" s="217" t="s">
        <v>1</v>
      </c>
      <c r="S4" s="79" t="s">
        <v>99</v>
      </c>
      <c r="T4" s="82">
        <f>W4*$AA$1</f>
        <v>30021.117861300001</v>
      </c>
      <c r="U4" s="83" t="s">
        <v>86</v>
      </c>
      <c r="V4" s="80"/>
      <c r="W4" s="84">
        <v>2057100</v>
      </c>
      <c r="X4" s="155" t="s">
        <v>87</v>
      </c>
      <c r="Y4" s="156"/>
      <c r="Z4" s="27"/>
    </row>
    <row r="5" spans="1:29" ht="12.75" customHeight="1" thickBot="1" x14ac:dyDescent="0.25">
      <c r="A5" s="2" t="s">
        <v>14</v>
      </c>
      <c r="B5" s="3" t="s">
        <v>15</v>
      </c>
      <c r="C5" s="2" t="s">
        <v>19</v>
      </c>
      <c r="D5" s="3" t="s">
        <v>15</v>
      </c>
      <c r="E5" s="2" t="s">
        <v>19</v>
      </c>
      <c r="F5" s="3" t="s">
        <v>15</v>
      </c>
      <c r="G5" s="2" t="s">
        <v>19</v>
      </c>
      <c r="H5" s="3" t="s">
        <v>15</v>
      </c>
      <c r="I5" s="2" t="s">
        <v>20</v>
      </c>
      <c r="J5" s="3" t="s">
        <v>15</v>
      </c>
      <c r="K5" s="2" t="s">
        <v>20</v>
      </c>
      <c r="L5" s="3" t="s">
        <v>15</v>
      </c>
      <c r="M5" s="2" t="s">
        <v>20</v>
      </c>
      <c r="N5" s="3" t="s">
        <v>15</v>
      </c>
      <c r="S5" s="79" t="s">
        <v>98</v>
      </c>
      <c r="T5" s="82">
        <f>W5*$AA$1*$AA$3^2</f>
        <v>53069426.361931123</v>
      </c>
      <c r="U5" s="81" t="s">
        <v>91</v>
      </c>
      <c r="V5" s="80"/>
      <c r="W5" s="82">
        <v>39142000000</v>
      </c>
      <c r="X5" s="155" t="s">
        <v>90</v>
      </c>
      <c r="Y5" s="156"/>
      <c r="Z5" s="27"/>
    </row>
    <row r="6" spans="1:29" ht="12.75" customHeight="1" x14ac:dyDescent="0.2">
      <c r="A6" s="4">
        <v>30</v>
      </c>
      <c r="B6" s="5">
        <v>0</v>
      </c>
      <c r="C6" s="223">
        <v>0.9667</v>
      </c>
      <c r="D6" s="220">
        <v>89.93</v>
      </c>
      <c r="E6" s="223">
        <v>0</v>
      </c>
      <c r="F6" s="220">
        <v>97.8</v>
      </c>
      <c r="G6" s="223">
        <v>0.98550000000000004</v>
      </c>
      <c r="H6" s="220">
        <v>0.01</v>
      </c>
      <c r="I6" s="223">
        <v>2.8E-3</v>
      </c>
      <c r="J6" s="220">
        <v>-82.16</v>
      </c>
      <c r="K6" s="223">
        <v>0.25590000000000002</v>
      </c>
      <c r="L6" s="220">
        <v>-90.82</v>
      </c>
      <c r="M6" s="223">
        <v>0</v>
      </c>
      <c r="N6" s="220">
        <v>126.96</v>
      </c>
      <c r="S6" s="79"/>
      <c r="T6" s="80"/>
      <c r="U6" s="81"/>
      <c r="V6" s="80"/>
      <c r="W6" s="80"/>
      <c r="X6" s="155"/>
      <c r="Y6" s="156"/>
      <c r="Z6" s="27"/>
      <c r="AC6" s="213"/>
    </row>
    <row r="7" spans="1:29" ht="12.75" customHeight="1" x14ac:dyDescent="0.2">
      <c r="A7" s="6">
        <v>28</v>
      </c>
      <c r="B7" s="7"/>
      <c r="C7" s="223">
        <v>0.95950000000000002</v>
      </c>
      <c r="D7" s="220">
        <v>89.92</v>
      </c>
      <c r="E7" s="223">
        <v>1E-4</v>
      </c>
      <c r="F7" s="220">
        <v>101.16</v>
      </c>
      <c r="G7" s="223">
        <v>0.98089999999999999</v>
      </c>
      <c r="H7" s="220">
        <v>0.02</v>
      </c>
      <c r="I7" s="223">
        <v>4.1000000000000003E-3</v>
      </c>
      <c r="J7" s="220">
        <v>-80.099999999999994</v>
      </c>
      <c r="K7" s="223">
        <v>0.29330000000000001</v>
      </c>
      <c r="L7" s="220">
        <v>-90.94</v>
      </c>
      <c r="M7" s="223">
        <v>0</v>
      </c>
      <c r="N7" s="220">
        <v>135.31</v>
      </c>
      <c r="S7" s="79"/>
      <c r="T7" s="80"/>
      <c r="U7" s="81"/>
      <c r="V7" s="80"/>
      <c r="W7" s="80"/>
      <c r="X7" s="155"/>
      <c r="Y7" s="157"/>
      <c r="Z7" s="27"/>
      <c r="AC7" s="213"/>
    </row>
    <row r="8" spans="1:29" ht="12.75" customHeight="1" x14ac:dyDescent="0.2">
      <c r="A8" s="6">
        <v>26</v>
      </c>
      <c r="B8" s="7"/>
      <c r="C8" s="223">
        <v>0.94989999999999997</v>
      </c>
      <c r="D8" s="220">
        <v>89.91</v>
      </c>
      <c r="E8" s="223">
        <v>1E-4</v>
      </c>
      <c r="F8" s="220">
        <v>102.53</v>
      </c>
      <c r="G8" s="223">
        <v>0.97430000000000005</v>
      </c>
      <c r="H8" s="220">
        <v>0.03</v>
      </c>
      <c r="I8" s="223">
        <v>6.4999999999999997E-3</v>
      </c>
      <c r="J8" s="220">
        <v>-77.09</v>
      </c>
      <c r="K8" s="223">
        <v>0.33929999999999999</v>
      </c>
      <c r="L8" s="220">
        <v>-91.09</v>
      </c>
      <c r="M8" s="223">
        <v>0</v>
      </c>
      <c r="N8" s="220">
        <v>115.88</v>
      </c>
      <c r="S8" s="79"/>
      <c r="T8" s="80"/>
      <c r="U8" s="81"/>
      <c r="V8" s="80"/>
      <c r="W8" s="80"/>
      <c r="X8" s="155"/>
      <c r="Y8" s="157"/>
      <c r="Z8" s="27"/>
      <c r="AC8" s="213"/>
    </row>
    <row r="9" spans="1:29" ht="12.75" customHeight="1" x14ac:dyDescent="0.2">
      <c r="A9" s="6">
        <v>24</v>
      </c>
      <c r="B9" s="7"/>
      <c r="C9" s="223">
        <v>0.93659999999999999</v>
      </c>
      <c r="D9" s="220">
        <v>89.89</v>
      </c>
      <c r="E9" s="223">
        <v>2.0000000000000001E-4</v>
      </c>
      <c r="F9" s="220">
        <v>108.36</v>
      </c>
      <c r="G9" s="223">
        <v>0.96460000000000001</v>
      </c>
      <c r="H9" s="220">
        <v>0.05</v>
      </c>
      <c r="I9" s="223">
        <v>1.15E-2</v>
      </c>
      <c r="J9" s="220">
        <v>-71.430000000000007</v>
      </c>
      <c r="K9" s="223">
        <v>0.39660000000000001</v>
      </c>
      <c r="L9" s="220">
        <v>-91.29</v>
      </c>
      <c r="M9" s="223">
        <v>1E-4</v>
      </c>
      <c r="N9" s="220">
        <v>114.55</v>
      </c>
      <c r="S9" s="76" t="s">
        <v>32</v>
      </c>
      <c r="T9" s="77"/>
      <c r="U9" s="78"/>
      <c r="V9" s="77"/>
      <c r="W9" s="77"/>
      <c r="X9" s="77"/>
      <c r="Y9" s="158"/>
      <c r="Z9" s="27"/>
      <c r="AC9" s="213"/>
    </row>
    <row r="10" spans="1:29" ht="12.75" customHeight="1" x14ac:dyDescent="0.2">
      <c r="A10" s="6">
        <v>23</v>
      </c>
      <c r="B10" s="7"/>
      <c r="C10" s="223">
        <v>0.92800000000000005</v>
      </c>
      <c r="D10" s="220">
        <v>89.88</v>
      </c>
      <c r="E10" s="223">
        <v>2.9999999999999997E-4</v>
      </c>
      <c r="F10" s="220">
        <v>114.35</v>
      </c>
      <c r="G10" s="223">
        <v>0.95799999999999996</v>
      </c>
      <c r="H10" s="220">
        <v>0.06</v>
      </c>
      <c r="I10" s="223">
        <v>1.61E-2</v>
      </c>
      <c r="J10" s="220">
        <v>-66.45</v>
      </c>
      <c r="K10" s="223">
        <v>0.43059999999999998</v>
      </c>
      <c r="L10" s="220">
        <v>-91.41</v>
      </c>
      <c r="M10" s="223">
        <v>1E-4</v>
      </c>
      <c r="N10" s="220">
        <v>121.34</v>
      </c>
      <c r="S10" s="79" t="s">
        <v>2</v>
      </c>
      <c r="T10" s="82">
        <f>W10*$AA$1</f>
        <v>2678.4190175899998</v>
      </c>
      <c r="U10" s="27" t="s">
        <v>86</v>
      </c>
      <c r="V10" s="159">
        <f>T10/T4</f>
        <v>8.9217830927033198E-2</v>
      </c>
      <c r="W10" s="84">
        <v>183530</v>
      </c>
      <c r="X10" s="80" t="s">
        <v>87</v>
      </c>
      <c r="Y10" s="157"/>
      <c r="Z10" s="27"/>
      <c r="AC10" s="213"/>
    </row>
    <row r="11" spans="1:29" ht="12.75" customHeight="1" x14ac:dyDescent="0.2">
      <c r="A11" s="6">
        <v>22</v>
      </c>
      <c r="B11" s="7"/>
      <c r="C11" s="223">
        <v>0.91769999999999996</v>
      </c>
      <c r="D11" s="220">
        <v>89.86</v>
      </c>
      <c r="E11" s="223">
        <v>4.0000000000000002E-4</v>
      </c>
      <c r="F11" s="220">
        <v>121.6</v>
      </c>
      <c r="G11" s="223">
        <v>0.94979999999999998</v>
      </c>
      <c r="H11" s="220">
        <v>0.08</v>
      </c>
      <c r="I11" s="223">
        <v>2.4E-2</v>
      </c>
      <c r="J11" s="220">
        <v>-57.67</v>
      </c>
      <c r="K11" s="223">
        <v>0.46889999999999998</v>
      </c>
      <c r="L11" s="220">
        <v>-91.54</v>
      </c>
      <c r="M11" s="223">
        <v>1E-4</v>
      </c>
      <c r="N11" s="220">
        <v>128.02000000000001</v>
      </c>
      <c r="S11" s="79" t="s">
        <v>3</v>
      </c>
      <c r="T11" s="82">
        <f>W11*$AA$1</f>
        <v>23051.069788500001</v>
      </c>
      <c r="U11" s="27" t="s">
        <v>86</v>
      </c>
      <c r="V11" s="159">
        <f>T11/T4</f>
        <v>0.7678284964270089</v>
      </c>
      <c r="W11" s="84">
        <v>1579500</v>
      </c>
      <c r="X11" s="80" t="s">
        <v>87</v>
      </c>
      <c r="Y11" s="157"/>
      <c r="Z11" s="27"/>
      <c r="AC11" s="213"/>
    </row>
    <row r="12" spans="1:29" ht="12.75" customHeight="1" x14ac:dyDescent="0.2">
      <c r="A12" s="6">
        <v>21</v>
      </c>
      <c r="B12" s="7"/>
      <c r="C12" s="223">
        <v>0.90529999999999999</v>
      </c>
      <c r="D12" s="220">
        <v>89.85</v>
      </c>
      <c r="E12" s="223">
        <v>5.9999999999999995E-4</v>
      </c>
      <c r="F12" s="220">
        <v>138.44</v>
      </c>
      <c r="G12" s="223">
        <v>0.9395</v>
      </c>
      <c r="H12" s="220">
        <v>0.1</v>
      </c>
      <c r="I12" s="223">
        <v>3.7999999999999999E-2</v>
      </c>
      <c r="J12" s="220">
        <v>-41.26</v>
      </c>
      <c r="K12" s="223">
        <v>0.51219999999999999</v>
      </c>
      <c r="L12" s="220">
        <v>-91.7</v>
      </c>
      <c r="M12" s="223">
        <v>2.0000000000000001E-4</v>
      </c>
      <c r="N12" s="220">
        <v>144.94999999999999</v>
      </c>
      <c r="S12" s="85" t="s">
        <v>4</v>
      </c>
      <c r="T12" s="80">
        <f>W12*$AA$1*$AA$3^2</f>
        <v>30488278.335311055</v>
      </c>
      <c r="U12" s="27" t="s">
        <v>91</v>
      </c>
      <c r="V12" s="160">
        <f>T12/T5</f>
        <v>0.57449798170762867</v>
      </c>
      <c r="W12" s="86">
        <v>22487000000</v>
      </c>
      <c r="X12" s="161" t="s">
        <v>90</v>
      </c>
      <c r="Y12" s="162"/>
      <c r="Z12" s="27"/>
      <c r="AC12" s="213"/>
    </row>
    <row r="13" spans="1:29" ht="12.75" customHeight="1" x14ac:dyDescent="0.2">
      <c r="A13" s="6">
        <v>20.5</v>
      </c>
      <c r="B13" s="7"/>
      <c r="C13" s="223">
        <v>0.89810000000000001</v>
      </c>
      <c r="D13" s="220">
        <v>89.84</v>
      </c>
      <c r="E13" s="223">
        <v>8.0000000000000004E-4</v>
      </c>
      <c r="F13" s="220">
        <v>151.83000000000001</v>
      </c>
      <c r="G13" s="223">
        <v>0.93340000000000001</v>
      </c>
      <c r="H13" s="220">
        <v>0.12</v>
      </c>
      <c r="I13" s="223">
        <v>4.7500000000000001E-2</v>
      </c>
      <c r="J13" s="220">
        <v>-27.6</v>
      </c>
      <c r="K13" s="223">
        <v>0.53600000000000003</v>
      </c>
      <c r="L13" s="220">
        <v>-91.78</v>
      </c>
      <c r="M13" s="223">
        <v>2.9999999999999997E-4</v>
      </c>
      <c r="N13" s="220">
        <v>157.94</v>
      </c>
      <c r="S13" s="88" t="s">
        <v>82</v>
      </c>
      <c r="T13" s="216">
        <f>W13*$AA$2</f>
        <v>43426848.8850099</v>
      </c>
      <c r="U13" s="89" t="s">
        <v>93</v>
      </c>
      <c r="V13" s="163"/>
      <c r="W13" s="86">
        <v>32030000000</v>
      </c>
      <c r="X13" s="161" t="s">
        <v>97</v>
      </c>
      <c r="Y13" s="162"/>
      <c r="Z13" s="27"/>
      <c r="AC13" s="213"/>
    </row>
    <row r="14" spans="1:29" ht="12.75" customHeight="1" x14ac:dyDescent="0.2">
      <c r="A14" s="6">
        <v>20</v>
      </c>
      <c r="B14" s="7"/>
      <c r="C14" s="223">
        <v>0.8901</v>
      </c>
      <c r="D14" s="220">
        <v>89.83</v>
      </c>
      <c r="E14" s="223">
        <v>8.9999999999999998E-4</v>
      </c>
      <c r="F14" s="220">
        <v>170.08</v>
      </c>
      <c r="G14" s="223">
        <v>0.92649999999999999</v>
      </c>
      <c r="H14" s="220">
        <v>0.14000000000000001</v>
      </c>
      <c r="I14" s="223">
        <v>5.6000000000000001E-2</v>
      </c>
      <c r="J14" s="220">
        <v>-9.35</v>
      </c>
      <c r="K14" s="223">
        <v>0.56130000000000002</v>
      </c>
      <c r="L14" s="220">
        <v>-91.87</v>
      </c>
      <c r="M14" s="223">
        <v>4.0000000000000002E-4</v>
      </c>
      <c r="N14" s="220">
        <v>176.37</v>
      </c>
      <c r="Z14" s="27"/>
      <c r="AC14" s="213"/>
    </row>
    <row r="15" spans="1:29" ht="12.75" customHeight="1" x14ac:dyDescent="0.2">
      <c r="A15" s="6">
        <v>19.5</v>
      </c>
      <c r="B15" s="7"/>
      <c r="C15" s="223">
        <v>0.88119999999999998</v>
      </c>
      <c r="D15" s="220">
        <v>89.82</v>
      </c>
      <c r="E15" s="223">
        <v>8.9999999999999998E-4</v>
      </c>
      <c r="F15" s="220">
        <v>-169.79</v>
      </c>
      <c r="G15" s="223">
        <v>0.91869999999999996</v>
      </c>
      <c r="H15" s="220">
        <v>0.16</v>
      </c>
      <c r="I15" s="223">
        <v>5.9200000000000003E-2</v>
      </c>
      <c r="J15" s="220">
        <v>10.84</v>
      </c>
      <c r="K15" s="223">
        <v>0.58830000000000005</v>
      </c>
      <c r="L15" s="220">
        <v>-91.97</v>
      </c>
      <c r="M15" s="223">
        <v>4.0000000000000002E-4</v>
      </c>
      <c r="N15" s="220">
        <v>-163.93</v>
      </c>
      <c r="S15" s="87" t="s">
        <v>82</v>
      </c>
      <c r="AC15" s="213"/>
    </row>
    <row r="16" spans="1:29" ht="12.75" customHeight="1" x14ac:dyDescent="0.2">
      <c r="A16" s="6">
        <v>19</v>
      </c>
      <c r="B16" s="7"/>
      <c r="C16" s="223">
        <v>0.87129999999999996</v>
      </c>
      <c r="D16" s="220">
        <v>89.81</v>
      </c>
      <c r="E16" s="223">
        <v>8.9999999999999998E-4</v>
      </c>
      <c r="F16" s="220">
        <v>-151.93</v>
      </c>
      <c r="G16" s="223">
        <v>0.90980000000000005</v>
      </c>
      <c r="H16" s="220">
        <v>0.19</v>
      </c>
      <c r="I16" s="223">
        <v>5.6099999999999997E-2</v>
      </c>
      <c r="J16" s="220">
        <v>28.74</v>
      </c>
      <c r="K16" s="223">
        <v>0.61699999999999999</v>
      </c>
      <c r="L16" s="220">
        <v>-92.08</v>
      </c>
      <c r="M16" s="223">
        <v>4.0000000000000002E-4</v>
      </c>
      <c r="N16" s="220">
        <v>-146.41</v>
      </c>
      <c r="AC16" s="213"/>
    </row>
    <row r="17" spans="1:29" ht="12.75" customHeight="1" x14ac:dyDescent="0.2">
      <c r="A17" s="6">
        <v>18.5</v>
      </c>
      <c r="B17" s="7"/>
      <c r="C17" s="223">
        <v>0.86040000000000005</v>
      </c>
      <c r="D17" s="220">
        <v>89.8</v>
      </c>
      <c r="E17" s="223">
        <v>8.0000000000000004E-4</v>
      </c>
      <c r="F17" s="220">
        <v>-138.66999999999999</v>
      </c>
      <c r="G17" s="223">
        <v>0.89959999999999996</v>
      </c>
      <c r="H17" s="220">
        <v>0.23</v>
      </c>
      <c r="I17" s="223">
        <v>5.04E-2</v>
      </c>
      <c r="J17" s="220">
        <v>42.04</v>
      </c>
      <c r="K17" s="223">
        <v>0.64759999999999995</v>
      </c>
      <c r="L17" s="220">
        <v>-92.2</v>
      </c>
      <c r="M17" s="223">
        <v>4.0000000000000002E-4</v>
      </c>
      <c r="N17" s="220">
        <v>-133.57</v>
      </c>
      <c r="AC17" s="213"/>
    </row>
    <row r="18" spans="1:29" ht="12.75" customHeight="1" x14ac:dyDescent="0.2">
      <c r="A18" s="6">
        <v>18</v>
      </c>
      <c r="B18" s="7"/>
      <c r="C18" s="223">
        <v>0.84809999999999997</v>
      </c>
      <c r="D18" s="220">
        <v>89.79</v>
      </c>
      <c r="E18" s="223">
        <v>6.9999999999999999E-4</v>
      </c>
      <c r="F18" s="220">
        <v>-129.57</v>
      </c>
      <c r="G18" s="223">
        <v>0.88790000000000002</v>
      </c>
      <c r="H18" s="220">
        <v>0.27</v>
      </c>
      <c r="I18" s="223">
        <v>4.4900000000000002E-2</v>
      </c>
      <c r="J18" s="220">
        <v>51.41</v>
      </c>
      <c r="K18" s="223">
        <v>0.68030000000000002</v>
      </c>
      <c r="L18" s="220">
        <v>-92.33</v>
      </c>
      <c r="M18" s="223">
        <v>4.0000000000000002E-4</v>
      </c>
      <c r="N18" s="220">
        <v>-124.15</v>
      </c>
      <c r="AC18" s="213"/>
    </row>
    <row r="19" spans="1:29" ht="12.75" customHeight="1" x14ac:dyDescent="0.2">
      <c r="A19" s="6">
        <v>17</v>
      </c>
      <c r="B19" s="8"/>
      <c r="C19" s="223">
        <v>0.81889999999999996</v>
      </c>
      <c r="D19" s="220">
        <v>89.77</v>
      </c>
      <c r="E19" s="223">
        <v>5.9999999999999995E-4</v>
      </c>
      <c r="F19" s="220">
        <v>-118.18</v>
      </c>
      <c r="G19" s="223">
        <v>0.85909999999999997</v>
      </c>
      <c r="H19" s="220">
        <v>0.38</v>
      </c>
      <c r="I19" s="223">
        <v>3.6999999999999998E-2</v>
      </c>
      <c r="J19" s="220">
        <v>62.75</v>
      </c>
      <c r="K19" s="223">
        <v>0.752</v>
      </c>
      <c r="L19" s="220">
        <v>-92.61</v>
      </c>
      <c r="M19" s="223">
        <v>2.9999999999999997E-4</v>
      </c>
      <c r="N19" s="220">
        <v>-113.56</v>
      </c>
      <c r="AC19" s="213"/>
    </row>
    <row r="20" spans="1:29" ht="12.75" customHeight="1" x14ac:dyDescent="0.2">
      <c r="A20" s="6">
        <v>16</v>
      </c>
      <c r="B20" s="8"/>
      <c r="C20" s="223">
        <v>0.78190000000000004</v>
      </c>
      <c r="D20" s="220">
        <v>89.76</v>
      </c>
      <c r="E20" s="223">
        <v>5.9999999999999995E-4</v>
      </c>
      <c r="F20" s="220">
        <v>-112.15</v>
      </c>
      <c r="G20" s="223">
        <v>0.82030000000000003</v>
      </c>
      <c r="H20" s="220">
        <v>0.54</v>
      </c>
      <c r="I20" s="223">
        <v>3.2500000000000001E-2</v>
      </c>
      <c r="J20" s="220">
        <v>68.95</v>
      </c>
      <c r="K20" s="223">
        <v>0.8327</v>
      </c>
      <c r="L20" s="220">
        <v>-92.93</v>
      </c>
      <c r="M20" s="223">
        <v>2.9999999999999997E-4</v>
      </c>
      <c r="N20" s="220">
        <v>-107.6</v>
      </c>
      <c r="AC20" s="213"/>
    </row>
    <row r="21" spans="1:29" ht="12.75" customHeight="1" x14ac:dyDescent="0.2">
      <c r="A21" s="6">
        <v>15</v>
      </c>
      <c r="B21" s="8"/>
      <c r="C21" s="223">
        <v>0.73460000000000003</v>
      </c>
      <c r="D21" s="220">
        <v>89.8</v>
      </c>
      <c r="E21" s="223">
        <v>5.0000000000000001E-4</v>
      </c>
      <c r="F21" s="220">
        <v>-108.54</v>
      </c>
      <c r="G21" s="223">
        <v>0.76739999999999997</v>
      </c>
      <c r="H21" s="220">
        <v>0.75</v>
      </c>
      <c r="I21" s="223">
        <v>2.9899999999999999E-2</v>
      </c>
      <c r="J21" s="220">
        <v>72.7</v>
      </c>
      <c r="K21" s="223">
        <v>0.9224</v>
      </c>
      <c r="L21" s="220">
        <v>-93.28</v>
      </c>
      <c r="M21" s="223">
        <v>2.9999999999999997E-4</v>
      </c>
      <c r="N21" s="220">
        <v>-104.07</v>
      </c>
      <c r="AC21" s="213"/>
    </row>
    <row r="22" spans="1:29" ht="12.75" customHeight="1" x14ac:dyDescent="0.2">
      <c r="A22" s="6">
        <v>14</v>
      </c>
      <c r="B22" s="8"/>
      <c r="C22" s="223">
        <v>0.67369999999999997</v>
      </c>
      <c r="D22" s="220">
        <v>89.92</v>
      </c>
      <c r="E22" s="223">
        <v>5.0000000000000001E-4</v>
      </c>
      <c r="F22" s="220">
        <v>-106.07</v>
      </c>
      <c r="G22" s="223">
        <v>0.69410000000000005</v>
      </c>
      <c r="H22" s="220">
        <v>0.99</v>
      </c>
      <c r="I22" s="223">
        <v>2.8400000000000002E-2</v>
      </c>
      <c r="J22" s="220">
        <v>75.14</v>
      </c>
      <c r="K22" s="223">
        <v>1.0190999999999999</v>
      </c>
      <c r="L22" s="220">
        <v>-93.63</v>
      </c>
      <c r="M22" s="223">
        <v>2.9999999999999997E-4</v>
      </c>
      <c r="N22" s="220">
        <v>-101.86</v>
      </c>
      <c r="AC22" s="213"/>
    </row>
    <row r="23" spans="1:29" ht="12.75" customHeight="1" x14ac:dyDescent="0.2">
      <c r="A23" s="6">
        <v>13</v>
      </c>
      <c r="B23" s="8"/>
      <c r="C23" s="223">
        <v>0.59450000000000003</v>
      </c>
      <c r="D23" s="220">
        <v>90.28</v>
      </c>
      <c r="E23" s="223">
        <v>5.0000000000000001E-4</v>
      </c>
      <c r="F23" s="220">
        <v>-103.87</v>
      </c>
      <c r="G23" s="223">
        <v>0.59179999999999999</v>
      </c>
      <c r="H23" s="220">
        <v>1.1200000000000001</v>
      </c>
      <c r="I23" s="223">
        <v>2.75E-2</v>
      </c>
      <c r="J23" s="220">
        <v>76.930000000000007</v>
      </c>
      <c r="K23" s="223">
        <v>1.1160000000000001</v>
      </c>
      <c r="L23" s="220">
        <v>-93.89</v>
      </c>
      <c r="M23" s="223">
        <v>2.9999999999999997E-4</v>
      </c>
      <c r="N23" s="220">
        <v>-100.09</v>
      </c>
      <c r="AC23" s="213"/>
    </row>
    <row r="24" spans="1:29" ht="12.75" customHeight="1" x14ac:dyDescent="0.2">
      <c r="A24" s="6">
        <v>12</v>
      </c>
      <c r="B24" s="8"/>
      <c r="C24" s="223">
        <v>0.49120000000000003</v>
      </c>
      <c r="D24" s="220">
        <v>91.15</v>
      </c>
      <c r="E24" s="223">
        <v>5.9999999999999995E-4</v>
      </c>
      <c r="F24" s="220">
        <v>-101.1</v>
      </c>
      <c r="G24" s="223">
        <v>0.44950000000000001</v>
      </c>
      <c r="H24" s="220">
        <v>0.56999999999999995</v>
      </c>
      <c r="I24" s="223">
        <v>2.6499999999999999E-2</v>
      </c>
      <c r="J24" s="220">
        <v>78.540000000000006</v>
      </c>
      <c r="K24" s="223">
        <v>1.1944999999999999</v>
      </c>
      <c r="L24" s="220">
        <v>-93.85</v>
      </c>
      <c r="M24" s="223">
        <v>2.9999999999999997E-4</v>
      </c>
      <c r="N24" s="220">
        <v>-98.25</v>
      </c>
      <c r="AC24" s="213"/>
    </row>
    <row r="25" spans="1:29" ht="12.75" customHeight="1" x14ac:dyDescent="0.2">
      <c r="A25" s="6">
        <v>11</v>
      </c>
      <c r="B25" s="8"/>
      <c r="C25" s="223">
        <v>0.35749999999999998</v>
      </c>
      <c r="D25" s="220">
        <v>93.06</v>
      </c>
      <c r="E25" s="223">
        <v>5.9999999999999995E-4</v>
      </c>
      <c r="F25" s="220">
        <v>-96.61</v>
      </c>
      <c r="G25" s="223">
        <v>0.25580000000000003</v>
      </c>
      <c r="H25" s="220">
        <v>-3.79</v>
      </c>
      <c r="I25" s="223">
        <v>2.4400000000000002E-2</v>
      </c>
      <c r="J25" s="220">
        <v>80.290000000000006</v>
      </c>
      <c r="K25" s="223">
        <v>1.2075</v>
      </c>
      <c r="L25" s="220">
        <v>-93.31</v>
      </c>
      <c r="M25" s="223">
        <v>2.9999999999999997E-4</v>
      </c>
      <c r="N25" s="220">
        <v>-95.81</v>
      </c>
      <c r="AC25" s="213"/>
    </row>
    <row r="26" spans="1:29" ht="12.75" customHeight="1" x14ac:dyDescent="0.2">
      <c r="A26" s="6">
        <v>10</v>
      </c>
      <c r="B26" s="8"/>
      <c r="C26" s="223">
        <v>0.19620000000000001</v>
      </c>
      <c r="D26" s="220">
        <v>96.64</v>
      </c>
      <c r="E26" s="223">
        <v>5.0000000000000001E-4</v>
      </c>
      <c r="F26" s="220">
        <v>-89.93</v>
      </c>
      <c r="G26" s="223">
        <v>7.1800000000000003E-2</v>
      </c>
      <c r="H26" s="220">
        <v>-95.91</v>
      </c>
      <c r="I26" s="223">
        <v>1.9699999999999999E-2</v>
      </c>
      <c r="J26" s="220">
        <v>81.540000000000006</v>
      </c>
      <c r="K26" s="223">
        <v>1.0572999999999999</v>
      </c>
      <c r="L26" s="220">
        <v>-92.96</v>
      </c>
      <c r="M26" s="223">
        <v>2.0000000000000001E-4</v>
      </c>
      <c r="N26" s="220">
        <v>-93.25</v>
      </c>
      <c r="AC26" s="213"/>
    </row>
    <row r="27" spans="1:29" ht="12.75" customHeight="1" x14ac:dyDescent="0.2">
      <c r="A27" s="6">
        <v>9</v>
      </c>
      <c r="B27" s="8"/>
      <c r="C27" s="223">
        <v>4.1300000000000003E-2</v>
      </c>
      <c r="D27" s="220">
        <v>103.23</v>
      </c>
      <c r="E27" s="223">
        <v>2.9999999999999997E-4</v>
      </c>
      <c r="F27" s="220">
        <v>-87.29</v>
      </c>
      <c r="G27" s="223">
        <v>0.44069999999999998</v>
      </c>
      <c r="H27" s="220">
        <v>-135.79</v>
      </c>
      <c r="I27" s="223">
        <v>1.0500000000000001E-2</v>
      </c>
      <c r="J27" s="220">
        <v>73.900000000000006</v>
      </c>
      <c r="K27" s="223">
        <v>0.60740000000000005</v>
      </c>
      <c r="L27" s="220">
        <v>-100.81</v>
      </c>
      <c r="M27" s="223">
        <v>1E-4</v>
      </c>
      <c r="N27" s="220">
        <v>-98.83</v>
      </c>
      <c r="AC27" s="213"/>
    </row>
    <row r="28" spans="1:29" ht="12.75" customHeight="1" x14ac:dyDescent="0.2">
      <c r="A28" s="6">
        <v>8</v>
      </c>
      <c r="B28" s="9"/>
      <c r="C28" s="223">
        <v>1.89E-2</v>
      </c>
      <c r="D28" s="220">
        <v>-66.06</v>
      </c>
      <c r="E28" s="223">
        <v>2.9999999999999997E-4</v>
      </c>
      <c r="F28" s="220">
        <v>-147.83000000000001</v>
      </c>
      <c r="G28" s="223">
        <v>0.3921</v>
      </c>
      <c r="H28" s="220">
        <v>-86.67</v>
      </c>
      <c r="I28" s="223">
        <v>9.9000000000000008E-3</v>
      </c>
      <c r="J28" s="220">
        <v>-2.08</v>
      </c>
      <c r="K28" s="223">
        <v>0.61109999999999998</v>
      </c>
      <c r="L28" s="220">
        <v>-175.61</v>
      </c>
      <c r="M28" s="223">
        <v>1E-4</v>
      </c>
      <c r="N28" s="220">
        <v>-172.37</v>
      </c>
      <c r="AC28" s="213"/>
    </row>
    <row r="29" spans="1:29" ht="12.75" customHeight="1" x14ac:dyDescent="0.2">
      <c r="A29" s="6">
        <v>7</v>
      </c>
      <c r="B29" s="9"/>
      <c r="C29" s="223">
        <v>1.0200000000000001E-2</v>
      </c>
      <c r="D29" s="220">
        <v>-144.47</v>
      </c>
      <c r="E29" s="223">
        <v>2.0000000000000001E-4</v>
      </c>
      <c r="F29" s="220">
        <v>-128.85</v>
      </c>
      <c r="G29" s="223">
        <v>6.2399999999999997E-2</v>
      </c>
      <c r="H29" s="220">
        <v>-125.08</v>
      </c>
      <c r="I29" s="223">
        <v>7.1000000000000004E-3</v>
      </c>
      <c r="J29" s="220">
        <v>3.88</v>
      </c>
      <c r="K29" s="223">
        <v>0.44669999999999999</v>
      </c>
      <c r="L29" s="220">
        <v>-168.6</v>
      </c>
      <c r="M29" s="223">
        <v>1E-4</v>
      </c>
      <c r="N29" s="220">
        <v>-164.23</v>
      </c>
      <c r="AC29" s="213"/>
    </row>
    <row r="30" spans="1:29" ht="12.75" customHeight="1" x14ac:dyDescent="0.2">
      <c r="A30" s="6">
        <v>6</v>
      </c>
      <c r="B30" s="9"/>
      <c r="C30" s="223">
        <v>3.8899999999999997E-2</v>
      </c>
      <c r="D30" s="220">
        <v>-30.82</v>
      </c>
      <c r="E30" s="223">
        <v>0</v>
      </c>
      <c r="F30" s="220">
        <v>90.17</v>
      </c>
      <c r="G30" s="223">
        <v>4.5999999999999999E-3</v>
      </c>
      <c r="H30" s="220">
        <v>96.81</v>
      </c>
      <c r="I30" s="223">
        <v>8.9999999999999998E-4</v>
      </c>
      <c r="J30" s="220">
        <v>-154.94999999999999</v>
      </c>
      <c r="K30" s="223">
        <v>5.6899999999999999E-2</v>
      </c>
      <c r="L30" s="220">
        <v>32.18</v>
      </c>
      <c r="M30" s="223">
        <v>0</v>
      </c>
      <c r="N30" s="220">
        <v>41.11</v>
      </c>
      <c r="AC30" s="213"/>
    </row>
    <row r="31" spans="1:29" ht="12.75" customHeight="1" x14ac:dyDescent="0.2">
      <c r="A31" s="6">
        <v>5</v>
      </c>
      <c r="B31" s="9"/>
      <c r="C31" s="223">
        <v>4.8099999999999997E-2</v>
      </c>
      <c r="D31" s="220">
        <v>132.47</v>
      </c>
      <c r="E31" s="223">
        <v>0</v>
      </c>
      <c r="F31" s="220">
        <v>-82.38</v>
      </c>
      <c r="G31" s="223">
        <v>1.5599999999999999E-2</v>
      </c>
      <c r="H31" s="220">
        <v>-174.68</v>
      </c>
      <c r="I31" s="223">
        <v>5.0000000000000001E-4</v>
      </c>
      <c r="J31" s="220">
        <v>1.82</v>
      </c>
      <c r="K31" s="223">
        <v>3.0300000000000001E-2</v>
      </c>
      <c r="L31" s="220">
        <v>-171.12</v>
      </c>
      <c r="M31" s="223">
        <v>0</v>
      </c>
      <c r="N31" s="220">
        <v>-157.12</v>
      </c>
      <c r="AC31" s="213"/>
    </row>
    <row r="32" spans="1:29" ht="12.75" customHeight="1" x14ac:dyDescent="0.2">
      <c r="A32" s="6">
        <v>4.5</v>
      </c>
      <c r="B32" s="9"/>
      <c r="C32" s="223">
        <v>1.9099999999999999E-2</v>
      </c>
      <c r="D32" s="220">
        <v>16.329999999999998</v>
      </c>
      <c r="E32" s="223">
        <v>0</v>
      </c>
      <c r="F32" s="220">
        <v>129.16</v>
      </c>
      <c r="G32" s="223">
        <v>6.3E-3</v>
      </c>
      <c r="H32" s="220">
        <v>-23.03</v>
      </c>
      <c r="I32" s="223">
        <v>2.9999999999999997E-4</v>
      </c>
      <c r="J32" s="220">
        <v>-153.80000000000001</v>
      </c>
      <c r="K32" s="223">
        <v>1.9E-2</v>
      </c>
      <c r="L32" s="220">
        <v>32.01</v>
      </c>
      <c r="M32" s="223">
        <v>0</v>
      </c>
      <c r="N32" s="220">
        <v>51.65</v>
      </c>
      <c r="AC32" s="213"/>
    </row>
    <row r="33" spans="1:29" ht="12.75" customHeight="1" x14ac:dyDescent="0.2">
      <c r="A33" s="6">
        <v>4</v>
      </c>
      <c r="B33" s="9"/>
      <c r="C33" s="223">
        <v>6.1000000000000004E-3</v>
      </c>
      <c r="D33" s="220">
        <v>160.30000000000001</v>
      </c>
      <c r="E33" s="223">
        <v>0</v>
      </c>
      <c r="F33" s="220">
        <v>-91.92</v>
      </c>
      <c r="G33" s="223">
        <v>2.5999999999999999E-3</v>
      </c>
      <c r="H33" s="220">
        <v>100.25</v>
      </c>
      <c r="I33" s="223">
        <v>2.0000000000000001E-4</v>
      </c>
      <c r="J33" s="220">
        <v>-28.93</v>
      </c>
      <c r="K33" s="223">
        <v>1.38E-2</v>
      </c>
      <c r="L33" s="220">
        <v>155.9</v>
      </c>
      <c r="M33" s="223">
        <v>0</v>
      </c>
      <c r="N33" s="220">
        <v>169.9</v>
      </c>
      <c r="AC33" s="213"/>
    </row>
    <row r="34" spans="1:29" ht="12.75" customHeight="1" x14ac:dyDescent="0.2">
      <c r="A34" s="6">
        <v>3.5</v>
      </c>
      <c r="B34" s="9"/>
      <c r="C34" s="223">
        <v>1.17E-2</v>
      </c>
      <c r="D34" s="220">
        <v>124.94</v>
      </c>
      <c r="E34" s="223">
        <v>0</v>
      </c>
      <c r="F34" s="220">
        <v>-135.47999999999999</v>
      </c>
      <c r="G34" s="223">
        <v>3.0999999999999999E-3</v>
      </c>
      <c r="H34" s="220">
        <v>112.46</v>
      </c>
      <c r="I34" s="223">
        <v>0</v>
      </c>
      <c r="J34" s="220">
        <v>-81.47</v>
      </c>
      <c r="K34" s="223">
        <v>3.0999999999999999E-3</v>
      </c>
      <c r="L34" s="220">
        <v>101.9</v>
      </c>
      <c r="M34" s="223">
        <v>0</v>
      </c>
      <c r="N34" s="220">
        <v>107.41</v>
      </c>
      <c r="AC34" s="213"/>
    </row>
    <row r="35" spans="1:29" ht="12.75" customHeight="1" x14ac:dyDescent="0.2">
      <c r="A35" s="6">
        <v>3</v>
      </c>
      <c r="B35" s="9"/>
      <c r="C35" s="223">
        <v>3.3E-3</v>
      </c>
      <c r="D35" s="220">
        <v>7.01</v>
      </c>
      <c r="E35" s="223">
        <v>0</v>
      </c>
      <c r="F35" s="220">
        <v>103.92</v>
      </c>
      <c r="G35" s="223">
        <v>8.0000000000000004E-4</v>
      </c>
      <c r="H35" s="220">
        <v>9.99</v>
      </c>
      <c r="I35" s="223">
        <v>0</v>
      </c>
      <c r="J35" s="220">
        <v>144.16999999999999</v>
      </c>
      <c r="K35" s="223">
        <v>1.6000000000000001E-3</v>
      </c>
      <c r="L35" s="220">
        <v>-33.590000000000003</v>
      </c>
      <c r="M35" s="223">
        <v>0</v>
      </c>
      <c r="N35" s="220">
        <v>-28.74</v>
      </c>
      <c r="AC35" s="213"/>
    </row>
    <row r="36" spans="1:29" ht="12.75" customHeight="1" x14ac:dyDescent="0.2">
      <c r="A36" s="6">
        <v>0</v>
      </c>
      <c r="B36" s="9"/>
      <c r="C36" s="223">
        <v>0</v>
      </c>
      <c r="D36" s="220">
        <v>0</v>
      </c>
      <c r="E36" s="223">
        <v>0</v>
      </c>
      <c r="F36" s="220">
        <v>0</v>
      </c>
      <c r="G36" s="223">
        <v>0</v>
      </c>
      <c r="H36" s="220">
        <v>0</v>
      </c>
      <c r="I36" s="223">
        <v>0</v>
      </c>
      <c r="J36" s="220">
        <v>0</v>
      </c>
      <c r="K36" s="223">
        <v>0</v>
      </c>
      <c r="L36" s="220">
        <v>0</v>
      </c>
      <c r="M36" s="223">
        <v>0</v>
      </c>
      <c r="N36" s="220">
        <v>0</v>
      </c>
    </row>
    <row r="37" spans="1:29" ht="12.75" customHeight="1" x14ac:dyDescent="0.2">
      <c r="A37" s="6">
        <v>0</v>
      </c>
      <c r="B37" s="9"/>
      <c r="C37" s="223">
        <v>0</v>
      </c>
      <c r="D37" s="220">
        <v>0</v>
      </c>
      <c r="E37" s="223">
        <v>0</v>
      </c>
      <c r="F37" s="220">
        <v>0</v>
      </c>
      <c r="G37" s="223">
        <v>0</v>
      </c>
      <c r="H37" s="220">
        <v>0</v>
      </c>
      <c r="I37" s="223">
        <v>0</v>
      </c>
      <c r="J37" s="220">
        <v>0</v>
      </c>
      <c r="K37" s="223">
        <v>0</v>
      </c>
      <c r="L37" s="220">
        <v>0</v>
      </c>
      <c r="M37" s="223">
        <v>0</v>
      </c>
      <c r="N37" s="220">
        <v>0</v>
      </c>
    </row>
    <row r="38" spans="1:29" ht="12.75" customHeight="1" x14ac:dyDescent="0.2">
      <c r="A38" s="6">
        <v>0</v>
      </c>
      <c r="B38" s="9"/>
      <c r="C38" s="223">
        <v>0</v>
      </c>
      <c r="D38" s="220">
        <v>0</v>
      </c>
      <c r="E38" s="223">
        <v>0</v>
      </c>
      <c r="F38" s="220">
        <v>0</v>
      </c>
      <c r="G38" s="223">
        <v>0</v>
      </c>
      <c r="H38" s="220">
        <v>0</v>
      </c>
      <c r="I38" s="223">
        <v>0</v>
      </c>
      <c r="J38" s="220">
        <v>0</v>
      </c>
      <c r="K38" s="223">
        <v>0</v>
      </c>
      <c r="L38" s="220">
        <v>0</v>
      </c>
      <c r="M38" s="223">
        <v>0</v>
      </c>
      <c r="N38" s="220">
        <v>0</v>
      </c>
    </row>
    <row r="39" spans="1:29" ht="12.75" customHeight="1" x14ac:dyDescent="0.2">
      <c r="A39" s="6">
        <v>0</v>
      </c>
      <c r="B39" s="9"/>
      <c r="C39" s="223">
        <v>0</v>
      </c>
      <c r="D39" s="220">
        <v>0</v>
      </c>
      <c r="E39" s="223">
        <v>0</v>
      </c>
      <c r="F39" s="220">
        <v>0</v>
      </c>
      <c r="G39" s="223">
        <v>0</v>
      </c>
      <c r="H39" s="220">
        <v>0</v>
      </c>
      <c r="I39" s="223">
        <v>0</v>
      </c>
      <c r="J39" s="220">
        <v>0</v>
      </c>
      <c r="K39" s="223">
        <v>0</v>
      </c>
      <c r="L39" s="220">
        <v>0</v>
      </c>
      <c r="M39" s="223">
        <v>0</v>
      </c>
      <c r="N39" s="220">
        <v>0</v>
      </c>
    </row>
    <row r="40" spans="1:29" ht="12.75" customHeight="1" thickBot="1" x14ac:dyDescent="0.25">
      <c r="A40" s="10">
        <v>0</v>
      </c>
      <c r="B40" s="11"/>
      <c r="C40" s="12">
        <v>0</v>
      </c>
      <c r="D40" s="13">
        <v>0</v>
      </c>
      <c r="E40" s="12">
        <v>0</v>
      </c>
      <c r="F40" s="13">
        <v>0</v>
      </c>
      <c r="G40" s="12">
        <v>0</v>
      </c>
      <c r="H40" s="13">
        <v>0</v>
      </c>
      <c r="I40" s="12">
        <v>0</v>
      </c>
      <c r="J40" s="13">
        <v>0</v>
      </c>
      <c r="K40" s="12">
        <v>0</v>
      </c>
      <c r="L40" s="13">
        <v>0</v>
      </c>
      <c r="M40" s="12">
        <v>0</v>
      </c>
      <c r="N40" s="13">
        <v>0</v>
      </c>
    </row>
    <row r="41" spans="1:29" ht="20.100000000000001" customHeight="1" x14ac:dyDescent="0.25">
      <c r="A41" s="395" t="str">
        <f>A1</f>
        <v>Paragon DPDS3</v>
      </c>
      <c r="B41" s="395"/>
      <c r="C41" s="395"/>
      <c r="D41" s="395"/>
      <c r="E41" s="395"/>
      <c r="F41" s="395"/>
      <c r="G41" s="395"/>
      <c r="H41" s="395"/>
      <c r="I41" s="395"/>
      <c r="J41" s="395"/>
      <c r="K41" s="395"/>
      <c r="L41" s="395"/>
      <c r="M41" s="395"/>
      <c r="N41" s="395"/>
    </row>
    <row r="42" spans="1:29" ht="20.100000000000001" customHeight="1" thickBot="1" x14ac:dyDescent="0.3">
      <c r="A42" s="396" t="s">
        <v>5</v>
      </c>
      <c r="B42" s="396"/>
      <c r="C42" s="396"/>
      <c r="D42" s="396"/>
      <c r="E42" s="396"/>
      <c r="F42" s="396"/>
      <c r="G42" s="396"/>
      <c r="H42" s="396"/>
      <c r="I42" s="396"/>
      <c r="J42" s="396"/>
      <c r="K42" s="396"/>
      <c r="L42" s="396"/>
      <c r="M42" s="396"/>
      <c r="N42" s="396"/>
    </row>
    <row r="43" spans="1:29" ht="12.75" customHeight="1" x14ac:dyDescent="0.2">
      <c r="A43" s="397" t="s">
        <v>12</v>
      </c>
      <c r="B43" s="399" t="s">
        <v>13</v>
      </c>
      <c r="C43" s="401" t="s">
        <v>6</v>
      </c>
      <c r="D43" s="402"/>
      <c r="E43" s="401" t="s">
        <v>7</v>
      </c>
      <c r="F43" s="402"/>
      <c r="G43" s="401" t="s">
        <v>8</v>
      </c>
      <c r="H43" s="402"/>
      <c r="I43" s="401" t="s">
        <v>9</v>
      </c>
      <c r="J43" s="402"/>
      <c r="K43" s="401" t="s">
        <v>10</v>
      </c>
      <c r="L43" s="402"/>
      <c r="M43" s="401" t="s">
        <v>11</v>
      </c>
      <c r="N43" s="402"/>
    </row>
    <row r="44" spans="1:29" ht="12.75" customHeight="1" x14ac:dyDescent="0.2">
      <c r="A44" s="398"/>
      <c r="B44" s="400"/>
      <c r="C44" s="222" t="s">
        <v>0</v>
      </c>
      <c r="D44" s="217" t="s">
        <v>1</v>
      </c>
      <c r="E44" s="222" t="s">
        <v>0</v>
      </c>
      <c r="F44" s="217" t="s">
        <v>1</v>
      </c>
      <c r="G44" s="222" t="s">
        <v>0</v>
      </c>
      <c r="H44" s="217" t="s">
        <v>1</v>
      </c>
      <c r="I44" s="222" t="s">
        <v>0</v>
      </c>
      <c r="J44" s="217" t="s">
        <v>1</v>
      </c>
      <c r="K44" s="222" t="s">
        <v>0</v>
      </c>
      <c r="L44" s="217" t="s">
        <v>1</v>
      </c>
      <c r="M44" s="222" t="s">
        <v>0</v>
      </c>
      <c r="N44" s="217" t="s">
        <v>1</v>
      </c>
    </row>
    <row r="45" spans="1:29" ht="12.75" customHeight="1" thickBot="1" x14ac:dyDescent="0.25">
      <c r="A45" s="2" t="s">
        <v>14</v>
      </c>
      <c r="B45" s="3" t="s">
        <v>15</v>
      </c>
      <c r="C45" s="2" t="s">
        <v>19</v>
      </c>
      <c r="D45" s="3" t="s">
        <v>15</v>
      </c>
      <c r="E45" s="2" t="s">
        <v>19</v>
      </c>
      <c r="F45" s="3" t="s">
        <v>15</v>
      </c>
      <c r="G45" s="2" t="s">
        <v>19</v>
      </c>
      <c r="H45" s="3" t="s">
        <v>15</v>
      </c>
      <c r="I45" s="2" t="s">
        <v>20</v>
      </c>
      <c r="J45" s="3" t="s">
        <v>15</v>
      </c>
      <c r="K45" s="2" t="s">
        <v>20</v>
      </c>
      <c r="L45" s="3" t="s">
        <v>15</v>
      </c>
      <c r="M45" s="2" t="s">
        <v>20</v>
      </c>
      <c r="N45" s="3" t="s">
        <v>15</v>
      </c>
    </row>
    <row r="46" spans="1:29" ht="12.75" customHeight="1" x14ac:dyDescent="0.2">
      <c r="A46" s="4">
        <v>30</v>
      </c>
      <c r="B46" s="5">
        <v>15</v>
      </c>
      <c r="C46" s="223">
        <v>0.93459999999999999</v>
      </c>
      <c r="D46" s="220">
        <v>89.94</v>
      </c>
      <c r="E46" s="223">
        <v>0.24809999999999999</v>
      </c>
      <c r="F46" s="220">
        <v>90.05</v>
      </c>
      <c r="G46" s="223">
        <v>0.98660000000000003</v>
      </c>
      <c r="H46" s="220">
        <v>0.01</v>
      </c>
      <c r="I46" s="223">
        <v>8.8999999999999996E-2</v>
      </c>
      <c r="J46" s="220">
        <v>95.6</v>
      </c>
      <c r="K46" s="223">
        <v>0.24740000000000001</v>
      </c>
      <c r="L46" s="220">
        <v>-90.79</v>
      </c>
      <c r="M46" s="223">
        <v>5.3900000000000003E-2</v>
      </c>
      <c r="N46" s="220">
        <v>-179.25</v>
      </c>
      <c r="AC46" s="213"/>
    </row>
    <row r="47" spans="1:29" ht="12.75" customHeight="1" x14ac:dyDescent="0.2">
      <c r="A47" s="6">
        <v>28</v>
      </c>
      <c r="B47" s="7"/>
      <c r="C47" s="223">
        <v>0.92789999999999995</v>
      </c>
      <c r="D47" s="220">
        <v>89.93</v>
      </c>
      <c r="E47" s="223">
        <v>0.24579999999999999</v>
      </c>
      <c r="F47" s="220">
        <v>90.05</v>
      </c>
      <c r="G47" s="223">
        <v>0.98229999999999995</v>
      </c>
      <c r="H47" s="220">
        <v>0.02</v>
      </c>
      <c r="I47" s="223">
        <v>0.1095</v>
      </c>
      <c r="J47" s="220">
        <v>96.78</v>
      </c>
      <c r="K47" s="223">
        <v>0.28349999999999997</v>
      </c>
      <c r="L47" s="220">
        <v>-90.91</v>
      </c>
      <c r="M47" s="223">
        <v>6.1499999999999999E-2</v>
      </c>
      <c r="N47" s="220">
        <v>-179.18</v>
      </c>
      <c r="AC47" s="213"/>
    </row>
    <row r="48" spans="1:29" ht="12.75" customHeight="1" x14ac:dyDescent="0.2">
      <c r="A48" s="6">
        <v>26</v>
      </c>
      <c r="B48" s="7"/>
      <c r="C48" s="223">
        <v>0.91900000000000004</v>
      </c>
      <c r="D48" s="220">
        <v>89.91</v>
      </c>
      <c r="E48" s="223">
        <v>0.2427</v>
      </c>
      <c r="F48" s="220">
        <v>90.03</v>
      </c>
      <c r="G48" s="223">
        <v>0.97619999999999996</v>
      </c>
      <c r="H48" s="220">
        <v>0.03</v>
      </c>
      <c r="I48" s="223">
        <v>0.14069999999999999</v>
      </c>
      <c r="J48" s="220">
        <v>98.85</v>
      </c>
      <c r="K48" s="223">
        <v>0.3281</v>
      </c>
      <c r="L48" s="220">
        <v>-91.06</v>
      </c>
      <c r="M48" s="223">
        <v>7.0699999999999999E-2</v>
      </c>
      <c r="N48" s="220">
        <v>-179.08</v>
      </c>
      <c r="AC48" s="213"/>
    </row>
    <row r="49" spans="1:29" ht="12.75" customHeight="1" x14ac:dyDescent="0.2">
      <c r="A49" s="6">
        <v>24</v>
      </c>
      <c r="B49" s="7"/>
      <c r="C49" s="223">
        <v>0.90669999999999995</v>
      </c>
      <c r="D49" s="220">
        <v>89.9</v>
      </c>
      <c r="E49" s="223">
        <v>0.23830000000000001</v>
      </c>
      <c r="F49" s="220">
        <v>89.96</v>
      </c>
      <c r="G49" s="223">
        <v>0.96719999999999995</v>
      </c>
      <c r="H49" s="220">
        <v>0.04</v>
      </c>
      <c r="I49" s="223">
        <v>0.1943</v>
      </c>
      <c r="J49" s="220">
        <v>103.12</v>
      </c>
      <c r="K49" s="223">
        <v>0.38369999999999999</v>
      </c>
      <c r="L49" s="220">
        <v>-91.25</v>
      </c>
      <c r="M49" s="223">
        <v>8.2000000000000003E-2</v>
      </c>
      <c r="N49" s="220">
        <v>-178.9</v>
      </c>
      <c r="AC49" s="213"/>
    </row>
    <row r="50" spans="1:29" ht="12.75" customHeight="1" x14ac:dyDescent="0.2">
      <c r="A50" s="6">
        <v>23</v>
      </c>
      <c r="B50" s="7"/>
      <c r="C50" s="223">
        <v>0.89880000000000004</v>
      </c>
      <c r="D50" s="220">
        <v>89.88</v>
      </c>
      <c r="E50" s="223">
        <v>0.2354</v>
      </c>
      <c r="F50" s="220">
        <v>89.87</v>
      </c>
      <c r="G50" s="223">
        <v>0.96109999999999995</v>
      </c>
      <c r="H50" s="220">
        <v>0.06</v>
      </c>
      <c r="I50" s="223">
        <v>0.2389</v>
      </c>
      <c r="J50" s="220">
        <v>107.29</v>
      </c>
      <c r="K50" s="223">
        <v>0.41670000000000001</v>
      </c>
      <c r="L50" s="220">
        <v>-91.37</v>
      </c>
      <c r="M50" s="223">
        <v>8.8499999999999995E-2</v>
      </c>
      <c r="N50" s="220">
        <v>-178.77</v>
      </c>
      <c r="AC50" s="213"/>
    </row>
    <row r="51" spans="1:29" ht="12.75" customHeight="1" x14ac:dyDescent="0.2">
      <c r="A51" s="6">
        <v>22</v>
      </c>
      <c r="B51" s="7"/>
      <c r="C51" s="223">
        <v>0.88929999999999998</v>
      </c>
      <c r="D51" s="220">
        <v>89.87</v>
      </c>
      <c r="E51" s="223">
        <v>0.23180000000000001</v>
      </c>
      <c r="F51" s="220">
        <v>89.65</v>
      </c>
      <c r="G51" s="223">
        <v>0.95350000000000001</v>
      </c>
      <c r="H51" s="220">
        <v>7.0000000000000007E-2</v>
      </c>
      <c r="I51" s="223">
        <v>0.30719999999999997</v>
      </c>
      <c r="J51" s="220">
        <v>114.77</v>
      </c>
      <c r="K51" s="223">
        <v>0.45400000000000001</v>
      </c>
      <c r="L51" s="220">
        <v>-91.5</v>
      </c>
      <c r="M51" s="223">
        <v>9.5500000000000002E-2</v>
      </c>
      <c r="N51" s="220">
        <v>-178.61</v>
      </c>
      <c r="AC51" s="213"/>
    </row>
    <row r="52" spans="1:29" ht="12.75" customHeight="1" x14ac:dyDescent="0.2">
      <c r="A52" s="6">
        <v>21</v>
      </c>
      <c r="B52" s="7"/>
      <c r="C52" s="223">
        <v>0.87780000000000002</v>
      </c>
      <c r="D52" s="220">
        <v>89.85</v>
      </c>
      <c r="E52" s="223">
        <v>0.2278</v>
      </c>
      <c r="F52" s="220">
        <v>89.12</v>
      </c>
      <c r="G52" s="223">
        <v>0.94399999999999995</v>
      </c>
      <c r="H52" s="220">
        <v>0.1</v>
      </c>
      <c r="I52" s="223">
        <v>0.41189999999999999</v>
      </c>
      <c r="J52" s="220">
        <v>129.77000000000001</v>
      </c>
      <c r="K52" s="223">
        <v>0.49609999999999999</v>
      </c>
      <c r="L52" s="220">
        <v>-91.65</v>
      </c>
      <c r="M52" s="223">
        <v>0.10290000000000001</v>
      </c>
      <c r="N52" s="220">
        <v>-178.51</v>
      </c>
      <c r="AC52" s="213"/>
    </row>
    <row r="53" spans="1:29" ht="12.75" customHeight="1" x14ac:dyDescent="0.2">
      <c r="A53" s="6">
        <v>20.5</v>
      </c>
      <c r="B53" s="7"/>
      <c r="C53" s="223">
        <v>0.87119999999999997</v>
      </c>
      <c r="D53" s="220">
        <v>89.85</v>
      </c>
      <c r="E53" s="223">
        <v>0.2263</v>
      </c>
      <c r="F53" s="220">
        <v>88.68</v>
      </c>
      <c r="G53" s="223">
        <v>0.93830000000000002</v>
      </c>
      <c r="H53" s="220">
        <v>0.11</v>
      </c>
      <c r="I53" s="223">
        <v>0.47070000000000001</v>
      </c>
      <c r="J53" s="220">
        <v>142.57</v>
      </c>
      <c r="K53" s="223">
        <v>0.51929999999999998</v>
      </c>
      <c r="L53" s="220">
        <v>-91.74</v>
      </c>
      <c r="M53" s="223">
        <v>0.1066</v>
      </c>
      <c r="N53" s="220">
        <v>-178.65</v>
      </c>
      <c r="AC53" s="213"/>
    </row>
    <row r="54" spans="1:29" ht="12.75" customHeight="1" x14ac:dyDescent="0.2">
      <c r="A54" s="6">
        <v>20</v>
      </c>
      <c r="B54" s="7"/>
      <c r="C54" s="223">
        <v>0.86380000000000001</v>
      </c>
      <c r="D54" s="220">
        <v>89.84</v>
      </c>
      <c r="E54" s="223">
        <v>0.22600000000000001</v>
      </c>
      <c r="F54" s="220">
        <v>88.27</v>
      </c>
      <c r="G54" s="223">
        <v>0.93189999999999995</v>
      </c>
      <c r="H54" s="220">
        <v>0.13</v>
      </c>
      <c r="I54" s="223">
        <v>0.50439999999999996</v>
      </c>
      <c r="J54" s="220">
        <v>159.65</v>
      </c>
      <c r="K54" s="223">
        <v>0.54400000000000004</v>
      </c>
      <c r="L54" s="220">
        <v>-91.83</v>
      </c>
      <c r="M54" s="223">
        <v>0.11070000000000001</v>
      </c>
      <c r="N54" s="220">
        <v>-179.07</v>
      </c>
      <c r="AC54" s="213"/>
    </row>
    <row r="55" spans="1:29" ht="12.75" customHeight="1" x14ac:dyDescent="0.2">
      <c r="A55" s="6">
        <v>19.5</v>
      </c>
      <c r="B55" s="7"/>
      <c r="C55" s="223">
        <v>0.85560000000000003</v>
      </c>
      <c r="D55" s="220">
        <v>89.83</v>
      </c>
      <c r="E55" s="223">
        <v>0.22620000000000001</v>
      </c>
      <c r="F55" s="220">
        <v>88.23</v>
      </c>
      <c r="G55" s="223">
        <v>0.92459999999999998</v>
      </c>
      <c r="H55" s="220">
        <v>0.15</v>
      </c>
      <c r="I55" s="223">
        <v>0.48010000000000003</v>
      </c>
      <c r="J55" s="220">
        <v>178.59</v>
      </c>
      <c r="K55" s="223">
        <v>0.57040000000000002</v>
      </c>
      <c r="L55" s="220">
        <v>-91.93</v>
      </c>
      <c r="M55" s="223">
        <v>0.11559999999999999</v>
      </c>
      <c r="N55" s="220">
        <v>-179.64</v>
      </c>
      <c r="AC55" s="213"/>
    </row>
    <row r="56" spans="1:29" ht="12.75" customHeight="1" x14ac:dyDescent="0.2">
      <c r="A56" s="6">
        <v>19</v>
      </c>
      <c r="B56" s="7"/>
      <c r="C56" s="223">
        <v>0.84660000000000002</v>
      </c>
      <c r="D56" s="220">
        <v>89.82</v>
      </c>
      <c r="E56" s="223">
        <v>0.22539999999999999</v>
      </c>
      <c r="F56" s="220">
        <v>88.57</v>
      </c>
      <c r="G56" s="223">
        <v>0.91639999999999999</v>
      </c>
      <c r="H56" s="220">
        <v>0.18</v>
      </c>
      <c r="I56" s="223">
        <v>0.40639999999999998</v>
      </c>
      <c r="J56" s="220">
        <v>-165.14</v>
      </c>
      <c r="K56" s="223">
        <v>0.59860000000000002</v>
      </c>
      <c r="L56" s="220">
        <v>-92.03</v>
      </c>
      <c r="M56" s="223">
        <v>0.1215</v>
      </c>
      <c r="N56" s="220">
        <v>179.99</v>
      </c>
      <c r="AC56" s="213"/>
    </row>
    <row r="57" spans="1:29" ht="12.75" customHeight="1" x14ac:dyDescent="0.2">
      <c r="A57" s="6">
        <v>18.5</v>
      </c>
      <c r="B57" s="7"/>
      <c r="C57" s="223">
        <v>0.83650000000000002</v>
      </c>
      <c r="D57" s="220">
        <v>89.81</v>
      </c>
      <c r="E57" s="223">
        <v>0.22309999999999999</v>
      </c>
      <c r="F57" s="220">
        <v>88.98</v>
      </c>
      <c r="G57" s="223">
        <v>0.90690000000000004</v>
      </c>
      <c r="H57" s="220">
        <v>0.21</v>
      </c>
      <c r="I57" s="223">
        <v>0.32290000000000002</v>
      </c>
      <c r="J57" s="220">
        <v>-153.75</v>
      </c>
      <c r="K57" s="223">
        <v>0.62860000000000005</v>
      </c>
      <c r="L57" s="220">
        <v>-92.14</v>
      </c>
      <c r="M57" s="223">
        <v>0.1278</v>
      </c>
      <c r="N57" s="220">
        <v>179.9</v>
      </c>
      <c r="AC57" s="213"/>
    </row>
    <row r="58" spans="1:29" ht="12.75" customHeight="1" x14ac:dyDescent="0.2">
      <c r="A58" s="6">
        <v>18</v>
      </c>
      <c r="B58" s="7"/>
      <c r="C58" s="223">
        <v>0.82520000000000004</v>
      </c>
      <c r="D58" s="220">
        <v>89.8</v>
      </c>
      <c r="E58" s="223">
        <v>0.21970000000000001</v>
      </c>
      <c r="F58" s="220">
        <v>89.29</v>
      </c>
      <c r="G58" s="223">
        <v>0.89610000000000001</v>
      </c>
      <c r="H58" s="220">
        <v>0.25</v>
      </c>
      <c r="I58" s="223">
        <v>0.25130000000000002</v>
      </c>
      <c r="J58" s="220">
        <v>-146.85</v>
      </c>
      <c r="K58" s="223">
        <v>0.66059999999999997</v>
      </c>
      <c r="L58" s="220">
        <v>-92.27</v>
      </c>
      <c r="M58" s="223">
        <v>0.13420000000000001</v>
      </c>
      <c r="N58" s="220">
        <v>179.96</v>
      </c>
      <c r="AC58" s="213"/>
    </row>
    <row r="59" spans="1:29" ht="12.75" customHeight="1" x14ac:dyDescent="0.2">
      <c r="A59" s="6">
        <v>17</v>
      </c>
      <c r="B59" s="8"/>
      <c r="C59" s="223">
        <v>0.79830000000000001</v>
      </c>
      <c r="D59" s="220">
        <v>89.78</v>
      </c>
      <c r="E59" s="223">
        <v>0.2112</v>
      </c>
      <c r="F59" s="220">
        <v>89.66</v>
      </c>
      <c r="G59" s="223">
        <v>0.86929999999999996</v>
      </c>
      <c r="H59" s="220">
        <v>0.36</v>
      </c>
      <c r="I59" s="223">
        <v>0.15090000000000001</v>
      </c>
      <c r="J59" s="220">
        <v>-143.08000000000001</v>
      </c>
      <c r="K59" s="223">
        <v>0.73129999999999995</v>
      </c>
      <c r="L59" s="220">
        <v>-92.54</v>
      </c>
      <c r="M59" s="223">
        <v>0.1474</v>
      </c>
      <c r="N59" s="220">
        <v>-179.81</v>
      </c>
      <c r="AC59" s="213"/>
    </row>
    <row r="60" spans="1:29" ht="12.75" customHeight="1" x14ac:dyDescent="0.2">
      <c r="A60" s="6">
        <v>16</v>
      </c>
      <c r="B60" s="8"/>
      <c r="C60" s="223">
        <v>0.76429999999999998</v>
      </c>
      <c r="D60" s="220">
        <v>89.77</v>
      </c>
      <c r="E60" s="223">
        <v>0.20069999999999999</v>
      </c>
      <c r="F60" s="220">
        <v>89.83</v>
      </c>
      <c r="G60" s="223">
        <v>0.83330000000000004</v>
      </c>
      <c r="H60" s="220">
        <v>0.51</v>
      </c>
      <c r="I60" s="223">
        <v>8.9499999999999996E-2</v>
      </c>
      <c r="J60" s="220">
        <v>-151.78</v>
      </c>
      <c r="K60" s="223">
        <v>0.81140000000000001</v>
      </c>
      <c r="L60" s="220">
        <v>-92.85</v>
      </c>
      <c r="M60" s="223">
        <v>0.16120000000000001</v>
      </c>
      <c r="N60" s="220">
        <v>-179.59</v>
      </c>
      <c r="AC60" s="213"/>
    </row>
    <row r="61" spans="1:29" ht="12.75" customHeight="1" x14ac:dyDescent="0.2">
      <c r="A61" s="6">
        <v>15</v>
      </c>
      <c r="B61" s="8"/>
      <c r="C61" s="223">
        <v>0.7208</v>
      </c>
      <c r="D61" s="220">
        <v>89.8</v>
      </c>
      <c r="E61" s="223">
        <v>0.18759999999999999</v>
      </c>
      <c r="F61" s="220">
        <v>89.93</v>
      </c>
      <c r="G61" s="223">
        <v>0.78400000000000003</v>
      </c>
      <c r="H61" s="220">
        <v>0.71</v>
      </c>
      <c r="I61" s="223">
        <v>5.7000000000000002E-2</v>
      </c>
      <c r="J61" s="220">
        <v>179.7</v>
      </c>
      <c r="K61" s="223">
        <v>0.90129999999999999</v>
      </c>
      <c r="L61" s="220">
        <v>-93.19</v>
      </c>
      <c r="M61" s="223">
        <v>0.17560000000000001</v>
      </c>
      <c r="N61" s="220">
        <v>-179.38</v>
      </c>
      <c r="AC61" s="213"/>
    </row>
    <row r="62" spans="1:29" ht="12.75" customHeight="1" x14ac:dyDescent="0.2">
      <c r="A62" s="6">
        <v>14</v>
      </c>
      <c r="B62" s="8"/>
      <c r="C62" s="223">
        <v>0.66459999999999997</v>
      </c>
      <c r="D62" s="220">
        <v>89.91</v>
      </c>
      <c r="E62" s="223">
        <v>0.17119999999999999</v>
      </c>
      <c r="F62" s="220">
        <v>90.01</v>
      </c>
      <c r="G62" s="223">
        <v>0.71550000000000002</v>
      </c>
      <c r="H62" s="220">
        <v>0.94</v>
      </c>
      <c r="I62" s="223">
        <v>5.91E-2</v>
      </c>
      <c r="J62" s="220">
        <v>137.82</v>
      </c>
      <c r="K62" s="223">
        <v>0.99970000000000003</v>
      </c>
      <c r="L62" s="220">
        <v>-93.53</v>
      </c>
      <c r="M62" s="223">
        <v>0.18959999999999999</v>
      </c>
      <c r="N62" s="220">
        <v>-179.13</v>
      </c>
      <c r="AC62" s="213"/>
    </row>
    <row r="63" spans="1:29" ht="12.75" customHeight="1" x14ac:dyDescent="0.2">
      <c r="A63" s="6">
        <v>13</v>
      </c>
      <c r="B63" s="8"/>
      <c r="C63" s="223">
        <v>0.59150000000000003</v>
      </c>
      <c r="D63" s="220">
        <v>90.24</v>
      </c>
      <c r="E63" s="223">
        <v>0.15040000000000001</v>
      </c>
      <c r="F63" s="220">
        <v>90.15</v>
      </c>
      <c r="G63" s="223">
        <v>0.61960000000000004</v>
      </c>
      <c r="H63" s="220">
        <v>1.1000000000000001</v>
      </c>
      <c r="I63" s="223">
        <v>8.6099999999999996E-2</v>
      </c>
      <c r="J63" s="220">
        <v>113.7</v>
      </c>
      <c r="K63" s="223">
        <v>1.1015999999999999</v>
      </c>
      <c r="L63" s="220">
        <v>-93.78</v>
      </c>
      <c r="M63" s="223">
        <v>0.20150000000000001</v>
      </c>
      <c r="N63" s="220">
        <v>-178.83</v>
      </c>
      <c r="AC63" s="213"/>
    </row>
    <row r="64" spans="1:29" ht="12.75" customHeight="1" x14ac:dyDescent="0.2">
      <c r="A64" s="6">
        <v>12</v>
      </c>
      <c r="B64" s="8"/>
      <c r="C64" s="223">
        <v>0.49559999999999998</v>
      </c>
      <c r="D64" s="220">
        <v>91.06</v>
      </c>
      <c r="E64" s="223">
        <v>0.1246</v>
      </c>
      <c r="F64" s="220">
        <v>90.61</v>
      </c>
      <c r="G64" s="223">
        <v>0.48549999999999999</v>
      </c>
      <c r="H64" s="220">
        <v>0.73</v>
      </c>
      <c r="I64" s="223">
        <v>0.1234</v>
      </c>
      <c r="J64" s="220">
        <v>102.68</v>
      </c>
      <c r="K64" s="223">
        <v>1.1910000000000001</v>
      </c>
      <c r="L64" s="220">
        <v>-93.72</v>
      </c>
      <c r="M64" s="223">
        <v>0.20799999999999999</v>
      </c>
      <c r="N64" s="220">
        <v>-178.38</v>
      </c>
      <c r="AC64" s="213"/>
    </row>
    <row r="65" spans="1:29" ht="12.75" customHeight="1" x14ac:dyDescent="0.2">
      <c r="A65" s="6">
        <v>11</v>
      </c>
      <c r="B65" s="8"/>
      <c r="C65" s="223">
        <v>0.37019999999999997</v>
      </c>
      <c r="D65" s="220">
        <v>92.86</v>
      </c>
      <c r="E65" s="223">
        <v>9.2999999999999999E-2</v>
      </c>
      <c r="F65" s="220">
        <v>92.47</v>
      </c>
      <c r="G65" s="223">
        <v>0.3009</v>
      </c>
      <c r="H65" s="220">
        <v>-2.2999999999999998</v>
      </c>
      <c r="I65" s="223">
        <v>0.16839999999999999</v>
      </c>
      <c r="J65" s="220">
        <v>97.21</v>
      </c>
      <c r="K65" s="223">
        <v>1.226</v>
      </c>
      <c r="L65" s="220">
        <v>-93.12</v>
      </c>
      <c r="M65" s="223">
        <v>0.2031</v>
      </c>
      <c r="N65" s="220">
        <v>-177.64</v>
      </c>
      <c r="AC65" s="213"/>
    </row>
    <row r="66" spans="1:29" ht="12.75" customHeight="1" x14ac:dyDescent="0.2">
      <c r="A66" s="6">
        <v>10</v>
      </c>
      <c r="B66" s="8"/>
      <c r="C66" s="223">
        <v>0.216</v>
      </c>
      <c r="D66" s="220">
        <v>96.23</v>
      </c>
      <c r="E66" s="223">
        <v>5.6599999999999998E-2</v>
      </c>
      <c r="F66" s="220">
        <v>100.9</v>
      </c>
      <c r="G66" s="223">
        <v>7.4700000000000003E-2</v>
      </c>
      <c r="H66" s="220">
        <v>-51.68</v>
      </c>
      <c r="I66" s="223">
        <v>0.222</v>
      </c>
      <c r="J66" s="220">
        <v>95.73</v>
      </c>
      <c r="K66" s="223">
        <v>1.1155999999999999</v>
      </c>
      <c r="L66" s="220">
        <v>-92.41</v>
      </c>
      <c r="M66" s="223">
        <v>0.1777</v>
      </c>
      <c r="N66" s="220">
        <v>-176.14</v>
      </c>
      <c r="AC66" s="213"/>
    </row>
    <row r="67" spans="1:29" ht="12.75" customHeight="1" x14ac:dyDescent="0.2">
      <c r="A67" s="6">
        <v>9</v>
      </c>
      <c r="B67" s="8"/>
      <c r="C67" s="223">
        <v>6.1899999999999997E-2</v>
      </c>
      <c r="D67" s="220">
        <v>102.71</v>
      </c>
      <c r="E67" s="223">
        <v>2.6200000000000001E-2</v>
      </c>
      <c r="F67" s="220">
        <v>150.74</v>
      </c>
      <c r="G67" s="223">
        <v>0.38679999999999998</v>
      </c>
      <c r="H67" s="220">
        <v>-135.59</v>
      </c>
      <c r="I67" s="223">
        <v>0.27579999999999999</v>
      </c>
      <c r="J67" s="220">
        <v>100.99</v>
      </c>
      <c r="K67" s="223">
        <v>0.71850000000000003</v>
      </c>
      <c r="L67" s="220">
        <v>-96.62</v>
      </c>
      <c r="M67" s="223">
        <v>0.1211</v>
      </c>
      <c r="N67" s="220">
        <v>-171.47</v>
      </c>
      <c r="AC67" s="213"/>
    </row>
    <row r="68" spans="1:29" ht="12.75" customHeight="1" x14ac:dyDescent="0.2">
      <c r="A68" s="6">
        <v>8</v>
      </c>
      <c r="B68" s="9"/>
      <c r="C68" s="223">
        <v>1.03E-2</v>
      </c>
      <c r="D68" s="220">
        <v>-86.54</v>
      </c>
      <c r="E68" s="223">
        <v>3.7199999999999997E-2</v>
      </c>
      <c r="F68" s="220">
        <v>-136.28</v>
      </c>
      <c r="G68" s="223">
        <v>0.40970000000000001</v>
      </c>
      <c r="H68" s="220">
        <v>-89.04</v>
      </c>
      <c r="I68" s="223">
        <v>0.2656</v>
      </c>
      <c r="J68" s="220">
        <v>116.24</v>
      </c>
      <c r="K68" s="223">
        <v>0.54139999999999999</v>
      </c>
      <c r="L68" s="220">
        <v>-163.97</v>
      </c>
      <c r="M68" s="223">
        <v>3.7199999999999997E-2</v>
      </c>
      <c r="N68" s="220">
        <v>-133.36000000000001</v>
      </c>
      <c r="AC68" s="213"/>
    </row>
    <row r="69" spans="1:29" ht="12.75" customHeight="1" x14ac:dyDescent="0.2">
      <c r="A69" s="6">
        <v>7</v>
      </c>
      <c r="B69" s="9"/>
      <c r="C69" s="223">
        <v>1.9199999999999998E-2</v>
      </c>
      <c r="D69" s="220">
        <v>-164.96</v>
      </c>
      <c r="E69" s="223">
        <v>2.1100000000000001E-2</v>
      </c>
      <c r="F69" s="220">
        <v>-138.62</v>
      </c>
      <c r="G69" s="223">
        <v>8.0199999999999994E-2</v>
      </c>
      <c r="H69" s="220">
        <v>-115.92</v>
      </c>
      <c r="I69" s="223">
        <v>0.16619999999999999</v>
      </c>
      <c r="J69" s="220">
        <v>129.86000000000001</v>
      </c>
      <c r="K69" s="223">
        <v>0.46939999999999998</v>
      </c>
      <c r="L69" s="220">
        <v>-168.09</v>
      </c>
      <c r="M69" s="223">
        <v>5.0799999999999998E-2</v>
      </c>
      <c r="N69" s="220">
        <v>-5.27</v>
      </c>
      <c r="AC69" s="213"/>
    </row>
    <row r="70" spans="1:29" ht="12.75" customHeight="1" x14ac:dyDescent="0.2">
      <c r="A70" s="6">
        <v>6</v>
      </c>
      <c r="B70" s="9"/>
      <c r="C70" s="223">
        <v>3.09E-2</v>
      </c>
      <c r="D70" s="220">
        <v>-24.09</v>
      </c>
      <c r="E70" s="223">
        <v>2.1299999999999999E-2</v>
      </c>
      <c r="F70" s="220">
        <v>178.9</v>
      </c>
      <c r="G70" s="223">
        <v>9.1999999999999998E-3</v>
      </c>
      <c r="H70" s="220">
        <v>97.55</v>
      </c>
      <c r="I70" s="223">
        <v>6.2600000000000003E-2</v>
      </c>
      <c r="J70" s="220">
        <v>-164</v>
      </c>
      <c r="K70" s="223">
        <v>4.3700000000000003E-2</v>
      </c>
      <c r="L70" s="220">
        <v>59.94</v>
      </c>
      <c r="M70" s="223">
        <v>3.04E-2</v>
      </c>
      <c r="N70" s="220">
        <v>-135.16</v>
      </c>
      <c r="AC70" s="213"/>
    </row>
    <row r="71" spans="1:29" ht="12.75" customHeight="1" x14ac:dyDescent="0.2">
      <c r="A71" s="6">
        <v>5</v>
      </c>
      <c r="B71" s="9"/>
      <c r="C71" s="223">
        <v>3.09E-2</v>
      </c>
      <c r="D71" s="220">
        <v>149.47</v>
      </c>
      <c r="E71" s="223">
        <v>2.4500000000000001E-2</v>
      </c>
      <c r="F71" s="220">
        <v>52.45</v>
      </c>
      <c r="G71" s="223">
        <v>1.35E-2</v>
      </c>
      <c r="H71" s="220">
        <v>-167.78</v>
      </c>
      <c r="I71" s="223">
        <v>8.1699999999999995E-2</v>
      </c>
      <c r="J71" s="220">
        <v>4.63</v>
      </c>
      <c r="K71" s="223">
        <v>3.3500000000000002E-2</v>
      </c>
      <c r="L71" s="220">
        <v>-157.5</v>
      </c>
      <c r="M71" s="223">
        <v>4.19E-2</v>
      </c>
      <c r="N71" s="220">
        <v>11.98</v>
      </c>
      <c r="AC71" s="213"/>
    </row>
    <row r="72" spans="1:29" ht="12.75" customHeight="1" x14ac:dyDescent="0.2">
      <c r="A72" s="6">
        <v>4.5</v>
      </c>
      <c r="B72" s="9"/>
      <c r="C72" s="223">
        <v>2.6599999999999999E-2</v>
      </c>
      <c r="D72" s="220">
        <v>42.06</v>
      </c>
      <c r="E72" s="223">
        <v>1.8499999999999999E-2</v>
      </c>
      <c r="F72" s="220">
        <v>66.87</v>
      </c>
      <c r="G72" s="223">
        <v>4.5999999999999999E-3</v>
      </c>
      <c r="H72" s="220">
        <v>38.26</v>
      </c>
      <c r="I72" s="223">
        <v>4.7399999999999998E-2</v>
      </c>
      <c r="J72" s="220">
        <v>35.92</v>
      </c>
      <c r="K72" s="223">
        <v>2.0400000000000001E-2</v>
      </c>
      <c r="L72" s="220">
        <v>42.32</v>
      </c>
      <c r="M72" s="223">
        <v>1.7100000000000001E-2</v>
      </c>
      <c r="N72" s="220">
        <v>176.06</v>
      </c>
      <c r="AC72" s="213"/>
    </row>
    <row r="73" spans="1:29" ht="12.75" customHeight="1" x14ac:dyDescent="0.2">
      <c r="A73" s="6">
        <v>4</v>
      </c>
      <c r="B73" s="9"/>
      <c r="C73" s="223">
        <v>1.4500000000000001E-2</v>
      </c>
      <c r="D73" s="220">
        <v>-168.89</v>
      </c>
      <c r="E73" s="223">
        <v>1.34E-2</v>
      </c>
      <c r="F73" s="220">
        <v>-123.71</v>
      </c>
      <c r="G73" s="223">
        <v>2.3E-3</v>
      </c>
      <c r="H73" s="220">
        <v>-157.72999999999999</v>
      </c>
      <c r="I73" s="223">
        <v>2.2100000000000002E-2</v>
      </c>
      <c r="J73" s="220">
        <v>-154.47999999999999</v>
      </c>
      <c r="K73" s="223">
        <v>1.0699999999999999E-2</v>
      </c>
      <c r="L73" s="220">
        <v>168.06</v>
      </c>
      <c r="M73" s="223">
        <v>1.06E-2</v>
      </c>
      <c r="N73" s="220">
        <v>-161.66999999999999</v>
      </c>
      <c r="AC73" s="213"/>
    </row>
    <row r="74" spans="1:29" ht="12.75" customHeight="1" x14ac:dyDescent="0.2">
      <c r="A74" s="6">
        <v>3.5</v>
      </c>
      <c r="B74" s="9"/>
      <c r="C74" s="223">
        <v>5.4999999999999997E-3</v>
      </c>
      <c r="D74" s="220">
        <v>-150.6</v>
      </c>
      <c r="E74" s="223">
        <v>2.3E-3</v>
      </c>
      <c r="F74" s="220">
        <v>39.69</v>
      </c>
      <c r="G74" s="223">
        <v>8.9999999999999998E-4</v>
      </c>
      <c r="H74" s="220">
        <v>38.08</v>
      </c>
      <c r="I74" s="223">
        <v>1.06E-2</v>
      </c>
      <c r="J74" s="220">
        <v>-139.47</v>
      </c>
      <c r="K74" s="223">
        <v>4.1000000000000003E-3</v>
      </c>
      <c r="L74" s="220">
        <v>-136.41999999999999</v>
      </c>
      <c r="M74" s="223">
        <v>5.8999999999999999E-3</v>
      </c>
      <c r="N74" s="220">
        <v>19.88</v>
      </c>
      <c r="AC74" s="213"/>
    </row>
    <row r="75" spans="1:29" ht="12.75" customHeight="1" x14ac:dyDescent="0.2">
      <c r="A75" s="6">
        <v>3</v>
      </c>
      <c r="B75" s="9"/>
      <c r="C75" s="223">
        <v>8.5000000000000006E-3</v>
      </c>
      <c r="D75" s="220">
        <v>75.27</v>
      </c>
      <c r="E75" s="223">
        <v>2.5999999999999999E-3</v>
      </c>
      <c r="F75" s="220">
        <v>91.69</v>
      </c>
      <c r="G75" s="223">
        <v>6.9999999999999999E-4</v>
      </c>
      <c r="H75" s="220">
        <v>81.81</v>
      </c>
      <c r="I75" s="223">
        <v>4.7999999999999996E-3</v>
      </c>
      <c r="J75" s="220">
        <v>81.459999999999994</v>
      </c>
      <c r="K75" s="223">
        <v>1.4E-3</v>
      </c>
      <c r="L75" s="220">
        <v>45.85</v>
      </c>
      <c r="M75" s="223">
        <v>2.3E-3</v>
      </c>
      <c r="N75" s="220">
        <v>-120.51</v>
      </c>
      <c r="AC75" s="213"/>
    </row>
    <row r="76" spans="1:29" ht="12.75" customHeight="1" x14ac:dyDescent="0.2">
      <c r="A76" s="6">
        <v>0</v>
      </c>
      <c r="B76" s="9"/>
      <c r="C76" s="223">
        <v>0</v>
      </c>
      <c r="D76" s="220">
        <v>0</v>
      </c>
      <c r="E76" s="223">
        <v>0</v>
      </c>
      <c r="F76" s="220">
        <v>0</v>
      </c>
      <c r="G76" s="223">
        <v>0</v>
      </c>
      <c r="H76" s="220">
        <v>0</v>
      </c>
      <c r="I76" s="223">
        <v>0</v>
      </c>
      <c r="J76" s="220">
        <v>0</v>
      </c>
      <c r="K76" s="223">
        <v>0</v>
      </c>
      <c r="L76" s="220">
        <v>0</v>
      </c>
      <c r="M76" s="223">
        <v>0</v>
      </c>
      <c r="N76" s="220">
        <v>0</v>
      </c>
    </row>
    <row r="77" spans="1:29" ht="12.75" customHeight="1" x14ac:dyDescent="0.2">
      <c r="A77" s="6">
        <v>0</v>
      </c>
      <c r="B77" s="9"/>
      <c r="C77" s="223">
        <v>0</v>
      </c>
      <c r="D77" s="220">
        <v>0</v>
      </c>
      <c r="E77" s="223">
        <v>0</v>
      </c>
      <c r="F77" s="220">
        <v>0</v>
      </c>
      <c r="G77" s="223">
        <v>0</v>
      </c>
      <c r="H77" s="220">
        <v>0</v>
      </c>
      <c r="I77" s="223">
        <v>0</v>
      </c>
      <c r="J77" s="220">
        <v>0</v>
      </c>
      <c r="K77" s="223">
        <v>0</v>
      </c>
      <c r="L77" s="220">
        <v>0</v>
      </c>
      <c r="M77" s="223">
        <v>0</v>
      </c>
      <c r="N77" s="220">
        <v>0</v>
      </c>
    </row>
    <row r="78" spans="1:29" ht="12.75" customHeight="1" x14ac:dyDescent="0.2">
      <c r="A78" s="6">
        <v>0</v>
      </c>
      <c r="B78" s="9"/>
      <c r="C78" s="223">
        <v>0</v>
      </c>
      <c r="D78" s="220">
        <v>0</v>
      </c>
      <c r="E78" s="223">
        <v>0</v>
      </c>
      <c r="F78" s="220">
        <v>0</v>
      </c>
      <c r="G78" s="223">
        <v>0</v>
      </c>
      <c r="H78" s="220">
        <v>0</v>
      </c>
      <c r="I78" s="223">
        <v>0</v>
      </c>
      <c r="J78" s="220">
        <v>0</v>
      </c>
      <c r="K78" s="223">
        <v>0</v>
      </c>
      <c r="L78" s="220">
        <v>0</v>
      </c>
      <c r="M78" s="223">
        <v>0</v>
      </c>
      <c r="N78" s="220">
        <v>0</v>
      </c>
    </row>
    <row r="79" spans="1:29" ht="12.75" customHeight="1" x14ac:dyDescent="0.2">
      <c r="A79" s="6">
        <v>0</v>
      </c>
      <c r="B79" s="9"/>
      <c r="C79" s="223">
        <v>0</v>
      </c>
      <c r="D79" s="220">
        <v>0</v>
      </c>
      <c r="E79" s="223">
        <v>0</v>
      </c>
      <c r="F79" s="220">
        <v>0</v>
      </c>
      <c r="G79" s="223">
        <v>0</v>
      </c>
      <c r="H79" s="220">
        <v>0</v>
      </c>
      <c r="I79" s="223">
        <v>0</v>
      </c>
      <c r="J79" s="220">
        <v>0</v>
      </c>
      <c r="K79" s="223">
        <v>0</v>
      </c>
      <c r="L79" s="220">
        <v>0</v>
      </c>
      <c r="M79" s="223">
        <v>0</v>
      </c>
      <c r="N79" s="220">
        <v>0</v>
      </c>
    </row>
    <row r="80" spans="1:29" ht="12.75" customHeight="1" thickBot="1" x14ac:dyDescent="0.25">
      <c r="A80" s="10">
        <v>0</v>
      </c>
      <c r="B80" s="11"/>
      <c r="C80" s="12">
        <v>0</v>
      </c>
      <c r="D80" s="13">
        <v>0</v>
      </c>
      <c r="E80" s="12">
        <v>0</v>
      </c>
      <c r="F80" s="13">
        <v>0</v>
      </c>
      <c r="G80" s="12">
        <v>0</v>
      </c>
      <c r="H80" s="13">
        <v>0</v>
      </c>
      <c r="I80" s="12">
        <v>0</v>
      </c>
      <c r="J80" s="13">
        <v>0</v>
      </c>
      <c r="K80" s="12">
        <v>0</v>
      </c>
      <c r="L80" s="13">
        <v>0</v>
      </c>
      <c r="M80" s="12">
        <v>0</v>
      </c>
      <c r="N80" s="13">
        <v>0</v>
      </c>
    </row>
    <row r="81" spans="1:29" ht="20.100000000000001" customHeight="1" x14ac:dyDescent="0.25">
      <c r="A81" s="395" t="str">
        <f>A41</f>
        <v>Paragon DPDS3</v>
      </c>
      <c r="B81" s="395"/>
      <c r="C81" s="395"/>
      <c r="D81" s="395"/>
      <c r="E81" s="395"/>
      <c r="F81" s="395"/>
      <c r="G81" s="395"/>
      <c r="H81" s="395"/>
      <c r="I81" s="395"/>
      <c r="J81" s="395"/>
      <c r="K81" s="395"/>
      <c r="L81" s="395"/>
      <c r="M81" s="395"/>
      <c r="N81" s="395"/>
    </row>
    <row r="82" spans="1:29" ht="20.100000000000001" customHeight="1" thickBot="1" x14ac:dyDescent="0.3">
      <c r="A82" s="396" t="s">
        <v>5</v>
      </c>
      <c r="B82" s="396"/>
      <c r="C82" s="396"/>
      <c r="D82" s="396"/>
      <c r="E82" s="396"/>
      <c r="F82" s="396"/>
      <c r="G82" s="396"/>
      <c r="H82" s="396"/>
      <c r="I82" s="396"/>
      <c r="J82" s="396"/>
      <c r="K82" s="396"/>
      <c r="L82" s="396"/>
      <c r="M82" s="396"/>
      <c r="N82" s="396"/>
    </row>
    <row r="83" spans="1:29" ht="12.75" customHeight="1" x14ac:dyDescent="0.2">
      <c r="A83" s="397" t="s">
        <v>12</v>
      </c>
      <c r="B83" s="399" t="s">
        <v>13</v>
      </c>
      <c r="C83" s="401" t="s">
        <v>6</v>
      </c>
      <c r="D83" s="402"/>
      <c r="E83" s="401" t="s">
        <v>7</v>
      </c>
      <c r="F83" s="402"/>
      <c r="G83" s="401" t="s">
        <v>8</v>
      </c>
      <c r="H83" s="402"/>
      <c r="I83" s="401" t="s">
        <v>9</v>
      </c>
      <c r="J83" s="402"/>
      <c r="K83" s="401" t="s">
        <v>10</v>
      </c>
      <c r="L83" s="402"/>
      <c r="M83" s="401" t="s">
        <v>11</v>
      </c>
      <c r="N83" s="402"/>
    </row>
    <row r="84" spans="1:29" ht="12.75" customHeight="1" x14ac:dyDescent="0.2">
      <c r="A84" s="398"/>
      <c r="B84" s="400"/>
      <c r="C84" s="222" t="s">
        <v>0</v>
      </c>
      <c r="D84" s="217" t="s">
        <v>1</v>
      </c>
      <c r="E84" s="222" t="s">
        <v>0</v>
      </c>
      <c r="F84" s="217" t="s">
        <v>1</v>
      </c>
      <c r="G84" s="222" t="s">
        <v>0</v>
      </c>
      <c r="H84" s="217" t="s">
        <v>1</v>
      </c>
      <c r="I84" s="222" t="s">
        <v>0</v>
      </c>
      <c r="J84" s="217" t="s">
        <v>1</v>
      </c>
      <c r="K84" s="222" t="s">
        <v>0</v>
      </c>
      <c r="L84" s="217" t="s">
        <v>1</v>
      </c>
      <c r="M84" s="222" t="s">
        <v>0</v>
      </c>
      <c r="N84" s="217" t="s">
        <v>1</v>
      </c>
    </row>
    <row r="85" spans="1:29" ht="12.75" customHeight="1" thickBot="1" x14ac:dyDescent="0.25">
      <c r="A85" s="2" t="s">
        <v>14</v>
      </c>
      <c r="B85" s="3" t="s">
        <v>15</v>
      </c>
      <c r="C85" s="2" t="s">
        <v>19</v>
      </c>
      <c r="D85" s="3" t="s">
        <v>15</v>
      </c>
      <c r="E85" s="2" t="s">
        <v>19</v>
      </c>
      <c r="F85" s="3" t="s">
        <v>15</v>
      </c>
      <c r="G85" s="2" t="s">
        <v>19</v>
      </c>
      <c r="H85" s="3" t="s">
        <v>15</v>
      </c>
      <c r="I85" s="2" t="s">
        <v>20</v>
      </c>
      <c r="J85" s="3" t="s">
        <v>15</v>
      </c>
      <c r="K85" s="2" t="s">
        <v>20</v>
      </c>
      <c r="L85" s="3" t="s">
        <v>15</v>
      </c>
      <c r="M85" s="2" t="s">
        <v>20</v>
      </c>
      <c r="N85" s="3" t="s">
        <v>15</v>
      </c>
    </row>
    <row r="86" spans="1:29" ht="12.75" customHeight="1" x14ac:dyDescent="0.2">
      <c r="A86" s="4">
        <v>30</v>
      </c>
      <c r="B86" s="5">
        <v>30</v>
      </c>
      <c r="C86" s="223">
        <v>0.84</v>
      </c>
      <c r="D86" s="220">
        <v>89.96</v>
      </c>
      <c r="E86" s="223">
        <v>0.48039999999999999</v>
      </c>
      <c r="F86" s="220">
        <v>90.04</v>
      </c>
      <c r="G86" s="223">
        <v>0.98950000000000005</v>
      </c>
      <c r="H86" s="220">
        <v>0.01</v>
      </c>
      <c r="I86" s="223">
        <v>0.17510000000000001</v>
      </c>
      <c r="J86" s="220">
        <v>96.03</v>
      </c>
      <c r="K86" s="223">
        <v>0.22220000000000001</v>
      </c>
      <c r="L86" s="220">
        <v>-90.73</v>
      </c>
      <c r="M86" s="223">
        <v>9.3600000000000003E-2</v>
      </c>
      <c r="N86" s="220">
        <v>-179.2</v>
      </c>
      <c r="AC86" s="213"/>
    </row>
    <row r="87" spans="1:29" ht="12.75" customHeight="1" x14ac:dyDescent="0.2">
      <c r="A87" s="6">
        <v>28</v>
      </c>
      <c r="B87" s="7"/>
      <c r="C87" s="223">
        <v>0.8347</v>
      </c>
      <c r="D87" s="220">
        <v>89.95</v>
      </c>
      <c r="E87" s="223">
        <v>0.47639999999999999</v>
      </c>
      <c r="F87" s="220">
        <v>90.03</v>
      </c>
      <c r="G87" s="223">
        <v>0.98609999999999998</v>
      </c>
      <c r="H87" s="220">
        <v>0.01</v>
      </c>
      <c r="I87" s="223">
        <v>0.2165</v>
      </c>
      <c r="J87" s="220">
        <v>97.31</v>
      </c>
      <c r="K87" s="223">
        <v>0.25480000000000003</v>
      </c>
      <c r="L87" s="220">
        <v>-90.84</v>
      </c>
      <c r="M87" s="223">
        <v>0.10680000000000001</v>
      </c>
      <c r="N87" s="220">
        <v>-179.12</v>
      </c>
      <c r="AC87" s="213"/>
    </row>
    <row r="88" spans="1:29" ht="12.75" customHeight="1" x14ac:dyDescent="0.2">
      <c r="A88" s="6">
        <v>26</v>
      </c>
      <c r="B88" s="7"/>
      <c r="C88" s="223">
        <v>0.8276</v>
      </c>
      <c r="D88" s="220">
        <v>89.94</v>
      </c>
      <c r="E88" s="223">
        <v>0.47089999999999999</v>
      </c>
      <c r="F88" s="220">
        <v>90.01</v>
      </c>
      <c r="G88" s="223">
        <v>0.98129999999999995</v>
      </c>
      <c r="H88" s="220">
        <v>0.02</v>
      </c>
      <c r="I88" s="223">
        <v>0.2797</v>
      </c>
      <c r="J88" s="220">
        <v>99.51</v>
      </c>
      <c r="K88" s="223">
        <v>0.29509999999999997</v>
      </c>
      <c r="L88" s="220">
        <v>-90.97</v>
      </c>
      <c r="M88" s="223">
        <v>0.12280000000000001</v>
      </c>
      <c r="N88" s="220">
        <v>-179</v>
      </c>
      <c r="AC88" s="213"/>
    </row>
    <row r="89" spans="1:29" ht="12.75" customHeight="1" x14ac:dyDescent="0.2">
      <c r="A89" s="6">
        <v>24</v>
      </c>
      <c r="B89" s="7"/>
      <c r="C89" s="223">
        <v>0.81789999999999996</v>
      </c>
      <c r="D89" s="220">
        <v>89.92</v>
      </c>
      <c r="E89" s="223">
        <v>0.46310000000000001</v>
      </c>
      <c r="F89" s="220">
        <v>89.93</v>
      </c>
      <c r="G89" s="223">
        <v>0.97430000000000005</v>
      </c>
      <c r="H89" s="220">
        <v>0.04</v>
      </c>
      <c r="I89" s="223">
        <v>0.38969999999999999</v>
      </c>
      <c r="J89" s="220">
        <v>103.99</v>
      </c>
      <c r="K89" s="223">
        <v>0.34549999999999997</v>
      </c>
      <c r="L89" s="220">
        <v>-91.15</v>
      </c>
      <c r="M89" s="223">
        <v>0.14249999999999999</v>
      </c>
      <c r="N89" s="220">
        <v>-178.81</v>
      </c>
      <c r="AC89" s="213"/>
    </row>
    <row r="90" spans="1:29" ht="12.75" customHeight="1" x14ac:dyDescent="0.2">
      <c r="A90" s="6">
        <v>23</v>
      </c>
      <c r="B90" s="7"/>
      <c r="C90" s="223">
        <v>0.81169999999999998</v>
      </c>
      <c r="D90" s="220">
        <v>89.91</v>
      </c>
      <c r="E90" s="223">
        <v>0.45789999999999997</v>
      </c>
      <c r="F90" s="220">
        <v>89.83</v>
      </c>
      <c r="G90" s="223">
        <v>0.96950000000000003</v>
      </c>
      <c r="H90" s="220">
        <v>0.05</v>
      </c>
      <c r="I90" s="223">
        <v>0.48199999999999998</v>
      </c>
      <c r="J90" s="220">
        <v>108.33</v>
      </c>
      <c r="K90" s="223">
        <v>0.37559999999999999</v>
      </c>
      <c r="L90" s="220">
        <v>-91.26</v>
      </c>
      <c r="M90" s="223">
        <v>0.15379999999999999</v>
      </c>
      <c r="N90" s="220">
        <v>-178.66</v>
      </c>
      <c r="AC90" s="213"/>
    </row>
    <row r="91" spans="1:29" ht="12.75" customHeight="1" x14ac:dyDescent="0.2">
      <c r="A91" s="6">
        <v>22</v>
      </c>
      <c r="B91" s="7"/>
      <c r="C91" s="223">
        <v>0.80430000000000001</v>
      </c>
      <c r="D91" s="220">
        <v>89.9</v>
      </c>
      <c r="E91" s="223">
        <v>0.45150000000000001</v>
      </c>
      <c r="F91" s="220">
        <v>89.59</v>
      </c>
      <c r="G91" s="223">
        <v>0.96360000000000001</v>
      </c>
      <c r="H91" s="220">
        <v>0.06</v>
      </c>
      <c r="I91" s="223">
        <v>0.62429999999999997</v>
      </c>
      <c r="J91" s="220">
        <v>116.01</v>
      </c>
      <c r="K91" s="223">
        <v>0.40960000000000002</v>
      </c>
      <c r="L91" s="220">
        <v>-91.38</v>
      </c>
      <c r="M91" s="223">
        <v>0.1661</v>
      </c>
      <c r="N91" s="220">
        <v>-178.47</v>
      </c>
      <c r="AC91" s="213"/>
    </row>
    <row r="92" spans="1:29" ht="12.75" customHeight="1" x14ac:dyDescent="0.2">
      <c r="A92" s="6">
        <v>21</v>
      </c>
      <c r="B92" s="7"/>
      <c r="C92" s="223">
        <v>0.79530000000000001</v>
      </c>
      <c r="D92" s="220">
        <v>89.88</v>
      </c>
      <c r="E92" s="223">
        <v>0.4446</v>
      </c>
      <c r="F92" s="220">
        <v>89.02</v>
      </c>
      <c r="G92" s="223">
        <v>0.95609999999999995</v>
      </c>
      <c r="H92" s="220">
        <v>0.08</v>
      </c>
      <c r="I92" s="223">
        <v>0.84530000000000005</v>
      </c>
      <c r="J92" s="220">
        <v>131.31</v>
      </c>
      <c r="K92" s="223">
        <v>0.44819999999999999</v>
      </c>
      <c r="L92" s="220">
        <v>-91.52</v>
      </c>
      <c r="M92" s="223">
        <v>0.17879999999999999</v>
      </c>
      <c r="N92" s="220">
        <v>-178.37</v>
      </c>
      <c r="AC92" s="213"/>
    </row>
    <row r="93" spans="1:29" ht="12.75" customHeight="1" x14ac:dyDescent="0.2">
      <c r="A93" s="6">
        <v>20.5</v>
      </c>
      <c r="B93" s="7"/>
      <c r="C93" s="223">
        <v>0.79020000000000001</v>
      </c>
      <c r="D93" s="220">
        <v>89.87</v>
      </c>
      <c r="E93" s="223">
        <v>0.44240000000000002</v>
      </c>
      <c r="F93" s="220">
        <v>88.54</v>
      </c>
      <c r="G93" s="223">
        <v>0.95169999999999999</v>
      </c>
      <c r="H93" s="220">
        <v>0.09</v>
      </c>
      <c r="I93" s="223">
        <v>0.97170000000000001</v>
      </c>
      <c r="J93" s="220">
        <v>144.29</v>
      </c>
      <c r="K93" s="223">
        <v>0.46949999999999997</v>
      </c>
      <c r="L93" s="220">
        <v>-91.6</v>
      </c>
      <c r="M93" s="223">
        <v>0.1852</v>
      </c>
      <c r="N93" s="220">
        <v>-178.55</v>
      </c>
      <c r="AC93" s="213"/>
    </row>
    <row r="94" spans="1:29" ht="12.75" customHeight="1" x14ac:dyDescent="0.2">
      <c r="A94" s="6">
        <v>20</v>
      </c>
      <c r="B94" s="7"/>
      <c r="C94" s="223">
        <v>0.78449999999999998</v>
      </c>
      <c r="D94" s="220">
        <v>89.87</v>
      </c>
      <c r="E94" s="223">
        <v>0.4425</v>
      </c>
      <c r="F94" s="220">
        <v>88.11</v>
      </c>
      <c r="G94" s="223">
        <v>0.94669999999999999</v>
      </c>
      <c r="H94" s="220">
        <v>0.11</v>
      </c>
      <c r="I94" s="223">
        <v>1.0486</v>
      </c>
      <c r="J94" s="220">
        <v>161.6</v>
      </c>
      <c r="K94" s="223">
        <v>0.4924</v>
      </c>
      <c r="L94" s="220">
        <v>-91.69</v>
      </c>
      <c r="M94" s="223">
        <v>0.19220000000000001</v>
      </c>
      <c r="N94" s="220">
        <v>-179.07</v>
      </c>
      <c r="AC94" s="213"/>
    </row>
    <row r="95" spans="1:29" ht="12.75" customHeight="1" x14ac:dyDescent="0.2">
      <c r="A95" s="6">
        <v>19.5</v>
      </c>
      <c r="B95" s="7"/>
      <c r="C95" s="223">
        <v>0.77810000000000001</v>
      </c>
      <c r="D95" s="220">
        <v>89.86</v>
      </c>
      <c r="E95" s="223">
        <v>0.44400000000000001</v>
      </c>
      <c r="F95" s="220">
        <v>88.08</v>
      </c>
      <c r="G95" s="223">
        <v>0.94099999999999995</v>
      </c>
      <c r="H95" s="220">
        <v>0.13</v>
      </c>
      <c r="I95" s="223">
        <v>1.0062</v>
      </c>
      <c r="J95" s="220">
        <v>-179.18</v>
      </c>
      <c r="K95" s="223">
        <v>0.51680000000000004</v>
      </c>
      <c r="L95" s="220">
        <v>-91.78</v>
      </c>
      <c r="M95" s="223">
        <v>0.2011</v>
      </c>
      <c r="N95" s="220">
        <v>-179.77</v>
      </c>
      <c r="AC95" s="213"/>
    </row>
    <row r="96" spans="1:29" ht="12.75" customHeight="1" x14ac:dyDescent="0.2">
      <c r="A96" s="6">
        <v>19</v>
      </c>
      <c r="B96" s="7"/>
      <c r="C96" s="223">
        <v>0.77110000000000001</v>
      </c>
      <c r="D96" s="220">
        <v>89.85</v>
      </c>
      <c r="E96" s="223">
        <v>0.44340000000000002</v>
      </c>
      <c r="F96" s="220">
        <v>88.45</v>
      </c>
      <c r="G96" s="223">
        <v>0.9345</v>
      </c>
      <c r="H96" s="220">
        <v>0.15</v>
      </c>
      <c r="I96" s="223">
        <v>0.86009999999999998</v>
      </c>
      <c r="J96" s="220">
        <v>-162.52000000000001</v>
      </c>
      <c r="K96" s="223">
        <v>0.54300000000000004</v>
      </c>
      <c r="L96" s="220">
        <v>-91.88</v>
      </c>
      <c r="M96" s="223">
        <v>0.21190000000000001</v>
      </c>
      <c r="N96" s="220">
        <v>179.78</v>
      </c>
      <c r="AC96" s="213"/>
    </row>
    <row r="97" spans="1:29" ht="12.75" customHeight="1" x14ac:dyDescent="0.2">
      <c r="A97" s="6">
        <v>18.5</v>
      </c>
      <c r="B97" s="7"/>
      <c r="C97" s="223">
        <v>0.76329999999999998</v>
      </c>
      <c r="D97" s="220">
        <v>89.84</v>
      </c>
      <c r="E97" s="223">
        <v>0.43980000000000002</v>
      </c>
      <c r="F97" s="220">
        <v>88.88</v>
      </c>
      <c r="G97" s="223">
        <v>0.92710000000000004</v>
      </c>
      <c r="H97" s="220">
        <v>0.18</v>
      </c>
      <c r="I97" s="223">
        <v>0.69120000000000004</v>
      </c>
      <c r="J97" s="220">
        <v>-150.63999999999999</v>
      </c>
      <c r="K97" s="223">
        <v>0.57099999999999995</v>
      </c>
      <c r="L97" s="220">
        <v>-91.98</v>
      </c>
      <c r="M97" s="223">
        <v>0.22339999999999999</v>
      </c>
      <c r="N97" s="220">
        <v>179.68</v>
      </c>
      <c r="AC97" s="213"/>
    </row>
    <row r="98" spans="1:29" ht="12.75" customHeight="1" x14ac:dyDescent="0.2">
      <c r="A98" s="6">
        <v>18</v>
      </c>
      <c r="B98" s="7"/>
      <c r="C98" s="223">
        <v>0.75460000000000005</v>
      </c>
      <c r="D98" s="220">
        <v>89.83</v>
      </c>
      <c r="E98" s="223">
        <v>0.43409999999999999</v>
      </c>
      <c r="F98" s="220">
        <v>89.22</v>
      </c>
      <c r="G98" s="223">
        <v>0.91859999999999997</v>
      </c>
      <c r="H98" s="220">
        <v>0.21</v>
      </c>
      <c r="I98" s="223">
        <v>0.54530000000000001</v>
      </c>
      <c r="J98" s="220">
        <v>-143.08000000000001</v>
      </c>
      <c r="K98" s="223">
        <v>0.60109999999999997</v>
      </c>
      <c r="L98" s="220">
        <v>-92.09</v>
      </c>
      <c r="M98" s="223">
        <v>0.23519999999999999</v>
      </c>
      <c r="N98" s="220">
        <v>179.75</v>
      </c>
      <c r="AC98" s="213"/>
    </row>
    <row r="99" spans="1:29" ht="12.75" customHeight="1" x14ac:dyDescent="0.2">
      <c r="A99" s="6">
        <v>17</v>
      </c>
      <c r="B99" s="8"/>
      <c r="C99" s="223">
        <v>0.7339</v>
      </c>
      <c r="D99" s="220">
        <v>89.81</v>
      </c>
      <c r="E99" s="223">
        <v>0.41949999999999998</v>
      </c>
      <c r="F99" s="220">
        <v>89.6</v>
      </c>
      <c r="G99" s="223">
        <v>0.89759999999999995</v>
      </c>
      <c r="H99" s="220">
        <v>0.3</v>
      </c>
      <c r="I99" s="223">
        <v>0.3397</v>
      </c>
      <c r="J99" s="220">
        <v>-137.02000000000001</v>
      </c>
      <c r="K99" s="223">
        <v>0.66790000000000005</v>
      </c>
      <c r="L99" s="220">
        <v>-92.34</v>
      </c>
      <c r="M99" s="223">
        <v>0.25950000000000001</v>
      </c>
      <c r="N99" s="220">
        <v>-180</v>
      </c>
      <c r="AC99" s="213"/>
    </row>
    <row r="100" spans="1:29" ht="12.75" customHeight="1" x14ac:dyDescent="0.2">
      <c r="A100" s="6">
        <v>16</v>
      </c>
      <c r="B100" s="8"/>
      <c r="C100" s="223">
        <v>0.7077</v>
      </c>
      <c r="D100" s="220">
        <v>89.8</v>
      </c>
      <c r="E100" s="223">
        <v>0.40139999999999998</v>
      </c>
      <c r="F100" s="220">
        <v>89.78</v>
      </c>
      <c r="G100" s="223">
        <v>0.86919999999999997</v>
      </c>
      <c r="H100" s="220">
        <v>0.43</v>
      </c>
      <c r="I100" s="223">
        <v>0.21029999999999999</v>
      </c>
      <c r="J100" s="220">
        <v>-140.38999999999999</v>
      </c>
      <c r="K100" s="223">
        <v>0.745</v>
      </c>
      <c r="L100" s="220">
        <v>-92.62</v>
      </c>
      <c r="M100" s="223">
        <v>0.28539999999999999</v>
      </c>
      <c r="N100" s="220">
        <v>-179.76</v>
      </c>
      <c r="AC100" s="213"/>
    </row>
    <row r="101" spans="1:29" ht="12.75" customHeight="1" x14ac:dyDescent="0.2">
      <c r="A101" s="6">
        <v>15</v>
      </c>
      <c r="B101" s="8"/>
      <c r="C101" s="223">
        <v>0.67410000000000003</v>
      </c>
      <c r="D101" s="220">
        <v>89.81</v>
      </c>
      <c r="E101" s="223">
        <v>0.37909999999999999</v>
      </c>
      <c r="F101" s="220">
        <v>89.87</v>
      </c>
      <c r="G101" s="223">
        <v>0.83020000000000005</v>
      </c>
      <c r="H101" s="220">
        <v>0.61</v>
      </c>
      <c r="I101" s="223">
        <v>0.1275</v>
      </c>
      <c r="J101" s="220">
        <v>-156.97999999999999</v>
      </c>
      <c r="K101" s="223">
        <v>0.8337</v>
      </c>
      <c r="L101" s="220">
        <v>-92.94</v>
      </c>
      <c r="M101" s="223">
        <v>0.31290000000000001</v>
      </c>
      <c r="N101" s="220">
        <v>-179.53</v>
      </c>
      <c r="AC101" s="213"/>
    </row>
    <row r="102" spans="1:29" ht="12.75" customHeight="1" x14ac:dyDescent="0.2">
      <c r="A102" s="6">
        <v>14</v>
      </c>
      <c r="B102" s="8"/>
      <c r="C102" s="223">
        <v>0.63080000000000003</v>
      </c>
      <c r="D102" s="220">
        <v>89.9</v>
      </c>
      <c r="E102" s="223">
        <v>0.35099999999999998</v>
      </c>
      <c r="F102" s="220">
        <v>89.92</v>
      </c>
      <c r="G102" s="223">
        <v>0.77569999999999995</v>
      </c>
      <c r="H102" s="220">
        <v>0.84</v>
      </c>
      <c r="I102" s="223">
        <v>9.5100000000000004E-2</v>
      </c>
      <c r="J102" s="220">
        <v>163.93</v>
      </c>
      <c r="K102" s="223">
        <v>0.93479999999999996</v>
      </c>
      <c r="L102" s="220">
        <v>-93.25</v>
      </c>
      <c r="M102" s="223">
        <v>0.3412</v>
      </c>
      <c r="N102" s="220">
        <v>-179.3</v>
      </c>
      <c r="AC102" s="213"/>
    </row>
    <row r="103" spans="1:29" ht="12.75" customHeight="1" x14ac:dyDescent="0.2">
      <c r="A103" s="6">
        <v>13</v>
      </c>
      <c r="B103" s="8"/>
      <c r="C103" s="223">
        <v>0.57410000000000005</v>
      </c>
      <c r="D103" s="220">
        <v>90.18</v>
      </c>
      <c r="E103" s="223">
        <v>0.31540000000000001</v>
      </c>
      <c r="F103" s="220">
        <v>89.99</v>
      </c>
      <c r="G103" s="223">
        <v>0.69869999999999999</v>
      </c>
      <c r="H103" s="220">
        <v>1.06</v>
      </c>
      <c r="I103" s="223">
        <v>0.125</v>
      </c>
      <c r="J103" s="220">
        <v>126.37</v>
      </c>
      <c r="K103" s="223">
        <v>1.0470999999999999</v>
      </c>
      <c r="L103" s="220">
        <v>-93.46</v>
      </c>
      <c r="M103" s="223">
        <v>0.36780000000000002</v>
      </c>
      <c r="N103" s="220">
        <v>-179.01</v>
      </c>
      <c r="AC103" s="213"/>
    </row>
    <row r="104" spans="1:29" ht="12.75" customHeight="1" x14ac:dyDescent="0.2">
      <c r="A104" s="6">
        <v>12</v>
      </c>
      <c r="B104" s="8"/>
      <c r="C104" s="223">
        <v>0.49869999999999998</v>
      </c>
      <c r="D104" s="220">
        <v>90.89</v>
      </c>
      <c r="E104" s="223">
        <v>0.27029999999999998</v>
      </c>
      <c r="F104" s="220">
        <v>90.26</v>
      </c>
      <c r="G104" s="223">
        <v>0.58950000000000002</v>
      </c>
      <c r="H104" s="220">
        <v>1.07</v>
      </c>
      <c r="I104" s="223">
        <v>0.189</v>
      </c>
      <c r="J104" s="220">
        <v>108.76</v>
      </c>
      <c r="K104" s="223">
        <v>1.1626000000000001</v>
      </c>
      <c r="L104" s="220">
        <v>-93.36</v>
      </c>
      <c r="M104" s="223">
        <v>0.38800000000000001</v>
      </c>
      <c r="N104" s="220">
        <v>-178.6</v>
      </c>
      <c r="AC104" s="213"/>
    </row>
    <row r="105" spans="1:29" ht="12.75" customHeight="1" x14ac:dyDescent="0.2">
      <c r="A105" s="6">
        <v>11</v>
      </c>
      <c r="B105" s="8"/>
      <c r="C105" s="223">
        <v>0.39760000000000001</v>
      </c>
      <c r="D105" s="220">
        <v>92.47</v>
      </c>
      <c r="E105" s="223">
        <v>0.21379999999999999</v>
      </c>
      <c r="F105" s="220">
        <v>91.4</v>
      </c>
      <c r="G105" s="223">
        <v>0.43569999999999998</v>
      </c>
      <c r="H105" s="220">
        <v>0.28999999999999998</v>
      </c>
      <c r="I105" s="223">
        <v>0.27229999999999999</v>
      </c>
      <c r="J105" s="220">
        <v>100.65</v>
      </c>
      <c r="K105" s="223">
        <v>1.2544999999999999</v>
      </c>
      <c r="L105" s="220">
        <v>-92.61</v>
      </c>
      <c r="M105" s="223">
        <v>0.39229999999999998</v>
      </c>
      <c r="N105" s="220">
        <v>-177.95</v>
      </c>
      <c r="AC105" s="213"/>
    </row>
    <row r="106" spans="1:29" ht="12.75" customHeight="1" x14ac:dyDescent="0.2">
      <c r="A106" s="6">
        <v>10</v>
      </c>
      <c r="B106" s="8"/>
      <c r="C106" s="223">
        <v>0.26650000000000001</v>
      </c>
      <c r="D106" s="220">
        <v>95.49</v>
      </c>
      <c r="E106" s="223">
        <v>0.14499999999999999</v>
      </c>
      <c r="F106" s="220">
        <v>96.48</v>
      </c>
      <c r="G106" s="223">
        <v>0.216</v>
      </c>
      <c r="H106" s="220">
        <v>-5.0999999999999996</v>
      </c>
      <c r="I106" s="223">
        <v>0.37780000000000002</v>
      </c>
      <c r="J106" s="220">
        <v>97.81</v>
      </c>
      <c r="K106" s="223">
        <v>1.2549999999999999</v>
      </c>
      <c r="L106" s="220">
        <v>-91.14</v>
      </c>
      <c r="M106" s="223">
        <v>0.36470000000000002</v>
      </c>
      <c r="N106" s="220">
        <v>-176.75</v>
      </c>
      <c r="AC106" s="213"/>
    </row>
    <row r="107" spans="1:29" ht="12.75" customHeight="1" x14ac:dyDescent="0.2">
      <c r="A107" s="6">
        <v>9</v>
      </c>
      <c r="B107" s="8"/>
      <c r="C107" s="223">
        <v>0.1211</v>
      </c>
      <c r="D107" s="220">
        <v>102.08</v>
      </c>
      <c r="E107" s="223">
        <v>6.9500000000000006E-2</v>
      </c>
      <c r="F107" s="220">
        <v>123.8</v>
      </c>
      <c r="G107" s="223">
        <v>0.19439999999999999</v>
      </c>
      <c r="H107" s="220">
        <v>-131.63</v>
      </c>
      <c r="I107" s="223">
        <v>0.4995</v>
      </c>
      <c r="J107" s="220">
        <v>102.27</v>
      </c>
      <c r="K107" s="223">
        <v>1.0384</v>
      </c>
      <c r="L107" s="220">
        <v>-89.43</v>
      </c>
      <c r="M107" s="223">
        <v>0.28189999999999998</v>
      </c>
      <c r="N107" s="220">
        <v>-173.61</v>
      </c>
      <c r="AC107" s="213"/>
    </row>
    <row r="108" spans="1:29" ht="12.75" customHeight="1" x14ac:dyDescent="0.2">
      <c r="A108" s="6">
        <v>8</v>
      </c>
      <c r="B108" s="9"/>
      <c r="C108" s="223">
        <v>2.3099999999999999E-2</v>
      </c>
      <c r="D108" s="220">
        <v>144.66999999999999</v>
      </c>
      <c r="E108" s="223">
        <v>6.1600000000000002E-2</v>
      </c>
      <c r="F108" s="220">
        <v>-143.97</v>
      </c>
      <c r="G108" s="223">
        <v>0.43090000000000001</v>
      </c>
      <c r="H108" s="220">
        <v>-94.62</v>
      </c>
      <c r="I108" s="223">
        <v>0.5242</v>
      </c>
      <c r="J108" s="220">
        <v>118.18</v>
      </c>
      <c r="K108" s="223">
        <v>0.51770000000000005</v>
      </c>
      <c r="L108" s="220">
        <v>-112.69</v>
      </c>
      <c r="M108" s="223">
        <v>0.12379999999999999</v>
      </c>
      <c r="N108" s="220">
        <v>-157.33000000000001</v>
      </c>
      <c r="AC108" s="213"/>
    </row>
    <row r="109" spans="1:29" ht="12.75" customHeight="1" x14ac:dyDescent="0.2">
      <c r="A109" s="6">
        <v>7</v>
      </c>
      <c r="B109" s="9"/>
      <c r="C109" s="223">
        <v>4.02E-2</v>
      </c>
      <c r="D109" s="220">
        <v>-168.71</v>
      </c>
      <c r="E109" s="223">
        <v>5.5100000000000003E-2</v>
      </c>
      <c r="F109" s="220">
        <v>-123.52</v>
      </c>
      <c r="G109" s="223">
        <v>0.14299999999999999</v>
      </c>
      <c r="H109" s="220">
        <v>-99.87</v>
      </c>
      <c r="I109" s="223">
        <v>0.33910000000000001</v>
      </c>
      <c r="J109" s="220">
        <v>132.24</v>
      </c>
      <c r="K109" s="223">
        <v>0.46</v>
      </c>
      <c r="L109" s="220">
        <v>-161.63999999999999</v>
      </c>
      <c r="M109" s="223">
        <v>7.8799999999999995E-2</v>
      </c>
      <c r="N109" s="220">
        <v>-6.89</v>
      </c>
      <c r="AC109" s="213"/>
    </row>
    <row r="110" spans="1:29" ht="12.75" customHeight="1" x14ac:dyDescent="0.2">
      <c r="A110" s="6">
        <v>6</v>
      </c>
      <c r="B110" s="9"/>
      <c r="C110" s="223">
        <v>1E-3</v>
      </c>
      <c r="D110" s="220">
        <v>-173.13</v>
      </c>
      <c r="E110" s="223">
        <v>3.9699999999999999E-2</v>
      </c>
      <c r="F110" s="220">
        <v>173.59</v>
      </c>
      <c r="G110" s="223">
        <v>9.7999999999999997E-3</v>
      </c>
      <c r="H110" s="220">
        <v>152.07</v>
      </c>
      <c r="I110" s="223">
        <v>0.12470000000000001</v>
      </c>
      <c r="J110" s="220">
        <v>167.27</v>
      </c>
      <c r="K110" s="223">
        <v>9.6600000000000005E-2</v>
      </c>
      <c r="L110" s="220">
        <v>160.75</v>
      </c>
      <c r="M110" s="223">
        <v>2.0400000000000001E-2</v>
      </c>
      <c r="N110" s="220">
        <v>-91.07</v>
      </c>
      <c r="AC110" s="213"/>
    </row>
    <row r="111" spans="1:29" ht="12.75" customHeight="1" x14ac:dyDescent="0.2">
      <c r="A111" s="6">
        <v>5</v>
      </c>
      <c r="B111" s="9"/>
      <c r="C111" s="223">
        <v>1.4500000000000001E-2</v>
      </c>
      <c r="D111" s="220">
        <v>-95.39</v>
      </c>
      <c r="E111" s="223">
        <v>1.2999999999999999E-2</v>
      </c>
      <c r="F111" s="220">
        <v>47.44</v>
      </c>
      <c r="G111" s="223">
        <v>4.1999999999999997E-3</v>
      </c>
      <c r="H111" s="220">
        <v>-140.01</v>
      </c>
      <c r="I111" s="223">
        <v>7.8399999999999997E-2</v>
      </c>
      <c r="J111" s="220">
        <v>-4.47</v>
      </c>
      <c r="K111" s="223">
        <v>2.1399999999999999E-2</v>
      </c>
      <c r="L111" s="220">
        <v>-95.9</v>
      </c>
      <c r="M111" s="223">
        <v>3.61E-2</v>
      </c>
      <c r="N111" s="220">
        <v>-6.73</v>
      </c>
      <c r="AC111" s="213"/>
    </row>
    <row r="112" spans="1:29" ht="12.75" customHeight="1" x14ac:dyDescent="0.2">
      <c r="A112" s="6">
        <v>4.5</v>
      </c>
      <c r="B112" s="9"/>
      <c r="C112" s="223">
        <v>2.4199999999999999E-2</v>
      </c>
      <c r="D112" s="220">
        <v>76.650000000000006</v>
      </c>
      <c r="E112" s="223">
        <v>2.2200000000000001E-2</v>
      </c>
      <c r="F112" s="220">
        <v>63.07</v>
      </c>
      <c r="G112" s="223">
        <v>8.3999999999999995E-3</v>
      </c>
      <c r="H112" s="220">
        <v>119.64</v>
      </c>
      <c r="I112" s="223">
        <v>4.3099999999999999E-2</v>
      </c>
      <c r="J112" s="220">
        <v>16.260000000000002</v>
      </c>
      <c r="K112" s="223">
        <v>1.3299999999999999E-2</v>
      </c>
      <c r="L112" s="220">
        <v>119.31</v>
      </c>
      <c r="M112" s="223">
        <v>4.8999999999999998E-3</v>
      </c>
      <c r="N112" s="220">
        <v>-69.5</v>
      </c>
      <c r="AC112" s="213"/>
    </row>
    <row r="113" spans="1:29" ht="12.75" customHeight="1" x14ac:dyDescent="0.2">
      <c r="A113" s="6">
        <v>4</v>
      </c>
      <c r="B113" s="9"/>
      <c r="C113" s="223">
        <v>1.5900000000000001E-2</v>
      </c>
      <c r="D113" s="220">
        <v>-89.86</v>
      </c>
      <c r="E113" s="223">
        <v>6.3E-3</v>
      </c>
      <c r="F113" s="220">
        <v>-56.42</v>
      </c>
      <c r="G113" s="223">
        <v>3.8E-3</v>
      </c>
      <c r="H113" s="220">
        <v>-87.63</v>
      </c>
      <c r="I113" s="223">
        <v>1.3599999999999999E-2</v>
      </c>
      <c r="J113" s="220">
        <v>-5.88</v>
      </c>
      <c r="K113" s="223">
        <v>6.6E-3</v>
      </c>
      <c r="L113" s="220">
        <v>-78.14</v>
      </c>
      <c r="M113" s="223">
        <v>1.43E-2</v>
      </c>
      <c r="N113" s="220">
        <v>94.3</v>
      </c>
      <c r="AC113" s="213"/>
    </row>
    <row r="114" spans="1:29" ht="12.75" customHeight="1" x14ac:dyDescent="0.2">
      <c r="A114" s="6">
        <v>3.5</v>
      </c>
      <c r="B114" s="9"/>
      <c r="C114" s="223">
        <v>6.0000000000000001E-3</v>
      </c>
      <c r="D114" s="220">
        <v>36.869999999999997</v>
      </c>
      <c r="E114" s="223">
        <v>2.3E-3</v>
      </c>
      <c r="F114" s="220">
        <v>-128.04</v>
      </c>
      <c r="G114" s="223">
        <v>3.0999999999999999E-3</v>
      </c>
      <c r="H114" s="220">
        <v>6.23</v>
      </c>
      <c r="I114" s="223">
        <v>8.6E-3</v>
      </c>
      <c r="J114" s="220">
        <v>171.33</v>
      </c>
      <c r="K114" s="223">
        <v>5.7000000000000002E-3</v>
      </c>
      <c r="L114" s="220">
        <v>10.79</v>
      </c>
      <c r="M114" s="223">
        <v>6.4999999999999997E-3</v>
      </c>
      <c r="N114" s="220">
        <v>-148.44999999999999</v>
      </c>
      <c r="AC114" s="213"/>
    </row>
    <row r="115" spans="1:29" ht="12.75" customHeight="1" x14ac:dyDescent="0.2">
      <c r="A115" s="6">
        <v>3</v>
      </c>
      <c r="B115" s="9"/>
      <c r="C115" s="223">
        <v>1.4E-3</v>
      </c>
      <c r="D115" s="220">
        <v>163.46</v>
      </c>
      <c r="E115" s="223">
        <v>1.8E-3</v>
      </c>
      <c r="F115" s="220">
        <v>116.12</v>
      </c>
      <c r="G115" s="223">
        <v>6.9999999999999999E-4</v>
      </c>
      <c r="H115" s="220">
        <v>97.93</v>
      </c>
      <c r="I115" s="223">
        <v>1.6000000000000001E-3</v>
      </c>
      <c r="J115" s="220">
        <v>-38.53</v>
      </c>
      <c r="K115" s="223">
        <v>1E-3</v>
      </c>
      <c r="L115" s="220">
        <v>-114.74</v>
      </c>
      <c r="M115" s="223">
        <v>3.0000000000000001E-3</v>
      </c>
      <c r="N115" s="220">
        <v>28.43</v>
      </c>
      <c r="AC115" s="213"/>
    </row>
    <row r="116" spans="1:29" ht="12.75" customHeight="1" x14ac:dyDescent="0.2">
      <c r="A116" s="6">
        <v>0</v>
      </c>
      <c r="B116" s="9"/>
      <c r="C116" s="223">
        <v>0</v>
      </c>
      <c r="D116" s="220">
        <v>0</v>
      </c>
      <c r="E116" s="223">
        <v>0</v>
      </c>
      <c r="F116" s="220">
        <v>0</v>
      </c>
      <c r="G116" s="223">
        <v>0</v>
      </c>
      <c r="H116" s="220">
        <v>0</v>
      </c>
      <c r="I116" s="223">
        <v>0</v>
      </c>
      <c r="J116" s="220">
        <v>0</v>
      </c>
      <c r="K116" s="223">
        <v>0</v>
      </c>
      <c r="L116" s="220">
        <v>0</v>
      </c>
      <c r="M116" s="223">
        <v>0</v>
      </c>
      <c r="N116" s="220">
        <v>0</v>
      </c>
    </row>
    <row r="117" spans="1:29" ht="12.75" customHeight="1" x14ac:dyDescent="0.2">
      <c r="A117" s="6">
        <v>0</v>
      </c>
      <c r="B117" s="9"/>
      <c r="C117" s="223">
        <v>0</v>
      </c>
      <c r="D117" s="220">
        <v>0</v>
      </c>
      <c r="E117" s="223">
        <v>0</v>
      </c>
      <c r="F117" s="220">
        <v>0</v>
      </c>
      <c r="G117" s="223">
        <v>0</v>
      </c>
      <c r="H117" s="220">
        <v>0</v>
      </c>
      <c r="I117" s="223">
        <v>0</v>
      </c>
      <c r="J117" s="220">
        <v>0</v>
      </c>
      <c r="K117" s="223">
        <v>0</v>
      </c>
      <c r="L117" s="220">
        <v>0</v>
      </c>
      <c r="M117" s="223">
        <v>0</v>
      </c>
      <c r="N117" s="220">
        <v>0</v>
      </c>
    </row>
    <row r="118" spans="1:29" ht="12.75" customHeight="1" x14ac:dyDescent="0.2">
      <c r="A118" s="6">
        <v>0</v>
      </c>
      <c r="B118" s="9"/>
      <c r="C118" s="223">
        <v>0</v>
      </c>
      <c r="D118" s="220">
        <v>0</v>
      </c>
      <c r="E118" s="223">
        <v>0</v>
      </c>
      <c r="F118" s="220">
        <v>0</v>
      </c>
      <c r="G118" s="223">
        <v>0</v>
      </c>
      <c r="H118" s="220">
        <v>0</v>
      </c>
      <c r="I118" s="223">
        <v>0</v>
      </c>
      <c r="J118" s="220">
        <v>0</v>
      </c>
      <c r="K118" s="223">
        <v>0</v>
      </c>
      <c r="L118" s="220">
        <v>0</v>
      </c>
      <c r="M118" s="223">
        <v>0</v>
      </c>
      <c r="N118" s="220">
        <v>0</v>
      </c>
    </row>
    <row r="119" spans="1:29" ht="12.75" customHeight="1" x14ac:dyDescent="0.2">
      <c r="A119" s="6">
        <v>0</v>
      </c>
      <c r="B119" s="9"/>
      <c r="C119" s="223">
        <v>0</v>
      </c>
      <c r="D119" s="220">
        <v>0</v>
      </c>
      <c r="E119" s="223">
        <v>0</v>
      </c>
      <c r="F119" s="220">
        <v>0</v>
      </c>
      <c r="G119" s="223">
        <v>0</v>
      </c>
      <c r="H119" s="220">
        <v>0</v>
      </c>
      <c r="I119" s="223">
        <v>0</v>
      </c>
      <c r="J119" s="220">
        <v>0</v>
      </c>
      <c r="K119" s="223">
        <v>0</v>
      </c>
      <c r="L119" s="220">
        <v>0</v>
      </c>
      <c r="M119" s="223">
        <v>0</v>
      </c>
      <c r="N119" s="220">
        <v>0</v>
      </c>
    </row>
    <row r="120" spans="1:29" ht="12.75" customHeight="1" thickBot="1" x14ac:dyDescent="0.25">
      <c r="A120" s="10">
        <v>0</v>
      </c>
      <c r="B120" s="11"/>
      <c r="C120" s="12">
        <v>0</v>
      </c>
      <c r="D120" s="13">
        <v>0</v>
      </c>
      <c r="E120" s="12">
        <v>0</v>
      </c>
      <c r="F120" s="13">
        <v>0</v>
      </c>
      <c r="G120" s="12">
        <v>0</v>
      </c>
      <c r="H120" s="13">
        <v>0</v>
      </c>
      <c r="I120" s="12">
        <v>0</v>
      </c>
      <c r="J120" s="13">
        <v>0</v>
      </c>
      <c r="K120" s="12">
        <v>0</v>
      </c>
      <c r="L120" s="13">
        <v>0</v>
      </c>
      <c r="M120" s="12">
        <v>0</v>
      </c>
      <c r="N120" s="13">
        <v>0</v>
      </c>
    </row>
    <row r="121" spans="1:29" ht="20.100000000000001" customHeight="1" x14ac:dyDescent="0.25">
      <c r="A121" s="395" t="str">
        <f>A81</f>
        <v>Paragon DPDS3</v>
      </c>
      <c r="B121" s="395"/>
      <c r="C121" s="395"/>
      <c r="D121" s="395"/>
      <c r="E121" s="395"/>
      <c r="F121" s="395"/>
      <c r="G121" s="395"/>
      <c r="H121" s="395"/>
      <c r="I121" s="395"/>
      <c r="J121" s="395"/>
      <c r="K121" s="395"/>
      <c r="L121" s="395"/>
      <c r="M121" s="395"/>
      <c r="N121" s="395"/>
    </row>
    <row r="122" spans="1:29" ht="20.100000000000001" customHeight="1" thickBot="1" x14ac:dyDescent="0.3">
      <c r="A122" s="396" t="s">
        <v>5</v>
      </c>
      <c r="B122" s="396"/>
      <c r="C122" s="396"/>
      <c r="D122" s="396"/>
      <c r="E122" s="396"/>
      <c r="F122" s="396"/>
      <c r="G122" s="396"/>
      <c r="H122" s="396"/>
      <c r="I122" s="396"/>
      <c r="J122" s="396"/>
      <c r="K122" s="396"/>
      <c r="L122" s="396"/>
      <c r="M122" s="396"/>
      <c r="N122" s="396"/>
    </row>
    <row r="123" spans="1:29" ht="12.75" customHeight="1" x14ac:dyDescent="0.2">
      <c r="A123" s="397" t="s">
        <v>12</v>
      </c>
      <c r="B123" s="399" t="s">
        <v>13</v>
      </c>
      <c r="C123" s="401" t="s">
        <v>6</v>
      </c>
      <c r="D123" s="402"/>
      <c r="E123" s="401" t="s">
        <v>7</v>
      </c>
      <c r="F123" s="402"/>
      <c r="G123" s="401" t="s">
        <v>8</v>
      </c>
      <c r="H123" s="402"/>
      <c r="I123" s="401" t="s">
        <v>9</v>
      </c>
      <c r="J123" s="402"/>
      <c r="K123" s="401" t="s">
        <v>10</v>
      </c>
      <c r="L123" s="402"/>
      <c r="M123" s="401" t="s">
        <v>11</v>
      </c>
      <c r="N123" s="402"/>
    </row>
    <row r="124" spans="1:29" ht="12.75" customHeight="1" x14ac:dyDescent="0.2">
      <c r="A124" s="398"/>
      <c r="B124" s="400"/>
      <c r="C124" s="222" t="s">
        <v>0</v>
      </c>
      <c r="D124" s="217" t="s">
        <v>1</v>
      </c>
      <c r="E124" s="222" t="s">
        <v>0</v>
      </c>
      <c r="F124" s="217" t="s">
        <v>1</v>
      </c>
      <c r="G124" s="222" t="s">
        <v>0</v>
      </c>
      <c r="H124" s="217" t="s">
        <v>1</v>
      </c>
      <c r="I124" s="222" t="s">
        <v>0</v>
      </c>
      <c r="J124" s="217" t="s">
        <v>1</v>
      </c>
      <c r="K124" s="222" t="s">
        <v>0</v>
      </c>
      <c r="L124" s="217" t="s">
        <v>1</v>
      </c>
      <c r="M124" s="222" t="s">
        <v>0</v>
      </c>
      <c r="N124" s="217" t="s">
        <v>1</v>
      </c>
    </row>
    <row r="125" spans="1:29" ht="12.75" customHeight="1" thickBot="1" x14ac:dyDescent="0.25">
      <c r="A125" s="2" t="s">
        <v>14</v>
      </c>
      <c r="B125" s="3" t="s">
        <v>15</v>
      </c>
      <c r="C125" s="2" t="s">
        <v>19</v>
      </c>
      <c r="D125" s="3" t="s">
        <v>15</v>
      </c>
      <c r="E125" s="2" t="s">
        <v>19</v>
      </c>
      <c r="F125" s="3" t="s">
        <v>15</v>
      </c>
      <c r="G125" s="2" t="s">
        <v>19</v>
      </c>
      <c r="H125" s="3" t="s">
        <v>15</v>
      </c>
      <c r="I125" s="2" t="s">
        <v>20</v>
      </c>
      <c r="J125" s="3" t="s">
        <v>15</v>
      </c>
      <c r="K125" s="2" t="s">
        <v>20</v>
      </c>
      <c r="L125" s="3" t="s">
        <v>15</v>
      </c>
      <c r="M125" s="2" t="s">
        <v>20</v>
      </c>
      <c r="N125" s="3" t="s">
        <v>15</v>
      </c>
    </row>
    <row r="126" spans="1:29" ht="12.75" customHeight="1" x14ac:dyDescent="0.2">
      <c r="A126" s="4">
        <v>30</v>
      </c>
      <c r="B126" s="5">
        <v>45</v>
      </c>
      <c r="C126" s="223">
        <v>0.68820000000000003</v>
      </c>
      <c r="D126" s="220">
        <v>89.98</v>
      </c>
      <c r="E126" s="223">
        <v>0.68179999999999996</v>
      </c>
      <c r="F126" s="220">
        <v>90.02</v>
      </c>
      <c r="G126" s="223">
        <v>0.99350000000000005</v>
      </c>
      <c r="H126" s="220">
        <v>0.01</v>
      </c>
      <c r="I126" s="223">
        <v>0.25009999999999999</v>
      </c>
      <c r="J126" s="220">
        <v>96.66</v>
      </c>
      <c r="K126" s="223">
        <v>0.18190000000000001</v>
      </c>
      <c r="L126" s="220">
        <v>-90.62</v>
      </c>
      <c r="M126" s="223">
        <v>0.1082</v>
      </c>
      <c r="N126" s="220">
        <v>-179.07</v>
      </c>
      <c r="AC126" s="213"/>
    </row>
    <row r="127" spans="1:29" ht="12.75" customHeight="1" x14ac:dyDescent="0.2">
      <c r="A127" s="6">
        <v>28</v>
      </c>
      <c r="B127" s="7"/>
      <c r="C127" s="223">
        <v>0.68459999999999999</v>
      </c>
      <c r="D127" s="220">
        <v>89.98</v>
      </c>
      <c r="E127" s="223">
        <v>0.67679999999999996</v>
      </c>
      <c r="F127" s="220">
        <v>90.01</v>
      </c>
      <c r="G127" s="223">
        <v>0.99139999999999995</v>
      </c>
      <c r="H127" s="220">
        <v>0.01</v>
      </c>
      <c r="I127" s="223">
        <v>0.30990000000000001</v>
      </c>
      <c r="J127" s="220">
        <v>98.06</v>
      </c>
      <c r="K127" s="223">
        <v>0.2087</v>
      </c>
      <c r="L127" s="220">
        <v>-90.72</v>
      </c>
      <c r="M127" s="223">
        <v>0.1236</v>
      </c>
      <c r="N127" s="220">
        <v>-178.98</v>
      </c>
      <c r="AC127" s="213"/>
    </row>
    <row r="128" spans="1:29" ht="12.75" customHeight="1" x14ac:dyDescent="0.2">
      <c r="A128" s="6">
        <v>26</v>
      </c>
      <c r="B128" s="7"/>
      <c r="C128" s="223">
        <v>0.67979999999999996</v>
      </c>
      <c r="D128" s="220">
        <v>89.97</v>
      </c>
      <c r="E128" s="223">
        <v>0.67010000000000003</v>
      </c>
      <c r="F128" s="220">
        <v>89.98</v>
      </c>
      <c r="G128" s="223">
        <v>0.98839999999999995</v>
      </c>
      <c r="H128" s="220">
        <v>0.02</v>
      </c>
      <c r="I128" s="223">
        <v>0.40189999999999998</v>
      </c>
      <c r="J128" s="220">
        <v>100.44</v>
      </c>
      <c r="K128" s="223">
        <v>0.24199999999999999</v>
      </c>
      <c r="L128" s="220">
        <v>-90.84</v>
      </c>
      <c r="M128" s="223">
        <v>0.14230000000000001</v>
      </c>
      <c r="N128" s="220">
        <v>-178.84</v>
      </c>
      <c r="AC128" s="213"/>
    </row>
    <row r="129" spans="1:29" ht="12.75" customHeight="1" x14ac:dyDescent="0.2">
      <c r="A129" s="6">
        <v>24</v>
      </c>
      <c r="B129" s="7"/>
      <c r="C129" s="223">
        <v>0.6734</v>
      </c>
      <c r="D129" s="220">
        <v>89.96</v>
      </c>
      <c r="E129" s="223">
        <v>0.66049999999999998</v>
      </c>
      <c r="F129" s="220">
        <v>89.89</v>
      </c>
      <c r="G129" s="223">
        <v>0.98409999999999997</v>
      </c>
      <c r="H129" s="220">
        <v>0.03</v>
      </c>
      <c r="I129" s="223">
        <v>0.56279999999999997</v>
      </c>
      <c r="J129" s="220">
        <v>105.17</v>
      </c>
      <c r="K129" s="223">
        <v>0.2838</v>
      </c>
      <c r="L129" s="220">
        <v>-90.99</v>
      </c>
      <c r="M129" s="223">
        <v>0.1653</v>
      </c>
      <c r="N129" s="220">
        <v>-178.61</v>
      </c>
      <c r="AC129" s="213"/>
    </row>
    <row r="130" spans="1:29" ht="12.75" customHeight="1" x14ac:dyDescent="0.2">
      <c r="A130" s="6">
        <v>23</v>
      </c>
      <c r="B130" s="7"/>
      <c r="C130" s="223">
        <v>0.6694</v>
      </c>
      <c r="D130" s="220">
        <v>89.96</v>
      </c>
      <c r="E130" s="223">
        <v>0.65410000000000001</v>
      </c>
      <c r="F130" s="220">
        <v>89.78</v>
      </c>
      <c r="G130" s="223">
        <v>0.98109999999999997</v>
      </c>
      <c r="H130" s="220">
        <v>0.04</v>
      </c>
      <c r="I130" s="223">
        <v>0.6986</v>
      </c>
      <c r="J130" s="220">
        <v>109.67</v>
      </c>
      <c r="K130" s="223">
        <v>0.30890000000000001</v>
      </c>
      <c r="L130" s="220">
        <v>-91.08</v>
      </c>
      <c r="M130" s="223">
        <v>0.17849999999999999</v>
      </c>
      <c r="N130" s="220">
        <v>-178.44</v>
      </c>
      <c r="AC130" s="213"/>
    </row>
    <row r="131" spans="1:29" ht="12.75" customHeight="1" x14ac:dyDescent="0.2">
      <c r="A131" s="6">
        <v>22</v>
      </c>
      <c r="B131" s="7"/>
      <c r="C131" s="223">
        <v>0.66449999999999998</v>
      </c>
      <c r="D131" s="220">
        <v>89.95</v>
      </c>
      <c r="E131" s="223">
        <v>0.64629999999999999</v>
      </c>
      <c r="F131" s="220">
        <v>89.53</v>
      </c>
      <c r="G131" s="223">
        <v>0.97750000000000004</v>
      </c>
      <c r="H131" s="220">
        <v>0.05</v>
      </c>
      <c r="I131" s="223">
        <v>0.90920000000000001</v>
      </c>
      <c r="J131" s="220">
        <v>117.57</v>
      </c>
      <c r="K131" s="223">
        <v>0.33729999999999999</v>
      </c>
      <c r="L131" s="220">
        <v>-91.19</v>
      </c>
      <c r="M131" s="223">
        <v>0.19270000000000001</v>
      </c>
      <c r="N131" s="220">
        <v>-178.22</v>
      </c>
      <c r="AC131" s="213"/>
    </row>
    <row r="132" spans="1:29" ht="12.75" customHeight="1" x14ac:dyDescent="0.2">
      <c r="A132" s="6">
        <v>21</v>
      </c>
      <c r="B132" s="7"/>
      <c r="C132" s="223">
        <v>0.65869999999999995</v>
      </c>
      <c r="D132" s="220">
        <v>89.94</v>
      </c>
      <c r="E132" s="223">
        <v>0.63819999999999999</v>
      </c>
      <c r="F132" s="220">
        <v>88.92</v>
      </c>
      <c r="G132" s="223">
        <v>0.97289999999999999</v>
      </c>
      <c r="H132" s="220">
        <v>0.06</v>
      </c>
      <c r="I132" s="223">
        <v>1.2385999999999999</v>
      </c>
      <c r="J132" s="220">
        <v>133.15</v>
      </c>
      <c r="K132" s="223">
        <v>0.36980000000000002</v>
      </c>
      <c r="L132" s="220">
        <v>-91.32</v>
      </c>
      <c r="M132" s="223">
        <v>0.20730000000000001</v>
      </c>
      <c r="N132" s="220">
        <v>-178.12</v>
      </c>
      <c r="AC132" s="213"/>
    </row>
    <row r="133" spans="1:29" ht="12.75" customHeight="1" x14ac:dyDescent="0.2">
      <c r="A133" s="6">
        <v>20.5</v>
      </c>
      <c r="B133" s="7"/>
      <c r="C133" s="223">
        <v>0.65539999999999998</v>
      </c>
      <c r="D133" s="220">
        <v>89.93</v>
      </c>
      <c r="E133" s="223">
        <v>0.63629999999999998</v>
      </c>
      <c r="F133" s="220">
        <v>88.43</v>
      </c>
      <c r="G133" s="223">
        <v>0.97019999999999995</v>
      </c>
      <c r="H133" s="220">
        <v>7.0000000000000007E-2</v>
      </c>
      <c r="I133" s="223">
        <v>1.4293</v>
      </c>
      <c r="J133" s="220">
        <v>146.30000000000001</v>
      </c>
      <c r="K133" s="223">
        <v>0.38779999999999998</v>
      </c>
      <c r="L133" s="220">
        <v>-91.4</v>
      </c>
      <c r="M133" s="223">
        <v>0.21440000000000001</v>
      </c>
      <c r="N133" s="220">
        <v>-178.37</v>
      </c>
      <c r="AC133" s="213"/>
    </row>
    <row r="134" spans="1:29" ht="12.75" customHeight="1" x14ac:dyDescent="0.2">
      <c r="A134" s="6">
        <v>20</v>
      </c>
      <c r="B134" s="7"/>
      <c r="C134" s="223">
        <v>0.65180000000000005</v>
      </c>
      <c r="D134" s="220">
        <v>89.93</v>
      </c>
      <c r="E134" s="223">
        <v>0.63790000000000002</v>
      </c>
      <c r="F134" s="220">
        <v>88</v>
      </c>
      <c r="G134" s="223">
        <v>0.96709999999999996</v>
      </c>
      <c r="H134" s="220">
        <v>0.08</v>
      </c>
      <c r="I134" s="223">
        <v>1.5490999999999999</v>
      </c>
      <c r="J134" s="220">
        <v>163.84</v>
      </c>
      <c r="K134" s="223">
        <v>0.40720000000000001</v>
      </c>
      <c r="L134" s="220">
        <v>-91.48</v>
      </c>
      <c r="M134" s="223">
        <v>0.22239999999999999</v>
      </c>
      <c r="N134" s="220">
        <v>-179.06</v>
      </c>
      <c r="AC134" s="213"/>
    </row>
    <row r="135" spans="1:29" ht="12.75" customHeight="1" x14ac:dyDescent="0.2">
      <c r="A135" s="6">
        <v>19.5</v>
      </c>
      <c r="B135" s="7"/>
      <c r="C135" s="223">
        <v>0.64780000000000004</v>
      </c>
      <c r="D135" s="220">
        <v>89.92</v>
      </c>
      <c r="E135" s="223">
        <v>0.64159999999999995</v>
      </c>
      <c r="F135" s="220">
        <v>87.99</v>
      </c>
      <c r="G135" s="223">
        <v>0.96360000000000001</v>
      </c>
      <c r="H135" s="220">
        <v>0.1</v>
      </c>
      <c r="I135" s="223">
        <v>1.4942</v>
      </c>
      <c r="J135" s="220">
        <v>-176.69</v>
      </c>
      <c r="K135" s="223">
        <v>0.42809999999999998</v>
      </c>
      <c r="L135" s="220">
        <v>-91.56</v>
      </c>
      <c r="M135" s="223">
        <v>0.2331</v>
      </c>
      <c r="N135" s="220">
        <v>-179.97</v>
      </c>
      <c r="AC135" s="213"/>
    </row>
    <row r="136" spans="1:29" ht="12.75" customHeight="1" x14ac:dyDescent="0.2">
      <c r="A136" s="6">
        <v>19</v>
      </c>
      <c r="B136" s="7"/>
      <c r="C136" s="223">
        <v>0.64329999999999998</v>
      </c>
      <c r="D136" s="220">
        <v>89.91</v>
      </c>
      <c r="E136" s="223">
        <v>0.64219999999999999</v>
      </c>
      <c r="F136" s="220">
        <v>88.38</v>
      </c>
      <c r="G136" s="223">
        <v>0.9597</v>
      </c>
      <c r="H136" s="220">
        <v>0.12</v>
      </c>
      <c r="I136" s="223">
        <v>1.2851999999999999</v>
      </c>
      <c r="J136" s="220">
        <v>-159.72</v>
      </c>
      <c r="K136" s="223">
        <v>0.45050000000000001</v>
      </c>
      <c r="L136" s="220">
        <v>-91.64</v>
      </c>
      <c r="M136" s="223">
        <v>0.24660000000000001</v>
      </c>
      <c r="N136" s="220">
        <v>179.46</v>
      </c>
      <c r="AC136" s="213"/>
    </row>
    <row r="137" spans="1:29" ht="12.75" customHeight="1" x14ac:dyDescent="0.2">
      <c r="A137" s="6">
        <v>18.5</v>
      </c>
      <c r="B137" s="7"/>
      <c r="C137" s="223">
        <v>0.63839999999999997</v>
      </c>
      <c r="D137" s="220">
        <v>89.91</v>
      </c>
      <c r="E137" s="223">
        <v>0.63849999999999996</v>
      </c>
      <c r="F137" s="220">
        <v>88.84</v>
      </c>
      <c r="G137" s="223">
        <v>0.95509999999999995</v>
      </c>
      <c r="H137" s="220">
        <v>0.14000000000000001</v>
      </c>
      <c r="I137" s="223">
        <v>1.0403</v>
      </c>
      <c r="J137" s="220">
        <v>-147.44999999999999</v>
      </c>
      <c r="K137" s="223">
        <v>0.47460000000000002</v>
      </c>
      <c r="L137" s="220">
        <v>-91.72</v>
      </c>
      <c r="M137" s="223">
        <v>0.26119999999999999</v>
      </c>
      <c r="N137" s="220">
        <v>179.33</v>
      </c>
      <c r="AC137" s="213"/>
    </row>
    <row r="138" spans="1:29" ht="12.75" customHeight="1" x14ac:dyDescent="0.2">
      <c r="A138" s="6">
        <v>18</v>
      </c>
      <c r="B138" s="7"/>
      <c r="C138" s="223">
        <v>0.63280000000000003</v>
      </c>
      <c r="D138" s="220">
        <v>89.9</v>
      </c>
      <c r="E138" s="223">
        <v>0.63200000000000001</v>
      </c>
      <c r="F138" s="220">
        <v>89.18</v>
      </c>
      <c r="G138" s="223">
        <v>0.94989999999999997</v>
      </c>
      <c r="H138" s="220">
        <v>0.16</v>
      </c>
      <c r="I138" s="223">
        <v>0.82809999999999995</v>
      </c>
      <c r="J138" s="220">
        <v>-139.38</v>
      </c>
      <c r="K138" s="223">
        <v>0.50060000000000004</v>
      </c>
      <c r="L138" s="220">
        <v>-91.81</v>
      </c>
      <c r="M138" s="223">
        <v>0.27589999999999998</v>
      </c>
      <c r="N138" s="220">
        <v>179.42</v>
      </c>
      <c r="AC138" s="213"/>
    </row>
    <row r="139" spans="1:29" ht="12.75" customHeight="1" x14ac:dyDescent="0.2">
      <c r="A139" s="6">
        <v>17</v>
      </c>
      <c r="B139" s="8"/>
      <c r="C139" s="223">
        <v>0.61980000000000002</v>
      </c>
      <c r="D139" s="220">
        <v>89.88</v>
      </c>
      <c r="E139" s="223">
        <v>0.61499999999999999</v>
      </c>
      <c r="F139" s="220">
        <v>89.57</v>
      </c>
      <c r="G139" s="223">
        <v>0.93700000000000006</v>
      </c>
      <c r="H139" s="220">
        <v>0.23</v>
      </c>
      <c r="I139" s="223">
        <v>0.52790000000000004</v>
      </c>
      <c r="J139" s="220">
        <v>-131.76</v>
      </c>
      <c r="K139" s="223">
        <v>0.55920000000000003</v>
      </c>
      <c r="L139" s="220">
        <v>-92.03</v>
      </c>
      <c r="M139" s="223">
        <v>0.30640000000000001</v>
      </c>
      <c r="N139" s="220">
        <v>179.73</v>
      </c>
      <c r="AC139" s="213"/>
    </row>
    <row r="140" spans="1:29" ht="12.75" customHeight="1" x14ac:dyDescent="0.2">
      <c r="A140" s="6">
        <v>16</v>
      </c>
      <c r="B140" s="8"/>
      <c r="C140" s="223">
        <v>0.60350000000000004</v>
      </c>
      <c r="D140" s="220">
        <v>89.88</v>
      </c>
      <c r="E140" s="223">
        <v>0.59419999999999995</v>
      </c>
      <c r="F140" s="220">
        <v>89.74</v>
      </c>
      <c r="G140" s="223">
        <v>0.91959999999999997</v>
      </c>
      <c r="H140" s="220">
        <v>0.34</v>
      </c>
      <c r="I140" s="223">
        <v>0.33739999999999998</v>
      </c>
      <c r="J140" s="220">
        <v>-131.94999999999999</v>
      </c>
      <c r="K140" s="223">
        <v>0.62819999999999998</v>
      </c>
      <c r="L140" s="220">
        <v>-92.28</v>
      </c>
      <c r="M140" s="223">
        <v>0.33939999999999998</v>
      </c>
      <c r="N140" s="220">
        <v>-179.99</v>
      </c>
      <c r="AC140" s="213"/>
    </row>
    <row r="141" spans="1:29" ht="12.75" customHeight="1" x14ac:dyDescent="0.2">
      <c r="A141" s="6">
        <v>15</v>
      </c>
      <c r="B141" s="8"/>
      <c r="C141" s="223">
        <v>0.5827</v>
      </c>
      <c r="D141" s="220">
        <v>89.89</v>
      </c>
      <c r="E141" s="223">
        <v>0.56879999999999997</v>
      </c>
      <c r="F141" s="220">
        <v>89.81</v>
      </c>
      <c r="G141" s="223">
        <v>0.89559999999999995</v>
      </c>
      <c r="H141" s="220">
        <v>0.49</v>
      </c>
      <c r="I141" s="223">
        <v>0.20810000000000001</v>
      </c>
      <c r="J141" s="220">
        <v>-141.08000000000001</v>
      </c>
      <c r="K141" s="223">
        <v>0.71009999999999995</v>
      </c>
      <c r="L141" s="220">
        <v>-92.56</v>
      </c>
      <c r="M141" s="223">
        <v>0.37569999999999998</v>
      </c>
      <c r="N141" s="220">
        <v>-179.76</v>
      </c>
      <c r="AC141" s="213"/>
    </row>
    <row r="142" spans="1:29" ht="12.75" customHeight="1" x14ac:dyDescent="0.2">
      <c r="A142" s="6">
        <v>14</v>
      </c>
      <c r="B142" s="8"/>
      <c r="C142" s="223">
        <v>0.55579999999999996</v>
      </c>
      <c r="D142" s="220">
        <v>89.96</v>
      </c>
      <c r="E142" s="223">
        <v>0.53680000000000005</v>
      </c>
      <c r="F142" s="220">
        <v>89.83</v>
      </c>
      <c r="G142" s="223">
        <v>0.86199999999999999</v>
      </c>
      <c r="H142" s="220">
        <v>0.71</v>
      </c>
      <c r="I142" s="223">
        <v>0.12859999999999999</v>
      </c>
      <c r="J142" s="220">
        <v>-168.87</v>
      </c>
      <c r="K142" s="223">
        <v>0.80779999999999996</v>
      </c>
      <c r="L142" s="220">
        <v>-92.83</v>
      </c>
      <c r="M142" s="223">
        <v>0.41489999999999999</v>
      </c>
      <c r="N142" s="220">
        <v>-179.52</v>
      </c>
      <c r="AC142" s="213"/>
    </row>
    <row r="143" spans="1:29" ht="12.75" customHeight="1" x14ac:dyDescent="0.2">
      <c r="A143" s="6">
        <v>13</v>
      </c>
      <c r="B143" s="8"/>
      <c r="C143" s="223">
        <v>0.52059999999999995</v>
      </c>
      <c r="D143" s="220">
        <v>90.2</v>
      </c>
      <c r="E143" s="223">
        <v>0.49609999999999999</v>
      </c>
      <c r="F143" s="220">
        <v>89.81</v>
      </c>
      <c r="G143" s="223">
        <v>0.81420000000000003</v>
      </c>
      <c r="H143" s="220">
        <v>1.01</v>
      </c>
      <c r="I143" s="223">
        <v>0.1288</v>
      </c>
      <c r="J143" s="220">
        <v>143.96</v>
      </c>
      <c r="K143" s="223">
        <v>0.92459999999999998</v>
      </c>
      <c r="L143" s="220">
        <v>-93</v>
      </c>
      <c r="M143" s="223">
        <v>0.45590000000000003</v>
      </c>
      <c r="N143" s="220">
        <v>-179.26</v>
      </c>
      <c r="AC143" s="213"/>
    </row>
    <row r="144" spans="1:29" ht="12.75" customHeight="1" x14ac:dyDescent="0.2">
      <c r="A144" s="6">
        <v>12</v>
      </c>
      <c r="B144" s="8"/>
      <c r="C144" s="223">
        <v>0.4733</v>
      </c>
      <c r="D144" s="220">
        <v>90.82</v>
      </c>
      <c r="E144" s="223">
        <v>0.44379999999999997</v>
      </c>
      <c r="F144" s="220">
        <v>89.86</v>
      </c>
      <c r="G144" s="223">
        <v>0.746</v>
      </c>
      <c r="H144" s="220">
        <v>1.41</v>
      </c>
      <c r="I144" s="223">
        <v>0.20019999999999999</v>
      </c>
      <c r="J144" s="220">
        <v>116.36</v>
      </c>
      <c r="K144" s="223">
        <v>1.0626</v>
      </c>
      <c r="L144" s="220">
        <v>-92.85</v>
      </c>
      <c r="M144" s="223">
        <v>0.49469999999999997</v>
      </c>
      <c r="N144" s="220">
        <v>-178.9</v>
      </c>
      <c r="AC144" s="213"/>
    </row>
    <row r="145" spans="1:29" ht="12.75" customHeight="1" x14ac:dyDescent="0.2">
      <c r="A145" s="6">
        <v>11</v>
      </c>
      <c r="B145" s="8"/>
      <c r="C145" s="223">
        <v>0.40760000000000002</v>
      </c>
      <c r="D145" s="220">
        <v>92.25</v>
      </c>
      <c r="E145" s="223">
        <v>0.3765</v>
      </c>
      <c r="F145" s="220">
        <v>90.28</v>
      </c>
      <c r="G145" s="223">
        <v>0.64910000000000001</v>
      </c>
      <c r="H145" s="220">
        <v>2.16</v>
      </c>
      <c r="I145" s="223">
        <v>0.30530000000000002</v>
      </c>
      <c r="J145" s="220">
        <v>104.79</v>
      </c>
      <c r="K145" s="223">
        <v>1.2163999999999999</v>
      </c>
      <c r="L145" s="220">
        <v>-91.96</v>
      </c>
      <c r="M145" s="223">
        <v>0.52329999999999999</v>
      </c>
      <c r="N145" s="220">
        <v>-178.38</v>
      </c>
      <c r="AC145" s="213"/>
    </row>
    <row r="146" spans="1:29" ht="12.75" customHeight="1" x14ac:dyDescent="0.2">
      <c r="A146" s="6">
        <v>10</v>
      </c>
      <c r="B146" s="8"/>
      <c r="C146" s="223">
        <v>0.31630000000000003</v>
      </c>
      <c r="D146" s="220">
        <v>95.14</v>
      </c>
      <c r="E146" s="223">
        <v>0.28970000000000001</v>
      </c>
      <c r="F146" s="220">
        <v>92.42</v>
      </c>
      <c r="G146" s="223">
        <v>0.50680000000000003</v>
      </c>
      <c r="H146" s="220">
        <v>5.28</v>
      </c>
      <c r="I146" s="223">
        <v>0.44309999999999999</v>
      </c>
      <c r="J146" s="220">
        <v>100.27</v>
      </c>
      <c r="K146" s="223">
        <v>1.3602000000000001</v>
      </c>
      <c r="L146" s="220">
        <v>-89.81</v>
      </c>
      <c r="M146" s="223">
        <v>0.52510000000000001</v>
      </c>
      <c r="N146" s="220">
        <v>-177.52</v>
      </c>
      <c r="AC146" s="213"/>
    </row>
    <row r="147" spans="1:29" ht="12.75" customHeight="1" x14ac:dyDescent="0.2">
      <c r="A147" s="6">
        <v>9</v>
      </c>
      <c r="B147" s="8"/>
      <c r="C147" s="223">
        <v>0.2001</v>
      </c>
      <c r="D147" s="220">
        <v>102.08</v>
      </c>
      <c r="E147" s="223">
        <v>0.1764</v>
      </c>
      <c r="F147" s="220">
        <v>102.2</v>
      </c>
      <c r="G147" s="223">
        <v>0.21179999999999999</v>
      </c>
      <c r="H147" s="220">
        <v>27.01</v>
      </c>
      <c r="I147" s="223">
        <v>0.61919999999999997</v>
      </c>
      <c r="J147" s="220">
        <v>103.3</v>
      </c>
      <c r="K147" s="223">
        <v>1.4452</v>
      </c>
      <c r="L147" s="220">
        <v>-84.36</v>
      </c>
      <c r="M147" s="223">
        <v>0.4703</v>
      </c>
      <c r="N147" s="220">
        <v>-175.81</v>
      </c>
      <c r="AC147" s="213"/>
    </row>
    <row r="148" spans="1:29" ht="12.75" customHeight="1" x14ac:dyDescent="0.2">
      <c r="A148" s="6">
        <v>8</v>
      </c>
      <c r="B148" s="9"/>
      <c r="C148" s="223">
        <v>7.2099999999999997E-2</v>
      </c>
      <c r="D148" s="220">
        <v>130.08000000000001</v>
      </c>
      <c r="E148" s="223">
        <v>5.8900000000000001E-2</v>
      </c>
      <c r="F148" s="220">
        <v>162.44999999999999</v>
      </c>
      <c r="G148" s="223">
        <v>0.3387</v>
      </c>
      <c r="H148" s="220">
        <v>-102.48</v>
      </c>
      <c r="I148" s="223">
        <v>0.71299999999999997</v>
      </c>
      <c r="J148" s="220">
        <v>118.74</v>
      </c>
      <c r="K148" s="223">
        <v>1.0803</v>
      </c>
      <c r="L148" s="220">
        <v>-67.64</v>
      </c>
      <c r="M148" s="223">
        <v>0.31159999999999999</v>
      </c>
      <c r="N148" s="220">
        <v>-170.61</v>
      </c>
      <c r="AC148" s="213"/>
    </row>
    <row r="149" spans="1:29" ht="12.75" customHeight="1" x14ac:dyDescent="0.2">
      <c r="A149" s="6">
        <v>7</v>
      </c>
      <c r="B149" s="9"/>
      <c r="C149" s="223">
        <v>4.3200000000000002E-2</v>
      </c>
      <c r="D149" s="220">
        <v>-158.47</v>
      </c>
      <c r="E149" s="223">
        <v>8.2400000000000001E-2</v>
      </c>
      <c r="F149" s="220">
        <v>-116.33</v>
      </c>
      <c r="G149" s="223">
        <v>0.22639999999999999</v>
      </c>
      <c r="H149" s="220">
        <v>-86.01</v>
      </c>
      <c r="I149" s="223">
        <v>0.49459999999999998</v>
      </c>
      <c r="J149" s="220">
        <v>133.77000000000001</v>
      </c>
      <c r="K149" s="223">
        <v>0.28000000000000003</v>
      </c>
      <c r="L149" s="220">
        <v>-114.13</v>
      </c>
      <c r="M149" s="223">
        <v>2.7699999999999999E-2</v>
      </c>
      <c r="N149" s="220">
        <v>-148.94999999999999</v>
      </c>
      <c r="AC149" s="213"/>
    </row>
    <row r="150" spans="1:29" ht="12.75" customHeight="1" x14ac:dyDescent="0.2">
      <c r="A150" s="6">
        <v>6</v>
      </c>
      <c r="B150" s="9"/>
      <c r="C150" s="223">
        <v>4.7800000000000002E-2</v>
      </c>
      <c r="D150" s="220">
        <v>-160.46</v>
      </c>
      <c r="E150" s="223">
        <v>4.8800000000000003E-2</v>
      </c>
      <c r="F150" s="220">
        <v>-150.41999999999999</v>
      </c>
      <c r="G150" s="223">
        <v>6.6799999999999998E-2</v>
      </c>
      <c r="H150" s="220">
        <v>-98.79</v>
      </c>
      <c r="I150" s="223">
        <v>0.2104</v>
      </c>
      <c r="J150" s="220">
        <v>139.66999999999999</v>
      </c>
      <c r="K150" s="223">
        <v>0.24030000000000001</v>
      </c>
      <c r="L150" s="220">
        <v>-165.79</v>
      </c>
      <c r="M150" s="223">
        <v>7.6499999999999999E-2</v>
      </c>
      <c r="N150" s="220">
        <v>4.9000000000000004</v>
      </c>
      <c r="AC150" s="213"/>
    </row>
    <row r="151" spans="1:29" ht="12.75" customHeight="1" x14ac:dyDescent="0.2">
      <c r="A151" s="6">
        <v>5</v>
      </c>
      <c r="B151" s="9"/>
      <c r="C151" s="223">
        <v>8.8000000000000005E-3</v>
      </c>
      <c r="D151" s="220">
        <v>68.66</v>
      </c>
      <c r="E151" s="223">
        <v>2.06E-2</v>
      </c>
      <c r="F151" s="220">
        <v>142.52000000000001</v>
      </c>
      <c r="G151" s="223">
        <v>1.2500000000000001E-2</v>
      </c>
      <c r="H151" s="220">
        <v>92.46</v>
      </c>
      <c r="I151" s="223">
        <v>1.2E-2</v>
      </c>
      <c r="J151" s="220">
        <v>111.71</v>
      </c>
      <c r="K151" s="223">
        <v>2.81E-2</v>
      </c>
      <c r="L151" s="220">
        <v>44.67</v>
      </c>
      <c r="M151" s="223">
        <v>4.65E-2</v>
      </c>
      <c r="N151" s="220">
        <v>-136.97</v>
      </c>
      <c r="AC151" s="213"/>
    </row>
    <row r="152" spans="1:29" ht="12.75" customHeight="1" x14ac:dyDescent="0.2">
      <c r="A152" s="6">
        <v>4.5</v>
      </c>
      <c r="B152" s="9"/>
      <c r="C152" s="223">
        <v>2.5000000000000001E-3</v>
      </c>
      <c r="D152" s="220">
        <v>155.88</v>
      </c>
      <c r="E152" s="223">
        <v>5.7000000000000002E-3</v>
      </c>
      <c r="F152" s="220">
        <v>-18.420000000000002</v>
      </c>
      <c r="G152" s="223">
        <v>2E-3</v>
      </c>
      <c r="H152" s="220">
        <v>-25.99</v>
      </c>
      <c r="I152" s="223">
        <v>3.6600000000000001E-2</v>
      </c>
      <c r="J152" s="220">
        <v>-53.01</v>
      </c>
      <c r="K152" s="223">
        <v>1.2500000000000001E-2</v>
      </c>
      <c r="L152" s="220">
        <v>-82.1</v>
      </c>
      <c r="M152" s="223">
        <v>1.06E-2</v>
      </c>
      <c r="N152" s="220">
        <v>-38.68</v>
      </c>
      <c r="AC152" s="213"/>
    </row>
    <row r="153" spans="1:29" ht="12.75" customHeight="1" x14ac:dyDescent="0.2">
      <c r="A153" s="6">
        <v>4</v>
      </c>
      <c r="B153" s="9"/>
      <c r="C153" s="223">
        <v>1.1299999999999999E-2</v>
      </c>
      <c r="D153" s="220">
        <v>6.99</v>
      </c>
      <c r="E153" s="223">
        <v>1.1900000000000001E-2</v>
      </c>
      <c r="F153" s="220">
        <v>-21.97</v>
      </c>
      <c r="G153" s="223">
        <v>3.3999999999999998E-3</v>
      </c>
      <c r="H153" s="220">
        <v>63.4</v>
      </c>
      <c r="I153" s="223">
        <v>2.4799999999999999E-2</v>
      </c>
      <c r="J153" s="220">
        <v>-73.349999999999994</v>
      </c>
      <c r="K153" s="223">
        <v>5.1000000000000004E-3</v>
      </c>
      <c r="L153" s="220">
        <v>93.66</v>
      </c>
      <c r="M153" s="223">
        <v>1.32E-2</v>
      </c>
      <c r="N153" s="220">
        <v>-143.65</v>
      </c>
      <c r="AC153" s="213"/>
    </row>
    <row r="154" spans="1:29" ht="12.75" customHeight="1" x14ac:dyDescent="0.2">
      <c r="A154" s="6">
        <v>3.5</v>
      </c>
      <c r="B154" s="9"/>
      <c r="C154" s="223">
        <v>5.1000000000000004E-3</v>
      </c>
      <c r="D154" s="220">
        <v>-148.85</v>
      </c>
      <c r="E154" s="223">
        <v>5.9999999999999995E-4</v>
      </c>
      <c r="F154" s="220">
        <v>120.81</v>
      </c>
      <c r="G154" s="223">
        <v>2.9999999999999997E-4</v>
      </c>
      <c r="H154" s="220">
        <v>118.85</v>
      </c>
      <c r="I154" s="223">
        <v>6.7000000000000002E-3</v>
      </c>
      <c r="J154" s="220">
        <v>-60.32</v>
      </c>
      <c r="K154" s="223">
        <v>5.3E-3</v>
      </c>
      <c r="L154" s="220">
        <v>-135.38</v>
      </c>
      <c r="M154" s="223">
        <v>1.6899999999999998E-2</v>
      </c>
      <c r="N154" s="220">
        <v>23.07</v>
      </c>
      <c r="AC154" s="213"/>
    </row>
    <row r="155" spans="1:29" ht="12.75" customHeight="1" x14ac:dyDescent="0.2">
      <c r="A155" s="6">
        <v>3</v>
      </c>
      <c r="B155" s="9"/>
      <c r="C155" s="223">
        <v>2.2000000000000001E-3</v>
      </c>
      <c r="D155" s="220">
        <v>-25.55</v>
      </c>
      <c r="E155" s="223">
        <v>2.3E-3</v>
      </c>
      <c r="F155" s="220">
        <v>62.51</v>
      </c>
      <c r="G155" s="223">
        <v>1E-3</v>
      </c>
      <c r="H155" s="220">
        <v>-142.69</v>
      </c>
      <c r="I155" s="223">
        <v>8.9999999999999993E-3</v>
      </c>
      <c r="J155" s="220">
        <v>38.33</v>
      </c>
      <c r="K155" s="223">
        <v>1.5E-3</v>
      </c>
      <c r="L155" s="220">
        <v>-145.66999999999999</v>
      </c>
      <c r="M155" s="223">
        <v>5.3E-3</v>
      </c>
      <c r="N155" s="220">
        <v>117.82</v>
      </c>
      <c r="AC155" s="213"/>
    </row>
    <row r="156" spans="1:29" ht="12.75" customHeight="1" x14ac:dyDescent="0.2">
      <c r="A156" s="6">
        <v>0</v>
      </c>
      <c r="B156" s="9"/>
      <c r="C156" s="223">
        <v>0</v>
      </c>
      <c r="D156" s="220">
        <v>0</v>
      </c>
      <c r="E156" s="223">
        <v>0</v>
      </c>
      <c r="F156" s="220">
        <v>0</v>
      </c>
      <c r="G156" s="223">
        <v>0</v>
      </c>
      <c r="H156" s="220">
        <v>0</v>
      </c>
      <c r="I156" s="223">
        <v>0</v>
      </c>
      <c r="J156" s="220">
        <v>0</v>
      </c>
      <c r="K156" s="223">
        <v>0</v>
      </c>
      <c r="L156" s="220">
        <v>0</v>
      </c>
      <c r="M156" s="223">
        <v>0</v>
      </c>
      <c r="N156" s="220">
        <v>0</v>
      </c>
    </row>
    <row r="157" spans="1:29" ht="12.75" customHeight="1" x14ac:dyDescent="0.2">
      <c r="A157" s="6">
        <v>0</v>
      </c>
      <c r="B157" s="9"/>
      <c r="C157" s="223">
        <v>0</v>
      </c>
      <c r="D157" s="220">
        <v>0</v>
      </c>
      <c r="E157" s="223">
        <v>0</v>
      </c>
      <c r="F157" s="220">
        <v>0</v>
      </c>
      <c r="G157" s="223">
        <v>0</v>
      </c>
      <c r="H157" s="220">
        <v>0</v>
      </c>
      <c r="I157" s="223">
        <v>0</v>
      </c>
      <c r="J157" s="220">
        <v>0</v>
      </c>
      <c r="K157" s="223">
        <v>0</v>
      </c>
      <c r="L157" s="220">
        <v>0</v>
      </c>
      <c r="M157" s="223">
        <v>0</v>
      </c>
      <c r="N157" s="220">
        <v>0</v>
      </c>
    </row>
    <row r="158" spans="1:29" ht="12.75" customHeight="1" x14ac:dyDescent="0.2">
      <c r="A158" s="6">
        <v>0</v>
      </c>
      <c r="B158" s="9"/>
      <c r="C158" s="223">
        <v>0</v>
      </c>
      <c r="D158" s="220">
        <v>0</v>
      </c>
      <c r="E158" s="223">
        <v>0</v>
      </c>
      <c r="F158" s="220">
        <v>0</v>
      </c>
      <c r="G158" s="223">
        <v>0</v>
      </c>
      <c r="H158" s="220">
        <v>0</v>
      </c>
      <c r="I158" s="223">
        <v>0</v>
      </c>
      <c r="J158" s="220">
        <v>0</v>
      </c>
      <c r="K158" s="223">
        <v>0</v>
      </c>
      <c r="L158" s="220">
        <v>0</v>
      </c>
      <c r="M158" s="223">
        <v>0</v>
      </c>
      <c r="N158" s="220">
        <v>0</v>
      </c>
    </row>
    <row r="159" spans="1:29" ht="12.75" customHeight="1" x14ac:dyDescent="0.2">
      <c r="A159" s="6">
        <v>0</v>
      </c>
      <c r="B159" s="9"/>
      <c r="C159" s="223">
        <v>0</v>
      </c>
      <c r="D159" s="220">
        <v>0</v>
      </c>
      <c r="E159" s="223">
        <v>0</v>
      </c>
      <c r="F159" s="220">
        <v>0</v>
      </c>
      <c r="G159" s="223">
        <v>0</v>
      </c>
      <c r="H159" s="220">
        <v>0</v>
      </c>
      <c r="I159" s="223">
        <v>0</v>
      </c>
      <c r="J159" s="220">
        <v>0</v>
      </c>
      <c r="K159" s="223">
        <v>0</v>
      </c>
      <c r="L159" s="220">
        <v>0</v>
      </c>
      <c r="M159" s="223">
        <v>0</v>
      </c>
      <c r="N159" s="220">
        <v>0</v>
      </c>
    </row>
    <row r="160" spans="1:29" ht="12.75" customHeight="1" thickBot="1" x14ac:dyDescent="0.25">
      <c r="A160" s="10">
        <v>0</v>
      </c>
      <c r="B160" s="11"/>
      <c r="C160" s="12">
        <v>0</v>
      </c>
      <c r="D160" s="13">
        <v>0</v>
      </c>
      <c r="E160" s="12">
        <v>0</v>
      </c>
      <c r="F160" s="13">
        <v>0</v>
      </c>
      <c r="G160" s="12">
        <v>0</v>
      </c>
      <c r="H160" s="13">
        <v>0</v>
      </c>
      <c r="I160" s="12">
        <v>0</v>
      </c>
      <c r="J160" s="13">
        <v>0</v>
      </c>
      <c r="K160" s="12">
        <v>0</v>
      </c>
      <c r="L160" s="13">
        <v>0</v>
      </c>
      <c r="M160" s="12">
        <v>0</v>
      </c>
      <c r="N160" s="13">
        <v>0</v>
      </c>
    </row>
    <row r="161" spans="1:29" ht="20.100000000000001" customHeight="1" x14ac:dyDescent="0.25">
      <c r="A161" s="395" t="str">
        <f>A121</f>
        <v>Paragon DPDS3</v>
      </c>
      <c r="B161" s="395"/>
      <c r="C161" s="395"/>
      <c r="D161" s="395"/>
      <c r="E161" s="395"/>
      <c r="F161" s="395"/>
      <c r="G161" s="395"/>
      <c r="H161" s="395"/>
      <c r="I161" s="395"/>
      <c r="J161" s="395"/>
      <c r="K161" s="395"/>
      <c r="L161" s="395"/>
      <c r="M161" s="395"/>
      <c r="N161" s="395"/>
    </row>
    <row r="162" spans="1:29" ht="20.100000000000001" customHeight="1" thickBot="1" x14ac:dyDescent="0.3">
      <c r="A162" s="396" t="s">
        <v>5</v>
      </c>
      <c r="B162" s="396"/>
      <c r="C162" s="396"/>
      <c r="D162" s="396"/>
      <c r="E162" s="396"/>
      <c r="F162" s="396"/>
      <c r="G162" s="396"/>
      <c r="H162" s="396"/>
      <c r="I162" s="396"/>
      <c r="J162" s="396"/>
      <c r="K162" s="396"/>
      <c r="L162" s="396"/>
      <c r="M162" s="396"/>
      <c r="N162" s="396"/>
    </row>
    <row r="163" spans="1:29" ht="12.75" customHeight="1" x14ac:dyDescent="0.2">
      <c r="A163" s="397" t="s">
        <v>12</v>
      </c>
      <c r="B163" s="399" t="s">
        <v>13</v>
      </c>
      <c r="C163" s="401" t="s">
        <v>6</v>
      </c>
      <c r="D163" s="402"/>
      <c r="E163" s="401" t="s">
        <v>7</v>
      </c>
      <c r="F163" s="402"/>
      <c r="G163" s="401" t="s">
        <v>8</v>
      </c>
      <c r="H163" s="402"/>
      <c r="I163" s="401" t="s">
        <v>9</v>
      </c>
      <c r="J163" s="402"/>
      <c r="K163" s="401" t="s">
        <v>10</v>
      </c>
      <c r="L163" s="402"/>
      <c r="M163" s="401" t="s">
        <v>11</v>
      </c>
      <c r="N163" s="402"/>
    </row>
    <row r="164" spans="1:29" ht="12.75" customHeight="1" x14ac:dyDescent="0.2">
      <c r="A164" s="398"/>
      <c r="B164" s="400"/>
      <c r="C164" s="222" t="s">
        <v>0</v>
      </c>
      <c r="D164" s="217" t="s">
        <v>1</v>
      </c>
      <c r="E164" s="222" t="s">
        <v>0</v>
      </c>
      <c r="F164" s="217" t="s">
        <v>1</v>
      </c>
      <c r="G164" s="222" t="s">
        <v>0</v>
      </c>
      <c r="H164" s="217" t="s">
        <v>1</v>
      </c>
      <c r="I164" s="222" t="s">
        <v>0</v>
      </c>
      <c r="J164" s="217" t="s">
        <v>1</v>
      </c>
      <c r="K164" s="222" t="s">
        <v>0</v>
      </c>
      <c r="L164" s="217" t="s">
        <v>1</v>
      </c>
      <c r="M164" s="222" t="s">
        <v>0</v>
      </c>
      <c r="N164" s="217" t="s">
        <v>1</v>
      </c>
    </row>
    <row r="165" spans="1:29" ht="12.75" customHeight="1" thickBot="1" x14ac:dyDescent="0.25">
      <c r="A165" s="2" t="s">
        <v>14</v>
      </c>
      <c r="B165" s="3" t="s">
        <v>15</v>
      </c>
      <c r="C165" s="2" t="s">
        <v>19</v>
      </c>
      <c r="D165" s="3" t="s">
        <v>15</v>
      </c>
      <c r="E165" s="2" t="s">
        <v>19</v>
      </c>
      <c r="F165" s="3" t="s">
        <v>15</v>
      </c>
      <c r="G165" s="2" t="s">
        <v>19</v>
      </c>
      <c r="H165" s="3" t="s">
        <v>15</v>
      </c>
      <c r="I165" s="2" t="s">
        <v>20</v>
      </c>
      <c r="J165" s="3" t="s">
        <v>15</v>
      </c>
      <c r="K165" s="2" t="s">
        <v>20</v>
      </c>
      <c r="L165" s="3" t="s">
        <v>15</v>
      </c>
      <c r="M165" s="2" t="s">
        <v>20</v>
      </c>
      <c r="N165" s="3" t="s">
        <v>15</v>
      </c>
    </row>
    <row r="166" spans="1:29" ht="12.75" customHeight="1" x14ac:dyDescent="0.2">
      <c r="A166" s="4">
        <v>30</v>
      </c>
      <c r="B166" s="5">
        <v>60</v>
      </c>
      <c r="C166" s="223">
        <v>0.48830000000000001</v>
      </c>
      <c r="D166" s="220">
        <v>90.03</v>
      </c>
      <c r="E166" s="223">
        <v>0.83799999999999997</v>
      </c>
      <c r="F166" s="220">
        <v>90</v>
      </c>
      <c r="G166" s="223">
        <v>0.99750000000000005</v>
      </c>
      <c r="H166" s="220">
        <v>0.01</v>
      </c>
      <c r="I166" s="223">
        <v>0.3085</v>
      </c>
      <c r="J166" s="220">
        <v>97.47</v>
      </c>
      <c r="K166" s="223">
        <v>0.12889999999999999</v>
      </c>
      <c r="L166" s="220">
        <v>-90.5</v>
      </c>
      <c r="M166" s="223">
        <v>9.3899999999999997E-2</v>
      </c>
      <c r="N166" s="220">
        <v>-178.76</v>
      </c>
      <c r="AC166" s="213"/>
    </row>
    <row r="167" spans="1:29" ht="12.75" customHeight="1" x14ac:dyDescent="0.2">
      <c r="A167" s="6">
        <v>28</v>
      </c>
      <c r="B167" s="7"/>
      <c r="C167" s="223">
        <v>0.48630000000000001</v>
      </c>
      <c r="D167" s="220">
        <v>90.03</v>
      </c>
      <c r="E167" s="223">
        <v>0.83279999999999998</v>
      </c>
      <c r="F167" s="220">
        <v>89.98</v>
      </c>
      <c r="G167" s="223">
        <v>0.99670000000000003</v>
      </c>
      <c r="H167" s="220">
        <v>0.01</v>
      </c>
      <c r="I167" s="223">
        <v>0.38300000000000001</v>
      </c>
      <c r="J167" s="220">
        <v>99.03</v>
      </c>
      <c r="K167" s="223">
        <v>0.14810000000000001</v>
      </c>
      <c r="L167" s="220">
        <v>-90.58</v>
      </c>
      <c r="M167" s="223">
        <v>0.1072</v>
      </c>
      <c r="N167" s="220">
        <v>-178.64</v>
      </c>
      <c r="AC167" s="213"/>
    </row>
    <row r="168" spans="1:29" ht="12.75" customHeight="1" x14ac:dyDescent="0.2">
      <c r="A168" s="6">
        <v>26</v>
      </c>
      <c r="B168" s="7"/>
      <c r="C168" s="223">
        <v>0.48359999999999997</v>
      </c>
      <c r="D168" s="220">
        <v>90.04</v>
      </c>
      <c r="E168" s="223">
        <v>0.82579999999999998</v>
      </c>
      <c r="F168" s="220">
        <v>89.95</v>
      </c>
      <c r="G168" s="223">
        <v>0.99550000000000005</v>
      </c>
      <c r="H168" s="220">
        <v>0.01</v>
      </c>
      <c r="I168" s="223">
        <v>0.49809999999999999</v>
      </c>
      <c r="J168" s="220">
        <v>101.62</v>
      </c>
      <c r="K168" s="223">
        <v>0.1719</v>
      </c>
      <c r="L168" s="220">
        <v>-90.68</v>
      </c>
      <c r="M168" s="223">
        <v>0.1236</v>
      </c>
      <c r="N168" s="220">
        <v>-178.46</v>
      </c>
      <c r="AC168" s="213"/>
    </row>
    <row r="169" spans="1:29" ht="12.75" customHeight="1" x14ac:dyDescent="0.2">
      <c r="A169" s="6">
        <v>24</v>
      </c>
      <c r="B169" s="7"/>
      <c r="C169" s="223">
        <v>0.48020000000000002</v>
      </c>
      <c r="D169" s="220">
        <v>90.04</v>
      </c>
      <c r="E169" s="223">
        <v>0.81599999999999995</v>
      </c>
      <c r="F169" s="220">
        <v>89.85</v>
      </c>
      <c r="G169" s="223">
        <v>0.99390000000000001</v>
      </c>
      <c r="H169" s="220">
        <v>0.02</v>
      </c>
      <c r="I169" s="223">
        <v>0.7006</v>
      </c>
      <c r="J169" s="220">
        <v>106.64</v>
      </c>
      <c r="K169" s="223">
        <v>0.2019</v>
      </c>
      <c r="L169" s="220">
        <v>-90.81</v>
      </c>
      <c r="M169" s="223">
        <v>0.14349999999999999</v>
      </c>
      <c r="N169" s="220">
        <v>-178.15</v>
      </c>
      <c r="AC169" s="213"/>
    </row>
    <row r="170" spans="1:29" ht="12.75" customHeight="1" x14ac:dyDescent="0.2">
      <c r="A170" s="6">
        <v>23</v>
      </c>
      <c r="B170" s="7"/>
      <c r="C170" s="223">
        <v>0.47799999999999998</v>
      </c>
      <c r="D170" s="220">
        <v>90.04</v>
      </c>
      <c r="E170" s="223">
        <v>0.80940000000000001</v>
      </c>
      <c r="F170" s="220">
        <v>89.72</v>
      </c>
      <c r="G170" s="223">
        <v>0.9929</v>
      </c>
      <c r="H170" s="220">
        <v>0.02</v>
      </c>
      <c r="I170" s="223">
        <v>0.87219999999999998</v>
      </c>
      <c r="J170" s="220">
        <v>111.34</v>
      </c>
      <c r="K170" s="223">
        <v>0.22</v>
      </c>
      <c r="L170" s="220">
        <v>-90.89</v>
      </c>
      <c r="M170" s="223">
        <v>0.15490000000000001</v>
      </c>
      <c r="N170" s="220">
        <v>-177.91</v>
      </c>
      <c r="AC170" s="213"/>
    </row>
    <row r="171" spans="1:29" ht="12.75" customHeight="1" x14ac:dyDescent="0.2">
      <c r="A171" s="6">
        <v>22</v>
      </c>
      <c r="B171" s="7"/>
      <c r="C171" s="223">
        <v>0.47549999999999998</v>
      </c>
      <c r="D171" s="220">
        <v>90.04</v>
      </c>
      <c r="E171" s="223">
        <v>0.8014</v>
      </c>
      <c r="F171" s="220">
        <v>89.45</v>
      </c>
      <c r="G171" s="223">
        <v>0.99150000000000005</v>
      </c>
      <c r="H171" s="220">
        <v>0.03</v>
      </c>
      <c r="I171" s="223">
        <v>1.1395</v>
      </c>
      <c r="J171" s="220">
        <v>119.5</v>
      </c>
      <c r="K171" s="223">
        <v>0.24049999999999999</v>
      </c>
      <c r="L171" s="220">
        <v>-90.99</v>
      </c>
      <c r="M171" s="223">
        <v>0.16700000000000001</v>
      </c>
      <c r="N171" s="220">
        <v>-177.62</v>
      </c>
      <c r="AC171" s="213"/>
    </row>
    <row r="172" spans="1:29" ht="12.75" customHeight="1" x14ac:dyDescent="0.2">
      <c r="A172" s="6">
        <v>21</v>
      </c>
      <c r="B172" s="7"/>
      <c r="C172" s="223">
        <v>0.47249999999999998</v>
      </c>
      <c r="D172" s="220">
        <v>90.04</v>
      </c>
      <c r="E172" s="223">
        <v>0.79369999999999996</v>
      </c>
      <c r="F172" s="220">
        <v>88.82</v>
      </c>
      <c r="G172" s="223">
        <v>0.9899</v>
      </c>
      <c r="H172" s="220">
        <v>0.04</v>
      </c>
      <c r="I172" s="223">
        <v>1.5601</v>
      </c>
      <c r="J172" s="220">
        <v>135.4</v>
      </c>
      <c r="K172" s="223">
        <v>0.26419999999999999</v>
      </c>
      <c r="L172" s="220">
        <v>-91.11</v>
      </c>
      <c r="M172" s="223">
        <v>0.17879999999999999</v>
      </c>
      <c r="N172" s="220">
        <v>-177.53</v>
      </c>
      <c r="AC172" s="213"/>
    </row>
    <row r="173" spans="1:29" ht="12.75" customHeight="1" x14ac:dyDescent="0.2">
      <c r="A173" s="6">
        <v>20.5</v>
      </c>
      <c r="B173" s="7"/>
      <c r="C173" s="223">
        <v>0.4708</v>
      </c>
      <c r="D173" s="220">
        <v>90.04</v>
      </c>
      <c r="E173" s="223">
        <v>0.79279999999999995</v>
      </c>
      <c r="F173" s="220">
        <v>88.32</v>
      </c>
      <c r="G173" s="223">
        <v>0.9889</v>
      </c>
      <c r="H173" s="220">
        <v>0.05</v>
      </c>
      <c r="I173" s="223">
        <v>1.8058000000000001</v>
      </c>
      <c r="J173" s="220">
        <v>148.75</v>
      </c>
      <c r="K173" s="223">
        <v>0.27739999999999998</v>
      </c>
      <c r="L173" s="220">
        <v>-91.18</v>
      </c>
      <c r="M173" s="223">
        <v>0.18429999999999999</v>
      </c>
      <c r="N173" s="220">
        <v>-177.93</v>
      </c>
      <c r="AC173" s="213"/>
    </row>
    <row r="174" spans="1:29" ht="12.75" customHeight="1" x14ac:dyDescent="0.2">
      <c r="A174" s="6">
        <v>20</v>
      </c>
      <c r="B174" s="7"/>
      <c r="C174" s="223">
        <v>0.46889999999999998</v>
      </c>
      <c r="D174" s="220">
        <v>90.03</v>
      </c>
      <c r="E174" s="223">
        <v>0.79659999999999997</v>
      </c>
      <c r="F174" s="220">
        <v>87.89</v>
      </c>
      <c r="G174" s="223">
        <v>0.98780000000000001</v>
      </c>
      <c r="H174" s="220">
        <v>0.06</v>
      </c>
      <c r="I174" s="223">
        <v>1.9642999999999999</v>
      </c>
      <c r="J174" s="220">
        <v>166.52</v>
      </c>
      <c r="K174" s="223">
        <v>0.29160000000000003</v>
      </c>
      <c r="L174" s="220">
        <v>-91.25</v>
      </c>
      <c r="M174" s="223">
        <v>0.19070000000000001</v>
      </c>
      <c r="N174" s="220">
        <v>-179</v>
      </c>
      <c r="AC174" s="213"/>
    </row>
    <row r="175" spans="1:29" ht="12.75" customHeight="1" x14ac:dyDescent="0.2">
      <c r="A175" s="6">
        <v>19.5</v>
      </c>
      <c r="B175" s="7"/>
      <c r="C175" s="223">
        <v>0.46689999999999998</v>
      </c>
      <c r="D175" s="220">
        <v>90.03</v>
      </c>
      <c r="E175" s="223">
        <v>0.80310000000000004</v>
      </c>
      <c r="F175" s="220">
        <v>87.91</v>
      </c>
      <c r="G175" s="223">
        <v>0.98660000000000003</v>
      </c>
      <c r="H175" s="220">
        <v>7.0000000000000007E-2</v>
      </c>
      <c r="I175" s="223">
        <v>1.9027000000000001</v>
      </c>
      <c r="J175" s="220">
        <v>-173.74</v>
      </c>
      <c r="K175" s="223">
        <v>0.30709999999999998</v>
      </c>
      <c r="L175" s="220">
        <v>-91.32</v>
      </c>
      <c r="M175" s="223">
        <v>0.2006</v>
      </c>
      <c r="N175" s="220">
        <v>179.63</v>
      </c>
      <c r="AC175" s="213"/>
    </row>
    <row r="176" spans="1:29" ht="12.75" customHeight="1" x14ac:dyDescent="0.2">
      <c r="A176" s="6">
        <v>19</v>
      </c>
      <c r="B176" s="7"/>
      <c r="C176" s="223">
        <v>0.4647</v>
      </c>
      <c r="D176" s="220">
        <v>90.03</v>
      </c>
      <c r="E176" s="223">
        <v>0.80559999999999998</v>
      </c>
      <c r="F176" s="220">
        <v>88.34</v>
      </c>
      <c r="G176" s="223">
        <v>0.98519999999999996</v>
      </c>
      <c r="H176" s="220">
        <v>0.08</v>
      </c>
      <c r="I176" s="223">
        <v>1.6446000000000001</v>
      </c>
      <c r="J176" s="220">
        <v>-156.44999999999999</v>
      </c>
      <c r="K176" s="223">
        <v>0.32369999999999999</v>
      </c>
      <c r="L176" s="220">
        <v>-91.38</v>
      </c>
      <c r="M176" s="223">
        <v>0.2137</v>
      </c>
      <c r="N176" s="220">
        <v>178.81</v>
      </c>
      <c r="AC176" s="213"/>
    </row>
    <row r="177" spans="1:29" ht="12.75" customHeight="1" x14ac:dyDescent="0.2">
      <c r="A177" s="6">
        <v>18.5</v>
      </c>
      <c r="B177" s="7"/>
      <c r="C177" s="223">
        <v>0.46229999999999999</v>
      </c>
      <c r="D177" s="220">
        <v>90.04</v>
      </c>
      <c r="E177" s="223">
        <v>0.80269999999999997</v>
      </c>
      <c r="F177" s="220">
        <v>88.81</v>
      </c>
      <c r="G177" s="223">
        <v>0.98360000000000003</v>
      </c>
      <c r="H177" s="220">
        <v>0.1</v>
      </c>
      <c r="I177" s="223">
        <v>1.339</v>
      </c>
      <c r="J177" s="220">
        <v>-143.78</v>
      </c>
      <c r="K177" s="223">
        <v>0.3417</v>
      </c>
      <c r="L177" s="220">
        <v>-91.44</v>
      </c>
      <c r="M177" s="223">
        <v>0.22789999999999999</v>
      </c>
      <c r="N177" s="220">
        <v>178.65</v>
      </c>
      <c r="AC177" s="213"/>
    </row>
    <row r="178" spans="1:29" ht="12.75" customHeight="1" x14ac:dyDescent="0.2">
      <c r="A178" s="6">
        <v>18</v>
      </c>
      <c r="B178" s="7"/>
      <c r="C178" s="223">
        <v>0.45960000000000001</v>
      </c>
      <c r="D178" s="220">
        <v>90.04</v>
      </c>
      <c r="E178" s="223">
        <v>0.79659999999999997</v>
      </c>
      <c r="F178" s="220">
        <v>89.16</v>
      </c>
      <c r="G178" s="223">
        <v>0.98180000000000001</v>
      </c>
      <c r="H178" s="220">
        <v>0.12</v>
      </c>
      <c r="I178" s="223">
        <v>1.0733999999999999</v>
      </c>
      <c r="J178" s="220">
        <v>-135.24</v>
      </c>
      <c r="K178" s="223">
        <v>0.36109999999999998</v>
      </c>
      <c r="L178" s="220">
        <v>-91.52</v>
      </c>
      <c r="M178" s="223">
        <v>0.24199999999999999</v>
      </c>
      <c r="N178" s="220">
        <v>178.8</v>
      </c>
      <c r="AC178" s="213"/>
    </row>
    <row r="179" spans="1:29" ht="12.75" customHeight="1" x14ac:dyDescent="0.2">
      <c r="A179" s="6">
        <v>17</v>
      </c>
      <c r="B179" s="8"/>
      <c r="C179" s="223">
        <v>0.45319999999999999</v>
      </c>
      <c r="D179" s="220">
        <v>90.04</v>
      </c>
      <c r="E179" s="223">
        <v>0.78049999999999997</v>
      </c>
      <c r="F179" s="220">
        <v>89.55</v>
      </c>
      <c r="G179" s="223">
        <v>0.97740000000000005</v>
      </c>
      <c r="H179" s="220">
        <v>0.17</v>
      </c>
      <c r="I179" s="223">
        <v>0.69730000000000003</v>
      </c>
      <c r="J179" s="220">
        <v>-126.2</v>
      </c>
      <c r="K179" s="223">
        <v>0.40550000000000003</v>
      </c>
      <c r="L179" s="220">
        <v>-91.7</v>
      </c>
      <c r="M179" s="223">
        <v>0.27100000000000002</v>
      </c>
      <c r="N179" s="220">
        <v>179.24</v>
      </c>
      <c r="AC179" s="213"/>
    </row>
    <row r="180" spans="1:29" ht="12.75" customHeight="1" x14ac:dyDescent="0.2">
      <c r="A180" s="6">
        <v>16</v>
      </c>
      <c r="B180" s="8"/>
      <c r="C180" s="223">
        <v>0.44540000000000002</v>
      </c>
      <c r="D180" s="220">
        <v>90.05</v>
      </c>
      <c r="E180" s="223">
        <v>0.76119999999999999</v>
      </c>
      <c r="F180" s="220">
        <v>89.71</v>
      </c>
      <c r="G180" s="223">
        <v>0.97160000000000002</v>
      </c>
      <c r="H180" s="220">
        <v>0.25</v>
      </c>
      <c r="I180" s="223">
        <v>0.45800000000000002</v>
      </c>
      <c r="J180" s="220">
        <v>-123.82</v>
      </c>
      <c r="K180" s="223">
        <v>0.4587</v>
      </c>
      <c r="L180" s="220">
        <v>-91.91</v>
      </c>
      <c r="M180" s="223">
        <v>0.30249999999999999</v>
      </c>
      <c r="N180" s="220">
        <v>179.61</v>
      </c>
      <c r="AC180" s="213"/>
    </row>
    <row r="181" spans="1:29" ht="12.75" customHeight="1" x14ac:dyDescent="0.2">
      <c r="A181" s="6">
        <v>15</v>
      </c>
      <c r="B181" s="8"/>
      <c r="C181" s="223">
        <v>0.43569999999999998</v>
      </c>
      <c r="D181" s="220">
        <v>90.08</v>
      </c>
      <c r="E181" s="223">
        <v>0.73809999999999998</v>
      </c>
      <c r="F181" s="220">
        <v>89.76</v>
      </c>
      <c r="G181" s="223">
        <v>0.96379999999999999</v>
      </c>
      <c r="H181" s="220">
        <v>0.39</v>
      </c>
      <c r="I181" s="223">
        <v>0.29170000000000001</v>
      </c>
      <c r="J181" s="220">
        <v>-127.37</v>
      </c>
      <c r="K181" s="223">
        <v>0.52359999999999995</v>
      </c>
      <c r="L181" s="220">
        <v>-92.16</v>
      </c>
      <c r="M181" s="223">
        <v>0.33810000000000001</v>
      </c>
      <c r="N181" s="220">
        <v>179.89</v>
      </c>
      <c r="AC181" s="213"/>
    </row>
    <row r="182" spans="1:29" ht="12.75" customHeight="1" x14ac:dyDescent="0.2">
      <c r="A182" s="6">
        <v>14</v>
      </c>
      <c r="B182" s="8"/>
      <c r="C182" s="223">
        <v>0.4234</v>
      </c>
      <c r="D182" s="220">
        <v>90.17</v>
      </c>
      <c r="E182" s="223">
        <v>0.70950000000000002</v>
      </c>
      <c r="F182" s="220">
        <v>89.74</v>
      </c>
      <c r="G182" s="223">
        <v>0.95330000000000004</v>
      </c>
      <c r="H182" s="220">
        <v>0.6</v>
      </c>
      <c r="I182" s="223">
        <v>0.17069999999999999</v>
      </c>
      <c r="J182" s="220">
        <v>-142.07</v>
      </c>
      <c r="K182" s="223">
        <v>0.60399999999999998</v>
      </c>
      <c r="L182" s="220">
        <v>-92.4</v>
      </c>
      <c r="M182" s="223">
        <v>0.37819999999999998</v>
      </c>
      <c r="N182" s="220">
        <v>-179.86</v>
      </c>
      <c r="AC182" s="213"/>
    </row>
    <row r="183" spans="1:29" ht="12.75" customHeight="1" x14ac:dyDescent="0.2">
      <c r="A183" s="6">
        <v>13</v>
      </c>
      <c r="B183" s="8"/>
      <c r="C183" s="223">
        <v>0.40749999999999997</v>
      </c>
      <c r="D183" s="220">
        <v>90.42</v>
      </c>
      <c r="E183" s="223">
        <v>0.67330000000000001</v>
      </c>
      <c r="F183" s="220">
        <v>89.65</v>
      </c>
      <c r="G183" s="223">
        <v>0.93899999999999995</v>
      </c>
      <c r="H183" s="220">
        <v>0.96</v>
      </c>
      <c r="I183" s="223">
        <v>0.1106</v>
      </c>
      <c r="J183" s="220">
        <v>174.09</v>
      </c>
      <c r="K183" s="223">
        <v>0.70599999999999996</v>
      </c>
      <c r="L183" s="220">
        <v>-92.56</v>
      </c>
      <c r="M183" s="223">
        <v>0.42330000000000001</v>
      </c>
      <c r="N183" s="220">
        <v>-179.61</v>
      </c>
      <c r="AC183" s="213"/>
    </row>
    <row r="184" spans="1:29" ht="12.75" customHeight="1" x14ac:dyDescent="0.2">
      <c r="A184" s="6">
        <v>12</v>
      </c>
      <c r="B184" s="8"/>
      <c r="C184" s="223">
        <v>0.38619999999999999</v>
      </c>
      <c r="D184" s="220">
        <v>91.03</v>
      </c>
      <c r="E184" s="223">
        <v>0.62670000000000003</v>
      </c>
      <c r="F184" s="220">
        <v>89.51</v>
      </c>
      <c r="G184" s="223">
        <v>0.92049999999999998</v>
      </c>
      <c r="H184" s="220">
        <v>1.62</v>
      </c>
      <c r="I184" s="223">
        <v>0.158</v>
      </c>
      <c r="J184" s="220">
        <v>126.85</v>
      </c>
      <c r="K184" s="223">
        <v>0.83860000000000001</v>
      </c>
      <c r="L184" s="220">
        <v>-92.41</v>
      </c>
      <c r="M184" s="223">
        <v>0.47210000000000002</v>
      </c>
      <c r="N184" s="220">
        <v>-179.31</v>
      </c>
      <c r="AC184" s="213"/>
    </row>
    <row r="185" spans="1:29" ht="12.75" customHeight="1" x14ac:dyDescent="0.2">
      <c r="A185" s="6">
        <v>11</v>
      </c>
      <c r="B185" s="8"/>
      <c r="C185" s="223">
        <v>0.35599999999999998</v>
      </c>
      <c r="D185" s="220">
        <v>92.46</v>
      </c>
      <c r="E185" s="223">
        <v>0.56579999999999997</v>
      </c>
      <c r="F185" s="220">
        <v>89.39</v>
      </c>
      <c r="G185" s="223">
        <v>0.9</v>
      </c>
      <c r="H185" s="220">
        <v>3.16</v>
      </c>
      <c r="I185" s="223">
        <v>0.2636</v>
      </c>
      <c r="J185" s="220">
        <v>108.79</v>
      </c>
      <c r="K185" s="223">
        <v>1.0143</v>
      </c>
      <c r="L185" s="220">
        <v>-91.5</v>
      </c>
      <c r="M185" s="223">
        <v>0.52100000000000002</v>
      </c>
      <c r="N185" s="220">
        <v>-178.92</v>
      </c>
      <c r="AC185" s="213"/>
    </row>
    <row r="186" spans="1:29" ht="12.75" customHeight="1" x14ac:dyDescent="0.2">
      <c r="A186" s="6">
        <v>10</v>
      </c>
      <c r="B186" s="8"/>
      <c r="C186" s="223">
        <v>0.31090000000000001</v>
      </c>
      <c r="D186" s="220">
        <v>95.51</v>
      </c>
      <c r="E186" s="223">
        <v>0.4849</v>
      </c>
      <c r="F186" s="220">
        <v>89.68</v>
      </c>
      <c r="G186" s="223">
        <v>0.88480000000000003</v>
      </c>
      <c r="H186" s="220">
        <v>8.2200000000000006</v>
      </c>
      <c r="I186" s="223">
        <v>0.4027</v>
      </c>
      <c r="J186" s="220">
        <v>101.98</v>
      </c>
      <c r="K186" s="223">
        <v>1.2518</v>
      </c>
      <c r="L186" s="220">
        <v>-89.07</v>
      </c>
      <c r="M186" s="223">
        <v>0.56069999999999998</v>
      </c>
      <c r="N186" s="220">
        <v>-178.38</v>
      </c>
      <c r="AC186" s="213"/>
    </row>
    <row r="187" spans="1:29" ht="12.75" customHeight="1" x14ac:dyDescent="0.2">
      <c r="A187" s="6">
        <v>9</v>
      </c>
      <c r="B187" s="8"/>
      <c r="C187" s="223">
        <v>0.24460000000000001</v>
      </c>
      <c r="D187" s="220">
        <v>103.32</v>
      </c>
      <c r="E187" s="223">
        <v>0.37119999999999997</v>
      </c>
      <c r="F187" s="220">
        <v>91.79</v>
      </c>
      <c r="G187" s="223">
        <v>0.81969999999999998</v>
      </c>
      <c r="H187" s="220">
        <v>32.26</v>
      </c>
      <c r="I187" s="223">
        <v>0.58660000000000001</v>
      </c>
      <c r="J187" s="220">
        <v>102.61</v>
      </c>
      <c r="K187" s="223">
        <v>1.625</v>
      </c>
      <c r="L187" s="220">
        <v>-81.92</v>
      </c>
      <c r="M187" s="223">
        <v>0.57050000000000001</v>
      </c>
      <c r="N187" s="220">
        <v>-177.7</v>
      </c>
      <c r="AC187" s="213"/>
    </row>
    <row r="188" spans="1:29" ht="12.75" customHeight="1" x14ac:dyDescent="0.2">
      <c r="A188" s="6">
        <v>8</v>
      </c>
      <c r="B188" s="9"/>
      <c r="C188" s="223">
        <v>0.11749999999999999</v>
      </c>
      <c r="D188" s="220">
        <v>129.08000000000001</v>
      </c>
      <c r="E188" s="223">
        <v>0.20280000000000001</v>
      </c>
      <c r="F188" s="220">
        <v>97.66</v>
      </c>
      <c r="G188" s="223">
        <v>7.3300000000000004E-2</v>
      </c>
      <c r="H188" s="220">
        <v>136.84</v>
      </c>
      <c r="I188" s="223">
        <v>0.73419999999999996</v>
      </c>
      <c r="J188" s="220">
        <v>115.21</v>
      </c>
      <c r="K188" s="223">
        <v>1.7884</v>
      </c>
      <c r="L188" s="220">
        <v>-52.22</v>
      </c>
      <c r="M188" s="223">
        <v>0.50970000000000004</v>
      </c>
      <c r="N188" s="220">
        <v>-176.84</v>
      </c>
      <c r="AC188" s="213"/>
    </row>
    <row r="189" spans="1:29" ht="12.75" customHeight="1" x14ac:dyDescent="0.2">
      <c r="A189" s="6">
        <v>7</v>
      </c>
      <c r="B189" s="9"/>
      <c r="C189" s="223">
        <v>1.0699999999999999E-2</v>
      </c>
      <c r="D189" s="220">
        <v>-101.96</v>
      </c>
      <c r="E189" s="223">
        <v>2.6599999999999999E-2</v>
      </c>
      <c r="F189" s="220">
        <v>123.7</v>
      </c>
      <c r="G189" s="223">
        <v>0.18490000000000001</v>
      </c>
      <c r="H189" s="220">
        <v>-66.19</v>
      </c>
      <c r="I189" s="223">
        <v>0.58079999999999998</v>
      </c>
      <c r="J189" s="220">
        <v>128.86000000000001</v>
      </c>
      <c r="K189" s="223">
        <v>0.67520000000000002</v>
      </c>
      <c r="L189" s="220">
        <v>-27.71</v>
      </c>
      <c r="M189" s="223">
        <v>0.31340000000000001</v>
      </c>
      <c r="N189" s="220">
        <v>-178.85</v>
      </c>
      <c r="AC189" s="213"/>
    </row>
    <row r="190" spans="1:29" ht="12.75" customHeight="1" x14ac:dyDescent="0.2">
      <c r="A190" s="6">
        <v>6</v>
      </c>
      <c r="B190" s="9"/>
      <c r="C190" s="223">
        <v>3.4500000000000003E-2</v>
      </c>
      <c r="D190" s="220">
        <v>-112.12</v>
      </c>
      <c r="E190" s="223">
        <v>6.6100000000000006E-2</v>
      </c>
      <c r="F190" s="220">
        <v>-105.52</v>
      </c>
      <c r="G190" s="223">
        <v>0.16769999999999999</v>
      </c>
      <c r="H190" s="220">
        <v>-76.040000000000006</v>
      </c>
      <c r="I190" s="223">
        <v>0.31590000000000001</v>
      </c>
      <c r="J190" s="220">
        <v>123.53</v>
      </c>
      <c r="K190" s="223">
        <v>0.15629999999999999</v>
      </c>
      <c r="L190" s="220">
        <v>-95.88</v>
      </c>
      <c r="M190" s="223">
        <v>5.0099999999999999E-2</v>
      </c>
      <c r="N190" s="220">
        <v>146.82</v>
      </c>
      <c r="AC190" s="213"/>
    </row>
    <row r="191" spans="1:29" ht="12.75" customHeight="1" x14ac:dyDescent="0.2">
      <c r="A191" s="6">
        <v>5</v>
      </c>
      <c r="B191" s="9"/>
      <c r="C191" s="223">
        <v>3.3799999999999997E-2</v>
      </c>
      <c r="D191" s="220">
        <v>-164.95</v>
      </c>
      <c r="E191" s="223">
        <v>3.0300000000000001E-2</v>
      </c>
      <c r="F191" s="220">
        <v>167.13</v>
      </c>
      <c r="G191" s="223">
        <v>2.8299999999999999E-2</v>
      </c>
      <c r="H191" s="220">
        <v>-129.30000000000001</v>
      </c>
      <c r="I191" s="223">
        <v>0.107</v>
      </c>
      <c r="J191" s="220">
        <v>97.76</v>
      </c>
      <c r="K191" s="223">
        <v>0.10340000000000001</v>
      </c>
      <c r="L191" s="220">
        <v>-179.84</v>
      </c>
      <c r="M191" s="223">
        <v>6.3399999999999998E-2</v>
      </c>
      <c r="N191" s="220">
        <v>13.03</v>
      </c>
      <c r="AC191" s="213"/>
    </row>
    <row r="192" spans="1:29" ht="12.75" customHeight="1" x14ac:dyDescent="0.2">
      <c r="A192" s="6">
        <v>4.5</v>
      </c>
      <c r="B192" s="9"/>
      <c r="C192" s="223">
        <v>1.54E-2</v>
      </c>
      <c r="D192" s="220">
        <v>132.66</v>
      </c>
      <c r="E192" s="223">
        <v>4.0899999999999999E-2</v>
      </c>
      <c r="F192" s="220">
        <v>125.88</v>
      </c>
      <c r="G192" s="223">
        <v>1.23E-2</v>
      </c>
      <c r="H192" s="220">
        <v>130.15</v>
      </c>
      <c r="I192" s="223">
        <v>5.9799999999999999E-2</v>
      </c>
      <c r="J192" s="220">
        <v>100.76</v>
      </c>
      <c r="K192" s="223">
        <v>3.4099999999999998E-2</v>
      </c>
      <c r="L192" s="220">
        <v>117.29</v>
      </c>
      <c r="M192" s="223">
        <v>2.7900000000000001E-2</v>
      </c>
      <c r="N192" s="220">
        <v>-129.85</v>
      </c>
      <c r="AC192" s="213"/>
    </row>
    <row r="193" spans="1:29" ht="12.75" customHeight="1" x14ac:dyDescent="0.2">
      <c r="A193" s="6">
        <v>4</v>
      </c>
      <c r="B193" s="9"/>
      <c r="C193" s="223">
        <v>5.5999999999999999E-3</v>
      </c>
      <c r="D193" s="220">
        <v>69.98</v>
      </c>
      <c r="E193" s="223">
        <v>4.7999999999999996E-3</v>
      </c>
      <c r="F193" s="220">
        <v>39.549999999999997</v>
      </c>
      <c r="G193" s="223">
        <v>7.1000000000000004E-3</v>
      </c>
      <c r="H193" s="220">
        <v>15.21</v>
      </c>
      <c r="I193" s="223">
        <v>1.1900000000000001E-2</v>
      </c>
      <c r="J193" s="220">
        <v>-154.72</v>
      </c>
      <c r="K193" s="223">
        <v>1.06E-2</v>
      </c>
      <c r="L193" s="220">
        <v>6.16</v>
      </c>
      <c r="M193" s="223">
        <v>2.8400000000000002E-2</v>
      </c>
      <c r="N193" s="220">
        <v>-165.21</v>
      </c>
      <c r="AC193" s="213"/>
    </row>
    <row r="194" spans="1:29" ht="12.75" customHeight="1" x14ac:dyDescent="0.2">
      <c r="A194" s="6">
        <v>3.5</v>
      </c>
      <c r="B194" s="9"/>
      <c r="C194" s="223">
        <v>6.4999999999999997E-3</v>
      </c>
      <c r="D194" s="220">
        <v>-87.84</v>
      </c>
      <c r="E194" s="223">
        <v>7.7000000000000002E-3</v>
      </c>
      <c r="F194" s="220">
        <v>-118.66</v>
      </c>
      <c r="G194" s="223">
        <v>1.4E-3</v>
      </c>
      <c r="H194" s="220">
        <v>-32.630000000000003</v>
      </c>
      <c r="I194" s="223">
        <v>1.9300000000000001E-2</v>
      </c>
      <c r="J194" s="220">
        <v>-148.84</v>
      </c>
      <c r="K194" s="223">
        <v>2.2000000000000001E-3</v>
      </c>
      <c r="L194" s="220">
        <v>173.7</v>
      </c>
      <c r="M194" s="223">
        <v>1.1900000000000001E-2</v>
      </c>
      <c r="N194" s="220">
        <v>138.03</v>
      </c>
      <c r="AC194" s="213"/>
    </row>
    <row r="195" spans="1:29" ht="12.75" customHeight="1" x14ac:dyDescent="0.2">
      <c r="A195" s="6">
        <v>3</v>
      </c>
      <c r="B195" s="9"/>
      <c r="C195" s="223">
        <v>2.2000000000000001E-3</v>
      </c>
      <c r="D195" s="220">
        <v>74.260000000000005</v>
      </c>
      <c r="E195" s="223">
        <v>3.8999999999999998E-3</v>
      </c>
      <c r="F195" s="220">
        <v>71.819999999999993</v>
      </c>
      <c r="G195" s="223">
        <v>5.9999999999999995E-4</v>
      </c>
      <c r="H195" s="220">
        <v>-25.1</v>
      </c>
      <c r="I195" s="223">
        <v>6.7000000000000002E-3</v>
      </c>
      <c r="J195" s="220">
        <v>84.04</v>
      </c>
      <c r="K195" s="223">
        <v>1.6000000000000001E-3</v>
      </c>
      <c r="L195" s="220">
        <v>-177.83</v>
      </c>
      <c r="M195" s="223">
        <v>9.7999999999999997E-3</v>
      </c>
      <c r="N195" s="220">
        <v>-95.58</v>
      </c>
      <c r="AC195" s="213"/>
    </row>
    <row r="196" spans="1:29" ht="12.75" customHeight="1" x14ac:dyDescent="0.2">
      <c r="A196" s="6">
        <v>0</v>
      </c>
      <c r="B196" s="9"/>
      <c r="C196" s="223">
        <v>0</v>
      </c>
      <c r="D196" s="220">
        <v>0</v>
      </c>
      <c r="E196" s="223">
        <v>0</v>
      </c>
      <c r="F196" s="220">
        <v>0</v>
      </c>
      <c r="G196" s="223">
        <v>0</v>
      </c>
      <c r="H196" s="220">
        <v>0</v>
      </c>
      <c r="I196" s="223">
        <v>0</v>
      </c>
      <c r="J196" s="220">
        <v>0</v>
      </c>
      <c r="K196" s="223">
        <v>0</v>
      </c>
      <c r="L196" s="220">
        <v>0</v>
      </c>
      <c r="M196" s="223">
        <v>0</v>
      </c>
      <c r="N196" s="220">
        <v>0</v>
      </c>
    </row>
    <row r="197" spans="1:29" ht="12.75" customHeight="1" x14ac:dyDescent="0.2">
      <c r="A197" s="6">
        <v>0</v>
      </c>
      <c r="B197" s="9"/>
      <c r="C197" s="223">
        <v>0</v>
      </c>
      <c r="D197" s="220">
        <v>0</v>
      </c>
      <c r="E197" s="223">
        <v>0</v>
      </c>
      <c r="F197" s="220">
        <v>0</v>
      </c>
      <c r="G197" s="223">
        <v>0</v>
      </c>
      <c r="H197" s="220">
        <v>0</v>
      </c>
      <c r="I197" s="223">
        <v>0</v>
      </c>
      <c r="J197" s="220">
        <v>0</v>
      </c>
      <c r="K197" s="223">
        <v>0</v>
      </c>
      <c r="L197" s="220">
        <v>0</v>
      </c>
      <c r="M197" s="223">
        <v>0</v>
      </c>
      <c r="N197" s="220">
        <v>0</v>
      </c>
    </row>
    <row r="198" spans="1:29" ht="12.75" customHeight="1" x14ac:dyDescent="0.2">
      <c r="A198" s="6">
        <v>0</v>
      </c>
      <c r="B198" s="9"/>
      <c r="C198" s="223">
        <v>0</v>
      </c>
      <c r="D198" s="220">
        <v>0</v>
      </c>
      <c r="E198" s="223">
        <v>0</v>
      </c>
      <c r="F198" s="220">
        <v>0</v>
      </c>
      <c r="G198" s="223">
        <v>0</v>
      </c>
      <c r="H198" s="220">
        <v>0</v>
      </c>
      <c r="I198" s="223">
        <v>0</v>
      </c>
      <c r="J198" s="220">
        <v>0</v>
      </c>
      <c r="K198" s="223">
        <v>0</v>
      </c>
      <c r="L198" s="220">
        <v>0</v>
      </c>
      <c r="M198" s="223">
        <v>0</v>
      </c>
      <c r="N198" s="220">
        <v>0</v>
      </c>
    </row>
    <row r="199" spans="1:29" ht="12.75" customHeight="1" x14ac:dyDescent="0.2">
      <c r="A199" s="6">
        <v>0</v>
      </c>
      <c r="B199" s="9"/>
      <c r="C199" s="223">
        <v>0</v>
      </c>
      <c r="D199" s="220">
        <v>0</v>
      </c>
      <c r="E199" s="223">
        <v>0</v>
      </c>
      <c r="F199" s="220">
        <v>0</v>
      </c>
      <c r="G199" s="223">
        <v>0</v>
      </c>
      <c r="H199" s="220">
        <v>0</v>
      </c>
      <c r="I199" s="223">
        <v>0</v>
      </c>
      <c r="J199" s="220">
        <v>0</v>
      </c>
      <c r="K199" s="223">
        <v>0</v>
      </c>
      <c r="L199" s="220">
        <v>0</v>
      </c>
      <c r="M199" s="223">
        <v>0</v>
      </c>
      <c r="N199" s="220">
        <v>0</v>
      </c>
    </row>
    <row r="200" spans="1:29" ht="12.75" customHeight="1" thickBot="1" x14ac:dyDescent="0.25">
      <c r="A200" s="10">
        <v>0</v>
      </c>
      <c r="B200" s="11"/>
      <c r="C200" s="12">
        <v>0</v>
      </c>
      <c r="D200" s="13">
        <v>0</v>
      </c>
      <c r="E200" s="12">
        <v>0</v>
      </c>
      <c r="F200" s="13">
        <v>0</v>
      </c>
      <c r="G200" s="12">
        <v>0</v>
      </c>
      <c r="H200" s="13">
        <v>0</v>
      </c>
      <c r="I200" s="12">
        <v>0</v>
      </c>
      <c r="J200" s="13">
        <v>0</v>
      </c>
      <c r="K200" s="12">
        <v>0</v>
      </c>
      <c r="L200" s="13">
        <v>0</v>
      </c>
      <c r="M200" s="12">
        <v>0</v>
      </c>
      <c r="N200" s="13">
        <v>0</v>
      </c>
    </row>
    <row r="201" spans="1:29" ht="20.100000000000001" customHeight="1" x14ac:dyDescent="0.25">
      <c r="A201" s="395" t="str">
        <f>A161</f>
        <v>Paragon DPDS3</v>
      </c>
      <c r="B201" s="395"/>
      <c r="C201" s="395"/>
      <c r="D201" s="395"/>
      <c r="E201" s="395"/>
      <c r="F201" s="395"/>
      <c r="G201" s="395"/>
      <c r="H201" s="395"/>
      <c r="I201" s="395"/>
      <c r="J201" s="395"/>
      <c r="K201" s="395"/>
      <c r="L201" s="395"/>
      <c r="M201" s="395"/>
      <c r="N201" s="395"/>
    </row>
    <row r="202" spans="1:29" ht="20.100000000000001" customHeight="1" thickBot="1" x14ac:dyDescent="0.3">
      <c r="A202" s="396" t="s">
        <v>5</v>
      </c>
      <c r="B202" s="396"/>
      <c r="C202" s="396"/>
      <c r="D202" s="396"/>
      <c r="E202" s="396"/>
      <c r="F202" s="396"/>
      <c r="G202" s="396"/>
      <c r="H202" s="396"/>
      <c r="I202" s="396"/>
      <c r="J202" s="396"/>
      <c r="K202" s="396"/>
      <c r="L202" s="396"/>
      <c r="M202" s="396"/>
      <c r="N202" s="396"/>
    </row>
    <row r="203" spans="1:29" ht="12.75" customHeight="1" x14ac:dyDescent="0.2">
      <c r="A203" s="397" t="s">
        <v>12</v>
      </c>
      <c r="B203" s="399" t="s">
        <v>13</v>
      </c>
      <c r="C203" s="401" t="s">
        <v>6</v>
      </c>
      <c r="D203" s="402"/>
      <c r="E203" s="401" t="s">
        <v>7</v>
      </c>
      <c r="F203" s="402"/>
      <c r="G203" s="401" t="s">
        <v>8</v>
      </c>
      <c r="H203" s="402"/>
      <c r="I203" s="401" t="s">
        <v>9</v>
      </c>
      <c r="J203" s="402"/>
      <c r="K203" s="401" t="s">
        <v>10</v>
      </c>
      <c r="L203" s="402"/>
      <c r="M203" s="401" t="s">
        <v>11</v>
      </c>
      <c r="N203" s="402"/>
    </row>
    <row r="204" spans="1:29" ht="12.75" customHeight="1" x14ac:dyDescent="0.2">
      <c r="A204" s="398"/>
      <c r="B204" s="400"/>
      <c r="C204" s="222" t="s">
        <v>0</v>
      </c>
      <c r="D204" s="217" t="s">
        <v>1</v>
      </c>
      <c r="E204" s="222" t="s">
        <v>0</v>
      </c>
      <c r="F204" s="217" t="s">
        <v>1</v>
      </c>
      <c r="G204" s="222" t="s">
        <v>0</v>
      </c>
      <c r="H204" s="217" t="s">
        <v>1</v>
      </c>
      <c r="I204" s="222" t="s">
        <v>0</v>
      </c>
      <c r="J204" s="217" t="s">
        <v>1</v>
      </c>
      <c r="K204" s="222" t="s">
        <v>0</v>
      </c>
      <c r="L204" s="217" t="s">
        <v>1</v>
      </c>
      <c r="M204" s="222" t="s">
        <v>0</v>
      </c>
      <c r="N204" s="217" t="s">
        <v>1</v>
      </c>
    </row>
    <row r="205" spans="1:29" ht="12.75" customHeight="1" thickBot="1" x14ac:dyDescent="0.25">
      <c r="A205" s="2" t="s">
        <v>14</v>
      </c>
      <c r="B205" s="3" t="s">
        <v>15</v>
      </c>
      <c r="C205" s="2" t="s">
        <v>19</v>
      </c>
      <c r="D205" s="3" t="s">
        <v>15</v>
      </c>
      <c r="E205" s="2" t="s">
        <v>19</v>
      </c>
      <c r="F205" s="3" t="s">
        <v>15</v>
      </c>
      <c r="G205" s="2" t="s">
        <v>19</v>
      </c>
      <c r="H205" s="3" t="s">
        <v>15</v>
      </c>
      <c r="I205" s="2" t="s">
        <v>20</v>
      </c>
      <c r="J205" s="3" t="s">
        <v>15</v>
      </c>
      <c r="K205" s="2" t="s">
        <v>20</v>
      </c>
      <c r="L205" s="3" t="s">
        <v>15</v>
      </c>
      <c r="M205" s="2" t="s">
        <v>20</v>
      </c>
      <c r="N205" s="3" t="s">
        <v>15</v>
      </c>
    </row>
    <row r="206" spans="1:29" ht="12.75" customHeight="1" x14ac:dyDescent="0.2">
      <c r="A206" s="4">
        <v>30</v>
      </c>
      <c r="B206" s="5">
        <v>75</v>
      </c>
      <c r="C206" s="223">
        <v>0.25340000000000001</v>
      </c>
      <c r="D206" s="220">
        <v>90.14</v>
      </c>
      <c r="E206" s="223">
        <v>0.93710000000000004</v>
      </c>
      <c r="F206" s="220">
        <v>89.97</v>
      </c>
      <c r="G206" s="223">
        <v>1.0004</v>
      </c>
      <c r="H206" s="220">
        <v>0</v>
      </c>
      <c r="I206" s="223">
        <v>0.34589999999999999</v>
      </c>
      <c r="J206" s="220">
        <v>98.41</v>
      </c>
      <c r="K206" s="223">
        <v>6.6799999999999998E-2</v>
      </c>
      <c r="L206" s="220">
        <v>-90.44</v>
      </c>
      <c r="M206" s="223">
        <v>5.4100000000000002E-2</v>
      </c>
      <c r="N206" s="220">
        <v>-177.71</v>
      </c>
      <c r="AC206" s="213"/>
    </row>
    <row r="207" spans="1:29" ht="12.75" customHeight="1" x14ac:dyDescent="0.2">
      <c r="A207" s="6">
        <v>28</v>
      </c>
      <c r="B207" s="7"/>
      <c r="C207" s="223">
        <v>0.2525</v>
      </c>
      <c r="D207" s="220">
        <v>90.16</v>
      </c>
      <c r="E207" s="223">
        <v>0.93200000000000005</v>
      </c>
      <c r="F207" s="220">
        <v>89.95</v>
      </c>
      <c r="G207" s="223">
        <v>1.0004999999999999</v>
      </c>
      <c r="H207" s="220">
        <v>0</v>
      </c>
      <c r="I207" s="223">
        <v>0.43</v>
      </c>
      <c r="J207" s="220">
        <v>100.14</v>
      </c>
      <c r="K207" s="223">
        <v>7.6799999999999993E-2</v>
      </c>
      <c r="L207" s="220">
        <v>-90.52</v>
      </c>
      <c r="M207" s="223">
        <v>6.1800000000000001E-2</v>
      </c>
      <c r="N207" s="220">
        <v>-177.5</v>
      </c>
      <c r="AC207" s="213"/>
    </row>
    <row r="208" spans="1:29" ht="12.75" customHeight="1" x14ac:dyDescent="0.2">
      <c r="A208" s="6">
        <v>26</v>
      </c>
      <c r="B208" s="7"/>
      <c r="C208" s="223">
        <v>0.2515</v>
      </c>
      <c r="D208" s="220">
        <v>90.18</v>
      </c>
      <c r="E208" s="223">
        <v>0.92530000000000001</v>
      </c>
      <c r="F208" s="220">
        <v>89.91</v>
      </c>
      <c r="G208" s="223">
        <v>1.0007999999999999</v>
      </c>
      <c r="H208" s="220">
        <v>0.01</v>
      </c>
      <c r="I208" s="223">
        <v>0.56040000000000001</v>
      </c>
      <c r="J208" s="220">
        <v>102.97</v>
      </c>
      <c r="K208" s="223">
        <v>8.9200000000000002E-2</v>
      </c>
      <c r="L208" s="220">
        <v>-90.61</v>
      </c>
      <c r="M208" s="223">
        <v>7.1199999999999999E-2</v>
      </c>
      <c r="N208" s="220">
        <v>-177.16</v>
      </c>
      <c r="AC208" s="213"/>
    </row>
    <row r="209" spans="1:29" ht="12.75" customHeight="1" x14ac:dyDescent="0.2">
      <c r="A209" s="6">
        <v>24</v>
      </c>
      <c r="B209" s="7"/>
      <c r="C209" s="223">
        <v>0.25009999999999999</v>
      </c>
      <c r="D209" s="220">
        <v>90.21</v>
      </c>
      <c r="E209" s="223">
        <v>0.91590000000000005</v>
      </c>
      <c r="F209" s="220">
        <v>89.79</v>
      </c>
      <c r="G209" s="223">
        <v>1.0012000000000001</v>
      </c>
      <c r="H209" s="220">
        <v>0.01</v>
      </c>
      <c r="I209" s="223">
        <v>0.79069999999999996</v>
      </c>
      <c r="J209" s="220">
        <v>108.33</v>
      </c>
      <c r="K209" s="223">
        <v>0.10489999999999999</v>
      </c>
      <c r="L209" s="220">
        <v>-90.73</v>
      </c>
      <c r="M209" s="223">
        <v>8.2400000000000001E-2</v>
      </c>
      <c r="N209" s="220">
        <v>-176.59</v>
      </c>
      <c r="AC209" s="213"/>
    </row>
    <row r="210" spans="1:29" ht="12.75" customHeight="1" x14ac:dyDescent="0.2">
      <c r="A210" s="6">
        <v>23</v>
      </c>
      <c r="B210" s="7"/>
      <c r="C210" s="223">
        <v>0.2492</v>
      </c>
      <c r="D210" s="220">
        <v>90.23</v>
      </c>
      <c r="E210" s="223">
        <v>0.90959999999999996</v>
      </c>
      <c r="F210" s="220">
        <v>89.65</v>
      </c>
      <c r="G210" s="223">
        <v>1.0015000000000001</v>
      </c>
      <c r="H210" s="220">
        <v>0.01</v>
      </c>
      <c r="I210" s="223">
        <v>0.98650000000000004</v>
      </c>
      <c r="J210" s="220">
        <v>113.25</v>
      </c>
      <c r="K210" s="223">
        <v>0.1144</v>
      </c>
      <c r="L210" s="220">
        <v>-90.81</v>
      </c>
      <c r="M210" s="223">
        <v>8.8599999999999998E-2</v>
      </c>
      <c r="N210" s="220">
        <v>-176.13</v>
      </c>
      <c r="AC210" s="213"/>
    </row>
    <row r="211" spans="1:29" ht="12.75" customHeight="1" x14ac:dyDescent="0.2">
      <c r="A211" s="6">
        <v>22</v>
      </c>
      <c r="B211" s="7"/>
      <c r="C211" s="223">
        <v>0.2482</v>
      </c>
      <c r="D211" s="220">
        <v>90.25</v>
      </c>
      <c r="E211" s="223">
        <v>0.90210000000000001</v>
      </c>
      <c r="F211" s="220">
        <v>89.36</v>
      </c>
      <c r="G211" s="223">
        <v>1.0019</v>
      </c>
      <c r="H211" s="220">
        <v>0.02</v>
      </c>
      <c r="I211" s="223">
        <v>1.2923</v>
      </c>
      <c r="J211" s="220">
        <v>121.68</v>
      </c>
      <c r="K211" s="223">
        <v>0.12520000000000001</v>
      </c>
      <c r="L211" s="220">
        <v>-90.91</v>
      </c>
      <c r="M211" s="223">
        <v>9.4799999999999995E-2</v>
      </c>
      <c r="N211" s="220">
        <v>-175.57</v>
      </c>
      <c r="AC211" s="213"/>
    </row>
    <row r="212" spans="1:29" ht="12.75" customHeight="1" x14ac:dyDescent="0.2">
      <c r="A212" s="6">
        <v>21</v>
      </c>
      <c r="B212" s="7"/>
      <c r="C212" s="223">
        <v>0.24709999999999999</v>
      </c>
      <c r="D212" s="220">
        <v>90.26</v>
      </c>
      <c r="E212" s="223">
        <v>0.89549999999999996</v>
      </c>
      <c r="F212" s="220">
        <v>88.71</v>
      </c>
      <c r="G212" s="223">
        <v>1.0024</v>
      </c>
      <c r="H212" s="220">
        <v>0.02</v>
      </c>
      <c r="I212" s="223">
        <v>1.7757000000000001</v>
      </c>
      <c r="J212" s="220">
        <v>137.93</v>
      </c>
      <c r="K212" s="223">
        <v>0.13769999999999999</v>
      </c>
      <c r="L212" s="220">
        <v>-91.05</v>
      </c>
      <c r="M212" s="223">
        <v>9.9500000000000005E-2</v>
      </c>
      <c r="N212" s="220">
        <v>-175.42</v>
      </c>
      <c r="AC212" s="213"/>
    </row>
    <row r="213" spans="1:29" ht="12.75" customHeight="1" x14ac:dyDescent="0.2">
      <c r="A213" s="6">
        <v>20.5</v>
      </c>
      <c r="B213" s="7"/>
      <c r="C213" s="223">
        <v>0.2465</v>
      </c>
      <c r="D213" s="220">
        <v>90.27</v>
      </c>
      <c r="E213" s="223">
        <v>0.89590000000000003</v>
      </c>
      <c r="F213" s="220">
        <v>88.2</v>
      </c>
      <c r="G213" s="223">
        <v>1.0026999999999999</v>
      </c>
      <c r="H213" s="220">
        <v>0.03</v>
      </c>
      <c r="I213" s="223">
        <v>2.0596999999999999</v>
      </c>
      <c r="J213" s="220">
        <v>151.5</v>
      </c>
      <c r="K213" s="223">
        <v>0.1447</v>
      </c>
      <c r="L213" s="220">
        <v>-91.14</v>
      </c>
      <c r="M213" s="223">
        <v>0.10100000000000001</v>
      </c>
      <c r="N213" s="220">
        <v>-176.32</v>
      </c>
      <c r="AC213" s="213"/>
    </row>
    <row r="214" spans="1:29" ht="12.75" customHeight="1" x14ac:dyDescent="0.2">
      <c r="A214" s="6">
        <v>20</v>
      </c>
      <c r="B214" s="7"/>
      <c r="C214" s="223">
        <v>0.24579999999999999</v>
      </c>
      <c r="D214" s="220">
        <v>90.28</v>
      </c>
      <c r="E214" s="223">
        <v>0.90190000000000003</v>
      </c>
      <c r="F214" s="220">
        <v>87.8</v>
      </c>
      <c r="G214" s="223">
        <v>1.0031000000000001</v>
      </c>
      <c r="H214" s="220">
        <v>0.04</v>
      </c>
      <c r="I214" s="223">
        <v>2.2463000000000002</v>
      </c>
      <c r="J214" s="220">
        <v>169.5</v>
      </c>
      <c r="K214" s="223">
        <v>0.15240000000000001</v>
      </c>
      <c r="L214" s="220">
        <v>-91.23</v>
      </c>
      <c r="M214" s="223">
        <v>0.10340000000000001</v>
      </c>
      <c r="N214" s="220">
        <v>-178.64</v>
      </c>
      <c r="AC214" s="213"/>
    </row>
    <row r="215" spans="1:29" ht="12.75" customHeight="1" x14ac:dyDescent="0.2">
      <c r="A215" s="6">
        <v>19.5</v>
      </c>
      <c r="B215" s="7"/>
      <c r="C215" s="223">
        <v>0.24510000000000001</v>
      </c>
      <c r="D215" s="220">
        <v>90.3</v>
      </c>
      <c r="E215" s="223">
        <v>0.91069999999999995</v>
      </c>
      <c r="F215" s="220">
        <v>87.85</v>
      </c>
      <c r="G215" s="223">
        <v>1.0036</v>
      </c>
      <c r="H215" s="220">
        <v>0.04</v>
      </c>
      <c r="I215" s="223">
        <v>2.1821999999999999</v>
      </c>
      <c r="J215" s="220">
        <v>-170.47</v>
      </c>
      <c r="K215" s="223">
        <v>0.16070000000000001</v>
      </c>
      <c r="L215" s="220">
        <v>-91.29</v>
      </c>
      <c r="M215" s="223">
        <v>0.1096</v>
      </c>
      <c r="N215" s="220">
        <v>178.44</v>
      </c>
      <c r="AC215" s="213"/>
    </row>
    <row r="216" spans="1:29" ht="12.75" customHeight="1" x14ac:dyDescent="0.2">
      <c r="A216" s="6">
        <v>19</v>
      </c>
      <c r="B216" s="7"/>
      <c r="C216" s="223">
        <v>0.24429999999999999</v>
      </c>
      <c r="D216" s="220">
        <v>90.31</v>
      </c>
      <c r="E216" s="223">
        <v>0.91490000000000005</v>
      </c>
      <c r="F216" s="220">
        <v>88.31</v>
      </c>
      <c r="G216" s="223">
        <v>1.0041</v>
      </c>
      <c r="H216" s="220">
        <v>0.05</v>
      </c>
      <c r="I216" s="223">
        <v>1.8928</v>
      </c>
      <c r="J216" s="220">
        <v>-152.85</v>
      </c>
      <c r="K216" s="223">
        <v>0.1696</v>
      </c>
      <c r="L216" s="220">
        <v>-91.33</v>
      </c>
      <c r="M216" s="223">
        <v>0.1192</v>
      </c>
      <c r="N216" s="220">
        <v>176.85</v>
      </c>
      <c r="AC216" s="213"/>
    </row>
    <row r="217" spans="1:29" ht="12.75" customHeight="1" x14ac:dyDescent="0.2">
      <c r="A217" s="6">
        <v>18.5</v>
      </c>
      <c r="B217" s="7"/>
      <c r="C217" s="223">
        <v>0.24349999999999999</v>
      </c>
      <c r="D217" s="220">
        <v>90.33</v>
      </c>
      <c r="E217" s="223">
        <v>0.91290000000000004</v>
      </c>
      <c r="F217" s="220">
        <v>88.8</v>
      </c>
      <c r="G217" s="223">
        <v>1.0047999999999999</v>
      </c>
      <c r="H217" s="220">
        <v>0.06</v>
      </c>
      <c r="I217" s="223">
        <v>1.5475000000000001</v>
      </c>
      <c r="J217" s="220">
        <v>-139.79</v>
      </c>
      <c r="K217" s="223">
        <v>0.17929999999999999</v>
      </c>
      <c r="L217" s="220">
        <v>-91.38</v>
      </c>
      <c r="M217" s="223">
        <v>0.1295</v>
      </c>
      <c r="N217" s="220">
        <v>176.65</v>
      </c>
      <c r="AC217" s="213"/>
    </row>
    <row r="218" spans="1:29" ht="12.75" customHeight="1" x14ac:dyDescent="0.2">
      <c r="A218" s="6">
        <v>18</v>
      </c>
      <c r="B218" s="7"/>
      <c r="C218" s="223">
        <v>0.24260000000000001</v>
      </c>
      <c r="D218" s="220">
        <v>90.35</v>
      </c>
      <c r="E218" s="223">
        <v>0.90759999999999996</v>
      </c>
      <c r="F218" s="220">
        <v>89.16</v>
      </c>
      <c r="G218" s="223">
        <v>1.0056</v>
      </c>
      <c r="H218" s="220">
        <v>0.08</v>
      </c>
      <c r="I218" s="223">
        <v>1.2465999999999999</v>
      </c>
      <c r="J218" s="220">
        <v>-130.78</v>
      </c>
      <c r="K218" s="223">
        <v>0.1898</v>
      </c>
      <c r="L218" s="220">
        <v>-91.44</v>
      </c>
      <c r="M218" s="223">
        <v>0.13919999999999999</v>
      </c>
      <c r="N218" s="220">
        <v>177.03</v>
      </c>
      <c r="AC218" s="213"/>
    </row>
    <row r="219" spans="1:29" ht="12.75" customHeight="1" x14ac:dyDescent="0.2">
      <c r="A219" s="6">
        <v>17</v>
      </c>
      <c r="B219" s="8"/>
      <c r="C219" s="223">
        <v>0.2404</v>
      </c>
      <c r="D219" s="220">
        <v>90.4</v>
      </c>
      <c r="E219" s="223">
        <v>0.89339999999999997</v>
      </c>
      <c r="F219" s="220">
        <v>89.54</v>
      </c>
      <c r="G219" s="223">
        <v>1.0077</v>
      </c>
      <c r="H219" s="220">
        <v>0.12</v>
      </c>
      <c r="I219" s="223">
        <v>0.82040000000000002</v>
      </c>
      <c r="J219" s="220">
        <v>-120.44</v>
      </c>
      <c r="K219" s="223">
        <v>0.21390000000000001</v>
      </c>
      <c r="L219" s="220">
        <v>-91.62</v>
      </c>
      <c r="M219" s="223">
        <v>0.158</v>
      </c>
      <c r="N219" s="220">
        <v>177.96</v>
      </c>
      <c r="AC219" s="213"/>
    </row>
    <row r="220" spans="1:29" ht="12.75" customHeight="1" x14ac:dyDescent="0.2">
      <c r="A220" s="6">
        <v>16</v>
      </c>
      <c r="B220" s="8"/>
      <c r="C220" s="223">
        <v>0.2379</v>
      </c>
      <c r="D220" s="220">
        <v>90.46</v>
      </c>
      <c r="E220" s="223">
        <v>0.87719999999999998</v>
      </c>
      <c r="F220" s="220">
        <v>89.68</v>
      </c>
      <c r="G220" s="223">
        <v>1.0107999999999999</v>
      </c>
      <c r="H220" s="220">
        <v>0.18</v>
      </c>
      <c r="I220" s="223">
        <v>0.54949999999999999</v>
      </c>
      <c r="J220" s="220">
        <v>-115.89</v>
      </c>
      <c r="K220" s="223">
        <v>0.2432</v>
      </c>
      <c r="L220" s="220">
        <v>-91.85</v>
      </c>
      <c r="M220" s="223">
        <v>0.1779</v>
      </c>
      <c r="N220" s="220">
        <v>178.64</v>
      </c>
      <c r="AC220" s="213"/>
    </row>
    <row r="221" spans="1:29" ht="12.75" customHeight="1" x14ac:dyDescent="0.2">
      <c r="A221" s="6">
        <v>15</v>
      </c>
      <c r="B221" s="8"/>
      <c r="C221" s="223">
        <v>0.2349</v>
      </c>
      <c r="D221" s="220">
        <v>90.55</v>
      </c>
      <c r="E221" s="223">
        <v>0.85840000000000005</v>
      </c>
      <c r="F221" s="220">
        <v>89.71</v>
      </c>
      <c r="G221" s="223">
        <v>1.0156000000000001</v>
      </c>
      <c r="H221" s="220">
        <v>0.3</v>
      </c>
      <c r="I221" s="223">
        <v>0.3599</v>
      </c>
      <c r="J221" s="220">
        <v>-115.25</v>
      </c>
      <c r="K221" s="223">
        <v>0.27960000000000002</v>
      </c>
      <c r="L221" s="220">
        <v>-92.13</v>
      </c>
      <c r="M221" s="223">
        <v>0.20050000000000001</v>
      </c>
      <c r="N221" s="220">
        <v>179.12</v>
      </c>
      <c r="AC221" s="213"/>
    </row>
    <row r="222" spans="1:29" ht="12.75" customHeight="1" x14ac:dyDescent="0.2">
      <c r="A222" s="6">
        <v>14</v>
      </c>
      <c r="B222" s="8"/>
      <c r="C222" s="223">
        <v>0.23130000000000001</v>
      </c>
      <c r="D222" s="220">
        <v>90.71</v>
      </c>
      <c r="E222" s="223">
        <v>0.83599999999999997</v>
      </c>
      <c r="F222" s="220">
        <v>89.67</v>
      </c>
      <c r="G222" s="223">
        <v>1.0234000000000001</v>
      </c>
      <c r="H222" s="220">
        <v>0.5</v>
      </c>
      <c r="I222" s="223">
        <v>0.21429999999999999</v>
      </c>
      <c r="J222" s="220">
        <v>-119.87</v>
      </c>
      <c r="K222" s="223">
        <v>0.32590000000000002</v>
      </c>
      <c r="L222" s="220">
        <v>-92.45</v>
      </c>
      <c r="M222" s="223">
        <v>0.2266</v>
      </c>
      <c r="N222" s="220">
        <v>179.47</v>
      </c>
      <c r="AC222" s="213"/>
    </row>
    <row r="223" spans="1:29" ht="12.75" customHeight="1" x14ac:dyDescent="0.2">
      <c r="A223" s="6">
        <v>13</v>
      </c>
      <c r="B223" s="8"/>
      <c r="C223" s="223">
        <v>0.22689999999999999</v>
      </c>
      <c r="D223" s="220">
        <v>91.04</v>
      </c>
      <c r="E223" s="223">
        <v>0.80810000000000004</v>
      </c>
      <c r="F223" s="220">
        <v>89.53</v>
      </c>
      <c r="G223" s="223">
        <v>1.0367</v>
      </c>
      <c r="H223" s="220">
        <v>0.88</v>
      </c>
      <c r="I223" s="223">
        <v>0.1011</v>
      </c>
      <c r="J223" s="220">
        <v>-141.94</v>
      </c>
      <c r="K223" s="223">
        <v>0.38700000000000001</v>
      </c>
      <c r="L223" s="220">
        <v>-92.75</v>
      </c>
      <c r="M223" s="223">
        <v>0.25700000000000001</v>
      </c>
      <c r="N223" s="220">
        <v>179.76</v>
      </c>
      <c r="AC223" s="213"/>
    </row>
    <row r="224" spans="1:29" ht="12.75" customHeight="1" x14ac:dyDescent="0.2">
      <c r="A224" s="6">
        <v>12</v>
      </c>
      <c r="B224" s="8"/>
      <c r="C224" s="223">
        <v>0.22159999999999999</v>
      </c>
      <c r="D224" s="220">
        <v>91.77</v>
      </c>
      <c r="E224" s="223">
        <v>0.77290000000000003</v>
      </c>
      <c r="F224" s="220">
        <v>89.26</v>
      </c>
      <c r="G224" s="223">
        <v>1.0609999999999999</v>
      </c>
      <c r="H224" s="220">
        <v>1.66</v>
      </c>
      <c r="I224" s="223">
        <v>8.3000000000000004E-2</v>
      </c>
      <c r="J224" s="220">
        <v>139.24</v>
      </c>
      <c r="K224" s="223">
        <v>0.4713</v>
      </c>
      <c r="L224" s="220">
        <v>-92.86</v>
      </c>
      <c r="M224" s="223">
        <v>0.29239999999999999</v>
      </c>
      <c r="N224" s="220">
        <v>-179.97</v>
      </c>
      <c r="AC224" s="213"/>
    </row>
    <row r="225" spans="1:29" ht="12.75" customHeight="1" x14ac:dyDescent="0.2">
      <c r="A225" s="6">
        <v>11</v>
      </c>
      <c r="B225" s="8"/>
      <c r="C225" s="223">
        <v>0.21429999999999999</v>
      </c>
      <c r="D225" s="220">
        <v>93.4</v>
      </c>
      <c r="E225" s="223">
        <v>0.72760000000000002</v>
      </c>
      <c r="F225" s="220">
        <v>88.82</v>
      </c>
      <c r="G225" s="223">
        <v>1.1108</v>
      </c>
      <c r="H225" s="220">
        <v>3.48</v>
      </c>
      <c r="I225" s="223">
        <v>0.17829999999999999</v>
      </c>
      <c r="J225" s="220">
        <v>106.63</v>
      </c>
      <c r="K225" s="223">
        <v>0.59489999999999998</v>
      </c>
      <c r="L225" s="220">
        <v>-92.35</v>
      </c>
      <c r="M225" s="223">
        <v>0.33260000000000001</v>
      </c>
      <c r="N225" s="220">
        <v>-179.69</v>
      </c>
      <c r="AC225" s="213"/>
    </row>
    <row r="226" spans="1:29" ht="12.75" customHeight="1" x14ac:dyDescent="0.2">
      <c r="A226" s="6">
        <v>10</v>
      </c>
      <c r="B226" s="8"/>
      <c r="C226" s="223">
        <v>0.20319999999999999</v>
      </c>
      <c r="D226" s="220">
        <v>97</v>
      </c>
      <c r="E226" s="223">
        <v>0.66849999999999998</v>
      </c>
      <c r="F226" s="220">
        <v>88.15</v>
      </c>
      <c r="G226" s="223">
        <v>1.2269000000000001</v>
      </c>
      <c r="H226" s="220">
        <v>8.89</v>
      </c>
      <c r="I226" s="223">
        <v>0.29849999999999999</v>
      </c>
      <c r="J226" s="220">
        <v>97.9</v>
      </c>
      <c r="K226" s="223">
        <v>0.79420000000000002</v>
      </c>
      <c r="L226" s="220">
        <v>-90.48</v>
      </c>
      <c r="M226" s="223">
        <v>0.37590000000000001</v>
      </c>
      <c r="N226" s="220">
        <v>-179.42</v>
      </c>
      <c r="AC226" s="213"/>
    </row>
    <row r="227" spans="1:29" ht="12.75" customHeight="1" x14ac:dyDescent="0.2">
      <c r="A227" s="6">
        <v>9</v>
      </c>
      <c r="B227" s="8"/>
      <c r="C227" s="223">
        <v>0.1857</v>
      </c>
      <c r="D227" s="220">
        <v>107.08</v>
      </c>
      <c r="E227" s="223">
        <v>0.58819999999999995</v>
      </c>
      <c r="F227" s="220">
        <v>87.35</v>
      </c>
      <c r="G227" s="223">
        <v>1.4537</v>
      </c>
      <c r="H227" s="220">
        <v>31.43</v>
      </c>
      <c r="I227" s="223">
        <v>0.44390000000000002</v>
      </c>
      <c r="J227" s="220">
        <v>95.4</v>
      </c>
      <c r="K227" s="223">
        <v>1.2217</v>
      </c>
      <c r="L227" s="220">
        <v>-83.06</v>
      </c>
      <c r="M227" s="223">
        <v>0.41660000000000003</v>
      </c>
      <c r="N227" s="220">
        <v>-179.43</v>
      </c>
      <c r="AC227" s="213"/>
    </row>
    <row r="228" spans="1:29" ht="12.75" customHeight="1" x14ac:dyDescent="0.2">
      <c r="A228" s="6">
        <v>8</v>
      </c>
      <c r="B228" s="9"/>
      <c r="C228" s="223">
        <v>0.1031</v>
      </c>
      <c r="D228" s="220">
        <v>141.41999999999999</v>
      </c>
      <c r="E228" s="223">
        <v>0.47</v>
      </c>
      <c r="F228" s="220">
        <v>86.06</v>
      </c>
      <c r="G228" s="223">
        <v>0.68230000000000002</v>
      </c>
      <c r="H228" s="220">
        <v>85.93</v>
      </c>
      <c r="I228" s="223">
        <v>0.58520000000000005</v>
      </c>
      <c r="J228" s="220">
        <v>101.26</v>
      </c>
      <c r="K228" s="223">
        <v>1.7221</v>
      </c>
      <c r="L228" s="220">
        <v>-44.02</v>
      </c>
      <c r="M228" s="223">
        <v>0.44400000000000001</v>
      </c>
      <c r="N228" s="220">
        <v>179.61</v>
      </c>
      <c r="AC228" s="213"/>
    </row>
    <row r="229" spans="1:29" ht="12.75" customHeight="1" x14ac:dyDescent="0.2">
      <c r="A229" s="6">
        <v>7</v>
      </c>
      <c r="B229" s="9"/>
      <c r="C229" s="223">
        <v>2.7099999999999999E-2</v>
      </c>
      <c r="D229" s="220">
        <v>-8.36</v>
      </c>
      <c r="E229" s="223">
        <v>0.31240000000000001</v>
      </c>
      <c r="F229" s="220">
        <v>81</v>
      </c>
      <c r="G229" s="223">
        <v>0.1653</v>
      </c>
      <c r="H229" s="220">
        <v>67.06</v>
      </c>
      <c r="I229" s="223">
        <v>0.56110000000000004</v>
      </c>
      <c r="J229" s="220">
        <v>107.56</v>
      </c>
      <c r="K229" s="223">
        <v>0.97070000000000001</v>
      </c>
      <c r="L229" s="220">
        <v>-6.52</v>
      </c>
      <c r="M229" s="223">
        <v>0.435</v>
      </c>
      <c r="N229" s="220">
        <v>177.41</v>
      </c>
      <c r="AC229" s="213"/>
    </row>
    <row r="230" spans="1:29" ht="12.75" customHeight="1" x14ac:dyDescent="0.2">
      <c r="A230" s="6">
        <v>6</v>
      </c>
      <c r="B230" s="9"/>
      <c r="C230" s="223">
        <v>5.6899999999999999E-2</v>
      </c>
      <c r="D230" s="220">
        <v>9.7100000000000009</v>
      </c>
      <c r="E230" s="223">
        <v>0.13730000000000001</v>
      </c>
      <c r="F230" s="220">
        <v>65.77</v>
      </c>
      <c r="G230" s="223">
        <v>7.9399999999999998E-2</v>
      </c>
      <c r="H230" s="220">
        <v>-27.41</v>
      </c>
      <c r="I230" s="223">
        <v>0.41699999999999998</v>
      </c>
      <c r="J230" s="220">
        <v>100.63</v>
      </c>
      <c r="K230" s="223">
        <v>0.40539999999999998</v>
      </c>
      <c r="L230" s="220">
        <v>-1.63</v>
      </c>
      <c r="M230" s="223">
        <v>0.34589999999999999</v>
      </c>
      <c r="N230" s="220">
        <v>171.48</v>
      </c>
      <c r="AC230" s="213"/>
    </row>
    <row r="231" spans="1:29" ht="12.75" customHeight="1" x14ac:dyDescent="0.2">
      <c r="A231" s="6">
        <v>5</v>
      </c>
      <c r="B231" s="9"/>
      <c r="C231" s="223">
        <v>2.8899999999999999E-2</v>
      </c>
      <c r="D231" s="220">
        <v>4.8899999999999997</v>
      </c>
      <c r="E231" s="223">
        <v>2.8500000000000001E-2</v>
      </c>
      <c r="F231" s="220">
        <v>-47.96</v>
      </c>
      <c r="G231" s="223">
        <v>6.3299999999999995E-2</v>
      </c>
      <c r="H231" s="220">
        <v>-82.06</v>
      </c>
      <c r="I231" s="223">
        <v>0.22739999999999999</v>
      </c>
      <c r="J231" s="220">
        <v>78.489999999999995</v>
      </c>
      <c r="K231" s="223">
        <v>7.8600000000000003E-2</v>
      </c>
      <c r="L231" s="220">
        <v>-37.89</v>
      </c>
      <c r="M231" s="223">
        <v>0.1135</v>
      </c>
      <c r="N231" s="220">
        <v>138.37</v>
      </c>
      <c r="AC231" s="213"/>
    </row>
    <row r="232" spans="1:29" ht="12.75" customHeight="1" x14ac:dyDescent="0.2">
      <c r="A232" s="6">
        <v>4.5</v>
      </c>
      <c r="B232" s="9"/>
      <c r="C232" s="223">
        <v>8.6999999999999994E-3</v>
      </c>
      <c r="D232" s="220">
        <v>-85.22</v>
      </c>
      <c r="E232" s="223">
        <v>2.9700000000000001E-2</v>
      </c>
      <c r="F232" s="220">
        <v>-102.22</v>
      </c>
      <c r="G232" s="223">
        <v>4.3700000000000003E-2</v>
      </c>
      <c r="H232" s="220">
        <v>-111.11</v>
      </c>
      <c r="I232" s="223">
        <v>0.14069999999999999</v>
      </c>
      <c r="J232" s="220">
        <v>51.74</v>
      </c>
      <c r="K232" s="223">
        <v>2.75E-2</v>
      </c>
      <c r="L232" s="220">
        <v>-131.21</v>
      </c>
      <c r="M232" s="223">
        <v>4.9200000000000001E-2</v>
      </c>
      <c r="N232" s="220">
        <v>63.95</v>
      </c>
      <c r="AC232" s="213"/>
    </row>
    <row r="233" spans="1:29" ht="12.75" customHeight="1" x14ac:dyDescent="0.2">
      <c r="A233" s="6">
        <v>4</v>
      </c>
      <c r="B233" s="9"/>
      <c r="C233" s="223">
        <v>5.8999999999999999E-3</v>
      </c>
      <c r="D233" s="220">
        <v>-149.47</v>
      </c>
      <c r="E233" s="223">
        <v>1.4999999999999999E-2</v>
      </c>
      <c r="F233" s="220">
        <v>165.33</v>
      </c>
      <c r="G233" s="223">
        <v>2.06E-2</v>
      </c>
      <c r="H233" s="220">
        <v>-157.97</v>
      </c>
      <c r="I233" s="223">
        <v>7.9299999999999995E-2</v>
      </c>
      <c r="J233" s="220">
        <v>20.56</v>
      </c>
      <c r="K233" s="223">
        <v>3.1600000000000003E-2</v>
      </c>
      <c r="L233" s="220">
        <v>158.79</v>
      </c>
      <c r="M233" s="223">
        <v>6.0900000000000003E-2</v>
      </c>
      <c r="N233" s="220">
        <v>-3.97</v>
      </c>
      <c r="AC233" s="213"/>
    </row>
    <row r="234" spans="1:29" ht="12.75" customHeight="1" x14ac:dyDescent="0.2">
      <c r="A234" s="6">
        <v>3.5</v>
      </c>
      <c r="B234" s="9"/>
      <c r="C234" s="223">
        <v>2.5000000000000001E-3</v>
      </c>
      <c r="D234" s="220">
        <v>63.14</v>
      </c>
      <c r="E234" s="223">
        <v>1.9099999999999999E-2</v>
      </c>
      <c r="F234" s="220">
        <v>56.53</v>
      </c>
      <c r="G234" s="223">
        <v>6.3E-3</v>
      </c>
      <c r="H234" s="220">
        <v>110.54</v>
      </c>
      <c r="I234" s="223">
        <v>3.2300000000000002E-2</v>
      </c>
      <c r="J234" s="220">
        <v>-14.97</v>
      </c>
      <c r="K234" s="223">
        <v>1.4999999999999999E-2</v>
      </c>
      <c r="L234" s="220">
        <v>80.27</v>
      </c>
      <c r="M234" s="223">
        <v>1.4999999999999999E-2</v>
      </c>
      <c r="N234" s="220">
        <v>-96.21</v>
      </c>
      <c r="AC234" s="213"/>
    </row>
    <row r="235" spans="1:29" ht="12.75" customHeight="1" x14ac:dyDescent="0.2">
      <c r="A235" s="6">
        <v>3</v>
      </c>
      <c r="B235" s="9"/>
      <c r="C235" s="223">
        <v>2E-3</v>
      </c>
      <c r="D235" s="220">
        <v>-62.56</v>
      </c>
      <c r="E235" s="223">
        <v>1.2800000000000001E-2</v>
      </c>
      <c r="F235" s="220">
        <v>-63.16</v>
      </c>
      <c r="G235" s="223">
        <v>2E-3</v>
      </c>
      <c r="H235" s="220">
        <v>-60.35</v>
      </c>
      <c r="I235" s="223">
        <v>1.09E-2</v>
      </c>
      <c r="J235" s="220">
        <v>-68.209999999999994</v>
      </c>
      <c r="K235" s="223">
        <v>4.1000000000000003E-3</v>
      </c>
      <c r="L235" s="220">
        <v>-68.209999999999994</v>
      </c>
      <c r="M235" s="223">
        <v>8.5000000000000006E-3</v>
      </c>
      <c r="N235" s="220">
        <v>33.619999999999997</v>
      </c>
      <c r="AC235" s="213"/>
    </row>
    <row r="236" spans="1:29" ht="12.75" customHeight="1" x14ac:dyDescent="0.2">
      <c r="A236" s="6">
        <v>0</v>
      </c>
      <c r="B236" s="9"/>
      <c r="C236" s="223">
        <v>0</v>
      </c>
      <c r="D236" s="220">
        <v>0</v>
      </c>
      <c r="E236" s="223">
        <v>0</v>
      </c>
      <c r="F236" s="220">
        <v>0</v>
      </c>
      <c r="G236" s="223">
        <v>0</v>
      </c>
      <c r="H236" s="220">
        <v>0</v>
      </c>
      <c r="I236" s="223">
        <v>0</v>
      </c>
      <c r="J236" s="220">
        <v>0</v>
      </c>
      <c r="K236" s="223">
        <v>0</v>
      </c>
      <c r="L236" s="220">
        <v>0</v>
      </c>
      <c r="M236" s="223">
        <v>0</v>
      </c>
      <c r="N236" s="220">
        <v>0</v>
      </c>
    </row>
    <row r="237" spans="1:29" ht="12.75" customHeight="1" x14ac:dyDescent="0.2">
      <c r="A237" s="6">
        <v>0</v>
      </c>
      <c r="B237" s="9"/>
      <c r="C237" s="223">
        <v>0</v>
      </c>
      <c r="D237" s="220">
        <v>0</v>
      </c>
      <c r="E237" s="223">
        <v>0</v>
      </c>
      <c r="F237" s="220">
        <v>0</v>
      </c>
      <c r="G237" s="223">
        <v>0</v>
      </c>
      <c r="H237" s="220">
        <v>0</v>
      </c>
      <c r="I237" s="223">
        <v>0</v>
      </c>
      <c r="J237" s="220">
        <v>0</v>
      </c>
      <c r="K237" s="223">
        <v>0</v>
      </c>
      <c r="L237" s="220">
        <v>0</v>
      </c>
      <c r="M237" s="223">
        <v>0</v>
      </c>
      <c r="N237" s="220">
        <v>0</v>
      </c>
    </row>
    <row r="238" spans="1:29" ht="12.75" customHeight="1" x14ac:dyDescent="0.2">
      <c r="A238" s="6">
        <v>0</v>
      </c>
      <c r="B238" s="9"/>
      <c r="C238" s="223">
        <v>0</v>
      </c>
      <c r="D238" s="220">
        <v>0</v>
      </c>
      <c r="E238" s="223">
        <v>0</v>
      </c>
      <c r="F238" s="220">
        <v>0</v>
      </c>
      <c r="G238" s="223">
        <v>0</v>
      </c>
      <c r="H238" s="220">
        <v>0</v>
      </c>
      <c r="I238" s="223">
        <v>0</v>
      </c>
      <c r="J238" s="220">
        <v>0</v>
      </c>
      <c r="K238" s="223">
        <v>0</v>
      </c>
      <c r="L238" s="220">
        <v>0</v>
      </c>
      <c r="M238" s="223">
        <v>0</v>
      </c>
      <c r="N238" s="220">
        <v>0</v>
      </c>
    </row>
    <row r="239" spans="1:29" ht="12.75" customHeight="1" x14ac:dyDescent="0.2">
      <c r="A239" s="6">
        <v>0</v>
      </c>
      <c r="B239" s="9"/>
      <c r="C239" s="223">
        <v>0</v>
      </c>
      <c r="D239" s="220">
        <v>0</v>
      </c>
      <c r="E239" s="223">
        <v>0</v>
      </c>
      <c r="F239" s="220">
        <v>0</v>
      </c>
      <c r="G239" s="223">
        <v>0</v>
      </c>
      <c r="H239" s="220">
        <v>0</v>
      </c>
      <c r="I239" s="223">
        <v>0</v>
      </c>
      <c r="J239" s="220">
        <v>0</v>
      </c>
      <c r="K239" s="223">
        <v>0</v>
      </c>
      <c r="L239" s="220">
        <v>0</v>
      </c>
      <c r="M239" s="223">
        <v>0</v>
      </c>
      <c r="N239" s="220">
        <v>0</v>
      </c>
    </row>
    <row r="240" spans="1:29" ht="12.75" customHeight="1" thickBot="1" x14ac:dyDescent="0.25">
      <c r="A240" s="10">
        <v>0</v>
      </c>
      <c r="B240" s="11"/>
      <c r="C240" s="12">
        <v>0</v>
      </c>
      <c r="D240" s="13">
        <v>0</v>
      </c>
      <c r="E240" s="12">
        <v>0</v>
      </c>
      <c r="F240" s="13">
        <v>0</v>
      </c>
      <c r="G240" s="12">
        <v>0</v>
      </c>
      <c r="H240" s="13">
        <v>0</v>
      </c>
      <c r="I240" s="12">
        <v>0</v>
      </c>
      <c r="J240" s="13">
        <v>0</v>
      </c>
      <c r="K240" s="12">
        <v>0</v>
      </c>
      <c r="L240" s="13">
        <v>0</v>
      </c>
      <c r="M240" s="12">
        <v>0</v>
      </c>
      <c r="N240" s="13">
        <v>0</v>
      </c>
    </row>
    <row r="241" spans="1:29" ht="20.100000000000001" customHeight="1" x14ac:dyDescent="0.25">
      <c r="A241" s="395" t="str">
        <f>A201</f>
        <v>Paragon DPDS3</v>
      </c>
      <c r="B241" s="395"/>
      <c r="C241" s="395"/>
      <c r="D241" s="395"/>
      <c r="E241" s="395"/>
      <c r="F241" s="395"/>
      <c r="G241" s="395"/>
      <c r="H241" s="395"/>
      <c r="I241" s="395"/>
      <c r="J241" s="395"/>
      <c r="K241" s="395"/>
      <c r="L241" s="395"/>
      <c r="M241" s="395"/>
      <c r="N241" s="395"/>
    </row>
    <row r="242" spans="1:29" ht="20.100000000000001" customHeight="1" thickBot="1" x14ac:dyDescent="0.3">
      <c r="A242" s="396" t="s">
        <v>5</v>
      </c>
      <c r="B242" s="396"/>
      <c r="C242" s="396"/>
      <c r="D242" s="396"/>
      <c r="E242" s="396"/>
      <c r="F242" s="396"/>
      <c r="G242" s="396"/>
      <c r="H242" s="396"/>
      <c r="I242" s="396"/>
      <c r="J242" s="396"/>
      <c r="K242" s="396"/>
      <c r="L242" s="396"/>
      <c r="M242" s="396"/>
      <c r="N242" s="396"/>
    </row>
    <row r="243" spans="1:29" ht="12.75" customHeight="1" x14ac:dyDescent="0.2">
      <c r="A243" s="397" t="s">
        <v>12</v>
      </c>
      <c r="B243" s="399" t="s">
        <v>13</v>
      </c>
      <c r="C243" s="401" t="s">
        <v>6</v>
      </c>
      <c r="D243" s="402"/>
      <c r="E243" s="401" t="s">
        <v>7</v>
      </c>
      <c r="F243" s="402"/>
      <c r="G243" s="401" t="s">
        <v>8</v>
      </c>
      <c r="H243" s="402"/>
      <c r="I243" s="401" t="s">
        <v>9</v>
      </c>
      <c r="J243" s="402"/>
      <c r="K243" s="401" t="s">
        <v>10</v>
      </c>
      <c r="L243" s="402"/>
      <c r="M243" s="401" t="s">
        <v>11</v>
      </c>
      <c r="N243" s="402"/>
    </row>
    <row r="244" spans="1:29" ht="12.75" customHeight="1" x14ac:dyDescent="0.2">
      <c r="A244" s="398"/>
      <c r="B244" s="400"/>
      <c r="C244" s="222" t="s">
        <v>0</v>
      </c>
      <c r="D244" s="217" t="s">
        <v>1</v>
      </c>
      <c r="E244" s="222" t="s">
        <v>0</v>
      </c>
      <c r="F244" s="217" t="s">
        <v>1</v>
      </c>
      <c r="G244" s="222" t="s">
        <v>0</v>
      </c>
      <c r="H244" s="217" t="s">
        <v>1</v>
      </c>
      <c r="I244" s="222" t="s">
        <v>0</v>
      </c>
      <c r="J244" s="217" t="s">
        <v>1</v>
      </c>
      <c r="K244" s="222" t="s">
        <v>0</v>
      </c>
      <c r="L244" s="217" t="s">
        <v>1</v>
      </c>
      <c r="M244" s="222" t="s">
        <v>0</v>
      </c>
      <c r="N244" s="217" t="s">
        <v>1</v>
      </c>
    </row>
    <row r="245" spans="1:29" ht="12.75" customHeight="1" thickBot="1" x14ac:dyDescent="0.25">
      <c r="A245" s="2" t="s">
        <v>14</v>
      </c>
      <c r="B245" s="3" t="s">
        <v>15</v>
      </c>
      <c r="C245" s="2" t="s">
        <v>19</v>
      </c>
      <c r="D245" s="3" t="s">
        <v>15</v>
      </c>
      <c r="E245" s="2" t="s">
        <v>19</v>
      </c>
      <c r="F245" s="3" t="s">
        <v>15</v>
      </c>
      <c r="G245" s="2" t="s">
        <v>19</v>
      </c>
      <c r="H245" s="3" t="s">
        <v>15</v>
      </c>
      <c r="I245" s="2" t="s">
        <v>20</v>
      </c>
      <c r="J245" s="3" t="s">
        <v>15</v>
      </c>
      <c r="K245" s="2" t="s">
        <v>20</v>
      </c>
      <c r="L245" s="3" t="s">
        <v>15</v>
      </c>
      <c r="M245" s="2" t="s">
        <v>20</v>
      </c>
      <c r="N245" s="3" t="s">
        <v>15</v>
      </c>
    </row>
    <row r="246" spans="1:29" ht="12.75" customHeight="1" x14ac:dyDescent="0.2">
      <c r="A246" s="4">
        <v>30</v>
      </c>
      <c r="B246" s="5">
        <v>90</v>
      </c>
      <c r="C246" s="223">
        <v>8.0000000000000004E-4</v>
      </c>
      <c r="D246" s="220">
        <v>-179.79</v>
      </c>
      <c r="E246" s="223">
        <v>0.97099999999999997</v>
      </c>
      <c r="F246" s="220">
        <v>89.95</v>
      </c>
      <c r="G246" s="223">
        <v>1.0015000000000001</v>
      </c>
      <c r="H246" s="220">
        <v>0</v>
      </c>
      <c r="I246" s="223">
        <v>0.35920000000000002</v>
      </c>
      <c r="J246" s="220">
        <v>99.41</v>
      </c>
      <c r="K246" s="223">
        <v>2.9999999999999997E-4</v>
      </c>
      <c r="L246" s="220">
        <v>175.36</v>
      </c>
      <c r="M246" s="223">
        <v>2.2000000000000001E-3</v>
      </c>
      <c r="N246" s="220">
        <v>-79.63</v>
      </c>
      <c r="AC246" s="213"/>
    </row>
    <row r="247" spans="1:29" ht="12.75" customHeight="1" x14ac:dyDescent="0.2">
      <c r="A247" s="6">
        <v>28</v>
      </c>
      <c r="B247" s="7"/>
      <c r="C247" s="223">
        <v>8.9999999999999998E-4</v>
      </c>
      <c r="D247" s="220">
        <v>-179.73</v>
      </c>
      <c r="E247" s="223">
        <v>0.96609999999999996</v>
      </c>
      <c r="F247" s="220">
        <v>89.92</v>
      </c>
      <c r="G247" s="223">
        <v>1.002</v>
      </c>
      <c r="H247" s="220">
        <v>0</v>
      </c>
      <c r="I247" s="223">
        <v>0.44690000000000002</v>
      </c>
      <c r="J247" s="220">
        <v>101.33</v>
      </c>
      <c r="K247" s="223">
        <v>4.0000000000000002E-4</v>
      </c>
      <c r="L247" s="220">
        <v>175.02</v>
      </c>
      <c r="M247" s="223">
        <v>2.8E-3</v>
      </c>
      <c r="N247" s="220">
        <v>-77.569999999999993</v>
      </c>
      <c r="AC247" s="213"/>
    </row>
    <row r="248" spans="1:29" ht="12.75" customHeight="1" x14ac:dyDescent="0.2">
      <c r="A248" s="6">
        <v>26</v>
      </c>
      <c r="B248" s="7"/>
      <c r="C248" s="223">
        <v>1E-3</v>
      </c>
      <c r="D248" s="220">
        <v>-179.65</v>
      </c>
      <c r="E248" s="223">
        <v>0.95960000000000001</v>
      </c>
      <c r="F248" s="220">
        <v>89.86</v>
      </c>
      <c r="G248" s="223">
        <v>1.0026999999999999</v>
      </c>
      <c r="H248" s="220">
        <v>0</v>
      </c>
      <c r="I248" s="223">
        <v>0.58309999999999995</v>
      </c>
      <c r="J248" s="220">
        <v>104.41</v>
      </c>
      <c r="K248" s="223">
        <v>5.0000000000000001E-4</v>
      </c>
      <c r="L248" s="220">
        <v>174.55</v>
      </c>
      <c r="M248" s="223">
        <v>3.7000000000000002E-3</v>
      </c>
      <c r="N248" s="220">
        <v>-74.37</v>
      </c>
      <c r="AC248" s="213"/>
    </row>
    <row r="249" spans="1:29" ht="12.75" customHeight="1" x14ac:dyDescent="0.2">
      <c r="A249" s="6">
        <v>24</v>
      </c>
      <c r="B249" s="7"/>
      <c r="C249" s="223">
        <v>1.1999999999999999E-3</v>
      </c>
      <c r="D249" s="220">
        <v>-179.5</v>
      </c>
      <c r="E249" s="223">
        <v>0.95050000000000001</v>
      </c>
      <c r="F249" s="220">
        <v>89.73</v>
      </c>
      <c r="G249" s="223">
        <v>1.0038</v>
      </c>
      <c r="H249" s="220">
        <v>0</v>
      </c>
      <c r="I249" s="223">
        <v>0.82399999999999995</v>
      </c>
      <c r="J249" s="220">
        <v>110.13</v>
      </c>
      <c r="K249" s="223">
        <v>8.0000000000000004E-4</v>
      </c>
      <c r="L249" s="220">
        <v>173.78</v>
      </c>
      <c r="M249" s="223">
        <v>5.3E-3</v>
      </c>
      <c r="N249" s="220">
        <v>-68.45</v>
      </c>
      <c r="AC249" s="213"/>
    </row>
    <row r="250" spans="1:29" ht="12.75" customHeight="1" x14ac:dyDescent="0.2">
      <c r="A250" s="6">
        <v>23</v>
      </c>
      <c r="B250" s="7"/>
      <c r="C250" s="223">
        <v>1.2999999999999999E-3</v>
      </c>
      <c r="D250" s="220">
        <v>-179.39</v>
      </c>
      <c r="E250" s="223">
        <v>0.94440000000000002</v>
      </c>
      <c r="F250" s="220">
        <v>89.58</v>
      </c>
      <c r="G250" s="223">
        <v>1.0045999999999999</v>
      </c>
      <c r="H250" s="220">
        <v>0.01</v>
      </c>
      <c r="I250" s="223">
        <v>1.0289999999999999</v>
      </c>
      <c r="J250" s="220">
        <v>115.28</v>
      </c>
      <c r="K250" s="223">
        <v>1E-3</v>
      </c>
      <c r="L250" s="220">
        <v>173.3</v>
      </c>
      <c r="M250" s="223">
        <v>6.7000000000000002E-3</v>
      </c>
      <c r="N250" s="220">
        <v>-63.17</v>
      </c>
      <c r="AC250" s="213"/>
    </row>
    <row r="251" spans="1:29" ht="12.75" customHeight="1" x14ac:dyDescent="0.2">
      <c r="A251" s="6">
        <v>22</v>
      </c>
      <c r="B251" s="7"/>
      <c r="C251" s="223">
        <v>1.4E-3</v>
      </c>
      <c r="D251" s="220">
        <v>-179.27</v>
      </c>
      <c r="E251" s="223">
        <v>0.93730000000000002</v>
      </c>
      <c r="F251" s="220">
        <v>89.27</v>
      </c>
      <c r="G251" s="223">
        <v>1.0057</v>
      </c>
      <c r="H251" s="220">
        <v>0.01</v>
      </c>
      <c r="I251" s="223">
        <v>1.3498000000000001</v>
      </c>
      <c r="J251" s="220">
        <v>124</v>
      </c>
      <c r="K251" s="223">
        <v>1.1999999999999999E-3</v>
      </c>
      <c r="L251" s="220">
        <v>172.89</v>
      </c>
      <c r="M251" s="223">
        <v>8.9999999999999993E-3</v>
      </c>
      <c r="N251" s="220">
        <v>-54.24</v>
      </c>
      <c r="AC251" s="213"/>
    </row>
    <row r="252" spans="1:29" ht="12.75" customHeight="1" x14ac:dyDescent="0.2">
      <c r="A252" s="6">
        <v>21</v>
      </c>
      <c r="B252" s="7"/>
      <c r="C252" s="223">
        <v>1.5E-3</v>
      </c>
      <c r="D252" s="220">
        <v>-179.3</v>
      </c>
      <c r="E252" s="223">
        <v>0.93159999999999998</v>
      </c>
      <c r="F252" s="220">
        <v>88.6</v>
      </c>
      <c r="G252" s="223">
        <v>1.0069999999999999</v>
      </c>
      <c r="H252" s="220">
        <v>0.01</v>
      </c>
      <c r="I252" s="223">
        <v>1.8580000000000001</v>
      </c>
      <c r="J252" s="220">
        <v>140.6</v>
      </c>
      <c r="K252" s="223">
        <v>1.6000000000000001E-3</v>
      </c>
      <c r="L252" s="220">
        <v>173.69</v>
      </c>
      <c r="M252" s="223">
        <v>1.26E-2</v>
      </c>
      <c r="N252" s="220">
        <v>-37.46</v>
      </c>
      <c r="AC252" s="213"/>
    </row>
    <row r="253" spans="1:29" ht="12.75" customHeight="1" x14ac:dyDescent="0.2">
      <c r="A253" s="6">
        <v>20.5</v>
      </c>
      <c r="B253" s="7"/>
      <c r="C253" s="223">
        <v>1.5E-3</v>
      </c>
      <c r="D253" s="220">
        <v>-179.59</v>
      </c>
      <c r="E253" s="223">
        <v>0.93289999999999995</v>
      </c>
      <c r="F253" s="220">
        <v>88.09</v>
      </c>
      <c r="G253" s="223">
        <v>1.0078</v>
      </c>
      <c r="H253" s="220">
        <v>0.01</v>
      </c>
      <c r="I253" s="223">
        <v>2.1575000000000002</v>
      </c>
      <c r="J253" s="220">
        <v>154.38999999999999</v>
      </c>
      <c r="K253" s="223">
        <v>1.8E-3</v>
      </c>
      <c r="L253" s="220">
        <v>175.54</v>
      </c>
      <c r="M253" s="223">
        <v>1.4800000000000001E-2</v>
      </c>
      <c r="N253" s="220">
        <v>-23.53</v>
      </c>
      <c r="AC253" s="213"/>
    </row>
    <row r="254" spans="1:29" ht="12.75" customHeight="1" x14ac:dyDescent="0.2">
      <c r="A254" s="6">
        <v>20</v>
      </c>
      <c r="B254" s="7"/>
      <c r="C254" s="223">
        <v>1.6000000000000001E-3</v>
      </c>
      <c r="D254" s="220">
        <v>179.73</v>
      </c>
      <c r="E254" s="223">
        <v>0.94020000000000004</v>
      </c>
      <c r="F254" s="220">
        <v>87.71</v>
      </c>
      <c r="G254" s="223">
        <v>1.0087999999999999</v>
      </c>
      <c r="H254" s="220">
        <v>0.02</v>
      </c>
      <c r="I254" s="223">
        <v>2.3557000000000001</v>
      </c>
      <c r="J254" s="220">
        <v>172.63</v>
      </c>
      <c r="K254" s="223">
        <v>2.0999999999999999E-3</v>
      </c>
      <c r="L254" s="220">
        <v>178.91</v>
      </c>
      <c r="M254" s="223">
        <v>1.6500000000000001E-2</v>
      </c>
      <c r="N254" s="220">
        <v>-5.15</v>
      </c>
      <c r="AC254" s="213"/>
    </row>
    <row r="255" spans="1:29" ht="12.75" customHeight="1" x14ac:dyDescent="0.2">
      <c r="A255" s="6">
        <v>19.5</v>
      </c>
      <c r="B255" s="7"/>
      <c r="C255" s="223">
        <v>1.6999999999999999E-3</v>
      </c>
      <c r="D255" s="220">
        <v>178.89</v>
      </c>
      <c r="E255" s="223">
        <v>0.95</v>
      </c>
      <c r="F255" s="220">
        <v>87.81</v>
      </c>
      <c r="G255" s="223">
        <v>1.0099</v>
      </c>
      <c r="H255" s="220">
        <v>0.02</v>
      </c>
      <c r="I255" s="223">
        <v>2.2917999999999998</v>
      </c>
      <c r="J255" s="220">
        <v>-167.06</v>
      </c>
      <c r="K255" s="223">
        <v>2.3E-3</v>
      </c>
      <c r="L255" s="220">
        <v>-177.26</v>
      </c>
      <c r="M255" s="223">
        <v>1.6299999999999999E-2</v>
      </c>
      <c r="N255" s="220">
        <v>15.32</v>
      </c>
      <c r="AC255" s="213"/>
    </row>
    <row r="256" spans="1:29" ht="12.75" customHeight="1" x14ac:dyDescent="0.2">
      <c r="A256" s="6">
        <v>19</v>
      </c>
      <c r="B256" s="7"/>
      <c r="C256" s="223">
        <v>1.8E-3</v>
      </c>
      <c r="D256" s="220">
        <v>178.35</v>
      </c>
      <c r="E256" s="223">
        <v>0.95469999999999999</v>
      </c>
      <c r="F256" s="220">
        <v>88.3</v>
      </c>
      <c r="G256" s="223">
        <v>1.0111000000000001</v>
      </c>
      <c r="H256" s="220">
        <v>0.03</v>
      </c>
      <c r="I256" s="223">
        <v>1.9911000000000001</v>
      </c>
      <c r="J256" s="220">
        <v>-149.11000000000001</v>
      </c>
      <c r="K256" s="223">
        <v>2.5000000000000001E-3</v>
      </c>
      <c r="L256" s="220">
        <v>-174.91</v>
      </c>
      <c r="M256" s="223">
        <v>1.44E-2</v>
      </c>
      <c r="N256" s="220">
        <v>33.46</v>
      </c>
      <c r="AC256" s="213"/>
    </row>
    <row r="257" spans="1:29" ht="12.75" customHeight="1" x14ac:dyDescent="0.2">
      <c r="A257" s="6">
        <v>18.5</v>
      </c>
      <c r="B257" s="7"/>
      <c r="C257" s="223">
        <v>1.9E-3</v>
      </c>
      <c r="D257" s="220">
        <v>178.18</v>
      </c>
      <c r="E257" s="223">
        <v>0.95279999999999998</v>
      </c>
      <c r="F257" s="220">
        <v>88.8</v>
      </c>
      <c r="G257" s="223">
        <v>1.0125999999999999</v>
      </c>
      <c r="H257" s="220">
        <v>0.04</v>
      </c>
      <c r="I257" s="223">
        <v>1.631</v>
      </c>
      <c r="J257" s="220">
        <v>-135.66999999999999</v>
      </c>
      <c r="K257" s="223">
        <v>2.7000000000000001E-3</v>
      </c>
      <c r="L257" s="220">
        <v>-174.34</v>
      </c>
      <c r="M257" s="223">
        <v>1.21E-2</v>
      </c>
      <c r="N257" s="220">
        <v>47.12</v>
      </c>
      <c r="AC257" s="213"/>
    </row>
    <row r="258" spans="1:29" ht="12.75" customHeight="1" x14ac:dyDescent="0.2">
      <c r="A258" s="6">
        <v>18</v>
      </c>
      <c r="B258" s="7"/>
      <c r="C258" s="223">
        <v>2E-3</v>
      </c>
      <c r="D258" s="220">
        <v>178.17</v>
      </c>
      <c r="E258" s="223">
        <v>0.9476</v>
      </c>
      <c r="F258" s="220">
        <v>89.16</v>
      </c>
      <c r="G258" s="223">
        <v>1.0144</v>
      </c>
      <c r="H258" s="220">
        <v>0.05</v>
      </c>
      <c r="I258" s="223">
        <v>1.3169999999999999</v>
      </c>
      <c r="J258" s="220">
        <v>-126.19</v>
      </c>
      <c r="K258" s="223">
        <v>3.0000000000000001E-3</v>
      </c>
      <c r="L258" s="220">
        <v>-175.01</v>
      </c>
      <c r="M258" s="223">
        <v>1.01E-2</v>
      </c>
      <c r="N258" s="220">
        <v>56.83</v>
      </c>
      <c r="AC258" s="213"/>
    </row>
    <row r="259" spans="1:29" ht="12.75" customHeight="1" x14ac:dyDescent="0.2">
      <c r="A259" s="6">
        <v>17</v>
      </c>
      <c r="B259" s="8"/>
      <c r="C259" s="223">
        <v>2.2000000000000001E-3</v>
      </c>
      <c r="D259" s="220">
        <v>178.07</v>
      </c>
      <c r="E259" s="223">
        <v>0.93420000000000003</v>
      </c>
      <c r="F259" s="220">
        <v>89.53</v>
      </c>
      <c r="G259" s="223">
        <v>1.0188999999999999</v>
      </c>
      <c r="H259" s="220">
        <v>7.0000000000000007E-2</v>
      </c>
      <c r="I259" s="223">
        <v>0.87209999999999999</v>
      </c>
      <c r="J259" s="220">
        <v>-114.63</v>
      </c>
      <c r="K259" s="223">
        <v>3.8E-3</v>
      </c>
      <c r="L259" s="220">
        <v>-175.83</v>
      </c>
      <c r="M259" s="223">
        <v>7.1999999999999998E-3</v>
      </c>
      <c r="N259" s="220">
        <v>68.989999999999995</v>
      </c>
      <c r="AC259" s="213"/>
    </row>
    <row r="260" spans="1:29" ht="12.75" customHeight="1" x14ac:dyDescent="0.2">
      <c r="A260" s="6">
        <v>16</v>
      </c>
      <c r="B260" s="8"/>
      <c r="C260" s="223">
        <v>2.3999999999999998E-3</v>
      </c>
      <c r="D260" s="220">
        <v>177.63</v>
      </c>
      <c r="E260" s="223">
        <v>0.91930000000000001</v>
      </c>
      <c r="F260" s="220">
        <v>89.66</v>
      </c>
      <c r="G260" s="223">
        <v>1.0254000000000001</v>
      </c>
      <c r="H260" s="220">
        <v>0.12</v>
      </c>
      <c r="I260" s="223">
        <v>0.58960000000000001</v>
      </c>
      <c r="J260" s="220">
        <v>-108.17</v>
      </c>
      <c r="K260" s="223">
        <v>5.1000000000000004E-3</v>
      </c>
      <c r="L260" s="220">
        <v>-176.57</v>
      </c>
      <c r="M260" s="223">
        <v>5.4999999999999997E-3</v>
      </c>
      <c r="N260" s="220">
        <v>76.34</v>
      </c>
      <c r="AC260" s="213"/>
    </row>
    <row r="261" spans="1:29" ht="12.75" customHeight="1" x14ac:dyDescent="0.2">
      <c r="A261" s="6">
        <v>15</v>
      </c>
      <c r="B261" s="8"/>
      <c r="C261" s="223">
        <v>2.7000000000000001E-3</v>
      </c>
      <c r="D261" s="220">
        <v>176.54</v>
      </c>
      <c r="E261" s="223">
        <v>0.90269999999999995</v>
      </c>
      <c r="F261" s="220">
        <v>89.68</v>
      </c>
      <c r="G261" s="223">
        <v>1.0350999999999999</v>
      </c>
      <c r="H261" s="220">
        <v>0.22</v>
      </c>
      <c r="I261" s="223">
        <v>0.39179999999999998</v>
      </c>
      <c r="J261" s="220">
        <v>-104.13</v>
      </c>
      <c r="K261" s="223">
        <v>7.1999999999999998E-3</v>
      </c>
      <c r="L261" s="220">
        <v>-176.61</v>
      </c>
      <c r="M261" s="223">
        <v>4.4000000000000003E-3</v>
      </c>
      <c r="N261" s="220">
        <v>81.63</v>
      </c>
      <c r="AC261" s="213"/>
    </row>
    <row r="262" spans="1:29" ht="12.75" customHeight="1" x14ac:dyDescent="0.2">
      <c r="A262" s="6">
        <v>14</v>
      </c>
      <c r="B262" s="8"/>
      <c r="C262" s="223">
        <v>3.0000000000000001E-3</v>
      </c>
      <c r="D262" s="220">
        <v>174.2</v>
      </c>
      <c r="E262" s="223">
        <v>0.8831</v>
      </c>
      <c r="F262" s="220">
        <v>89.61</v>
      </c>
      <c r="G262" s="223">
        <v>1.0501</v>
      </c>
      <c r="H262" s="220">
        <v>0.39</v>
      </c>
      <c r="I262" s="223">
        <v>0.23860000000000001</v>
      </c>
      <c r="J262" s="220">
        <v>-101.37</v>
      </c>
      <c r="K262" s="223">
        <v>1.0500000000000001E-2</v>
      </c>
      <c r="L262" s="220">
        <v>-175.73</v>
      </c>
      <c r="M262" s="223">
        <v>3.8E-3</v>
      </c>
      <c r="N262" s="220">
        <v>86.27</v>
      </c>
      <c r="AC262" s="213"/>
    </row>
    <row r="263" spans="1:29" ht="12.75" customHeight="1" x14ac:dyDescent="0.2">
      <c r="A263" s="6">
        <v>13</v>
      </c>
      <c r="B263" s="8"/>
      <c r="C263" s="223">
        <v>3.3999999999999998E-3</v>
      </c>
      <c r="D263" s="220">
        <v>169.23</v>
      </c>
      <c r="E263" s="223">
        <v>0.85940000000000005</v>
      </c>
      <c r="F263" s="220">
        <v>89.44</v>
      </c>
      <c r="G263" s="223">
        <v>1.0743</v>
      </c>
      <c r="H263" s="220">
        <v>0.73</v>
      </c>
      <c r="I263" s="223">
        <v>0.1089</v>
      </c>
      <c r="J263" s="220">
        <v>-99.15</v>
      </c>
      <c r="K263" s="223">
        <v>1.6199999999999999E-2</v>
      </c>
      <c r="L263" s="220">
        <v>-173.68</v>
      </c>
      <c r="M263" s="223">
        <v>3.3999999999999998E-3</v>
      </c>
      <c r="N263" s="220">
        <v>91.27</v>
      </c>
      <c r="AC263" s="213"/>
    </row>
    <row r="264" spans="1:29" ht="12.75" customHeight="1" x14ac:dyDescent="0.2">
      <c r="A264" s="6">
        <v>12</v>
      </c>
      <c r="B264" s="8"/>
      <c r="C264" s="223">
        <v>4.0000000000000001E-3</v>
      </c>
      <c r="D264" s="220">
        <v>159.4</v>
      </c>
      <c r="E264" s="223">
        <v>0.83</v>
      </c>
      <c r="F264" s="220">
        <v>89.12</v>
      </c>
      <c r="G264" s="223">
        <v>1.1164000000000001</v>
      </c>
      <c r="H264" s="220">
        <v>1.46</v>
      </c>
      <c r="I264" s="223">
        <v>9.1000000000000004E-3</v>
      </c>
      <c r="J264" s="220">
        <v>69.040000000000006</v>
      </c>
      <c r="K264" s="223">
        <v>2.69E-2</v>
      </c>
      <c r="L264" s="220">
        <v>-169.69</v>
      </c>
      <c r="M264" s="223">
        <v>3.3999999999999998E-3</v>
      </c>
      <c r="N264" s="220">
        <v>97.58</v>
      </c>
      <c r="AC264" s="213"/>
    </row>
    <row r="265" spans="1:29" ht="12.75" customHeight="1" x14ac:dyDescent="0.2">
      <c r="A265" s="6">
        <v>11</v>
      </c>
      <c r="B265" s="8"/>
      <c r="C265" s="223">
        <v>5.7000000000000002E-3</v>
      </c>
      <c r="D265" s="220">
        <v>145.27000000000001</v>
      </c>
      <c r="E265" s="223">
        <v>0.79290000000000005</v>
      </c>
      <c r="F265" s="220">
        <v>88.56</v>
      </c>
      <c r="G265" s="223">
        <v>1.1972</v>
      </c>
      <c r="H265" s="220">
        <v>3.2</v>
      </c>
      <c r="I265" s="223">
        <v>0.1217</v>
      </c>
      <c r="J265" s="220">
        <v>80.150000000000006</v>
      </c>
      <c r="K265" s="223">
        <v>4.9000000000000002E-2</v>
      </c>
      <c r="L265" s="220">
        <v>-162.57</v>
      </c>
      <c r="M265" s="223">
        <v>3.8999999999999998E-3</v>
      </c>
      <c r="N265" s="220">
        <v>105.88</v>
      </c>
      <c r="AC265" s="213"/>
    </row>
    <row r="266" spans="1:29" ht="12.75" customHeight="1" x14ac:dyDescent="0.2">
      <c r="A266" s="6">
        <v>10</v>
      </c>
      <c r="B266" s="8"/>
      <c r="C266" s="223">
        <v>1.0800000000000001E-2</v>
      </c>
      <c r="D266" s="220">
        <v>136.6</v>
      </c>
      <c r="E266" s="223">
        <v>0.74609999999999999</v>
      </c>
      <c r="F266" s="220">
        <v>87.57</v>
      </c>
      <c r="G266" s="223">
        <v>1.3764000000000001</v>
      </c>
      <c r="H266" s="220">
        <v>8.32</v>
      </c>
      <c r="I266" s="223">
        <v>0.23419999999999999</v>
      </c>
      <c r="J266" s="220">
        <v>79.77</v>
      </c>
      <c r="K266" s="223">
        <v>0.10349999999999999</v>
      </c>
      <c r="L266" s="220">
        <v>-149.63</v>
      </c>
      <c r="M266" s="223">
        <v>4.8999999999999998E-3</v>
      </c>
      <c r="N266" s="220">
        <v>116.73</v>
      </c>
      <c r="AC266" s="213"/>
    </row>
    <row r="267" spans="1:29" ht="12.75" customHeight="1" x14ac:dyDescent="0.2">
      <c r="A267" s="6">
        <v>9</v>
      </c>
      <c r="B267" s="8"/>
      <c r="C267" s="223">
        <v>2.8500000000000001E-2</v>
      </c>
      <c r="D267" s="220">
        <v>149.27000000000001</v>
      </c>
      <c r="E267" s="223">
        <v>0.68710000000000004</v>
      </c>
      <c r="F267" s="220">
        <v>85.95</v>
      </c>
      <c r="G267" s="223">
        <v>1.7719</v>
      </c>
      <c r="H267" s="220">
        <v>29.42</v>
      </c>
      <c r="I267" s="223">
        <v>0.35570000000000002</v>
      </c>
      <c r="J267" s="220">
        <v>78.180000000000007</v>
      </c>
      <c r="K267" s="223">
        <v>0.28889999999999999</v>
      </c>
      <c r="L267" s="220">
        <v>-116.53</v>
      </c>
      <c r="M267" s="223">
        <v>6.6E-3</v>
      </c>
      <c r="N267" s="220">
        <v>129.51</v>
      </c>
      <c r="AC267" s="213"/>
    </row>
    <row r="268" spans="1:29" ht="12.75" customHeight="1" x14ac:dyDescent="0.2">
      <c r="A268" s="6">
        <v>8</v>
      </c>
      <c r="B268" s="9"/>
      <c r="C268" s="223">
        <v>5.33E-2</v>
      </c>
      <c r="D268" s="220">
        <v>-141.11000000000001</v>
      </c>
      <c r="E268" s="223">
        <v>0.6099</v>
      </c>
      <c r="F268" s="220">
        <v>83.43</v>
      </c>
      <c r="G268" s="223">
        <v>1.1533</v>
      </c>
      <c r="H268" s="220">
        <v>81.739999999999995</v>
      </c>
      <c r="I268" s="223">
        <v>0.48420000000000002</v>
      </c>
      <c r="J268" s="220">
        <v>78.819999999999993</v>
      </c>
      <c r="K268" s="223">
        <v>0.51619999999999999</v>
      </c>
      <c r="L268" s="220">
        <v>-28</v>
      </c>
      <c r="M268" s="223">
        <v>8.6E-3</v>
      </c>
      <c r="N268" s="220">
        <v>138.72</v>
      </c>
      <c r="AC268" s="213"/>
    </row>
    <row r="269" spans="1:29" ht="12.75" customHeight="1" x14ac:dyDescent="0.2">
      <c r="A269" s="6">
        <v>7</v>
      </c>
      <c r="B269" s="9"/>
      <c r="C269" s="223">
        <v>2.93E-2</v>
      </c>
      <c r="D269" s="220">
        <v>-77.91</v>
      </c>
      <c r="E269" s="223">
        <v>0.50719999999999998</v>
      </c>
      <c r="F269" s="220">
        <v>78.55</v>
      </c>
      <c r="G269" s="223">
        <v>0.43930000000000002</v>
      </c>
      <c r="H269" s="220">
        <v>94.84</v>
      </c>
      <c r="I269" s="223">
        <v>0.55220000000000002</v>
      </c>
      <c r="J269" s="220">
        <v>79.39</v>
      </c>
      <c r="K269" s="223">
        <v>0.2858</v>
      </c>
      <c r="L269" s="220">
        <v>45.95</v>
      </c>
      <c r="M269" s="223">
        <v>1.2699999999999999E-2</v>
      </c>
      <c r="N269" s="220">
        <v>140.69</v>
      </c>
      <c r="AC269" s="213"/>
    </row>
    <row r="270" spans="1:29" ht="12.75" customHeight="1" x14ac:dyDescent="0.2">
      <c r="A270" s="6">
        <v>6</v>
      </c>
      <c r="B270" s="9"/>
      <c r="C270" s="223">
        <v>1.18E-2</v>
      </c>
      <c r="D270" s="220">
        <v>-80.31</v>
      </c>
      <c r="E270" s="223">
        <v>0.376</v>
      </c>
      <c r="F270" s="220">
        <v>69.59</v>
      </c>
      <c r="G270" s="223">
        <v>0.14929999999999999</v>
      </c>
      <c r="H270" s="220">
        <v>92.15</v>
      </c>
      <c r="I270" s="223">
        <v>0.50039999999999996</v>
      </c>
      <c r="J270" s="220">
        <v>70.05</v>
      </c>
      <c r="K270" s="223">
        <v>0.1033</v>
      </c>
      <c r="L270" s="220">
        <v>77.05</v>
      </c>
      <c r="M270" s="223">
        <v>2.01E-2</v>
      </c>
      <c r="N270" s="220">
        <v>140.91999999999999</v>
      </c>
      <c r="AC270" s="213"/>
    </row>
    <row r="271" spans="1:29" ht="12.75" customHeight="1" x14ac:dyDescent="0.2">
      <c r="A271" s="6">
        <v>5</v>
      </c>
      <c r="B271" s="9"/>
      <c r="C271" s="223">
        <v>8.8000000000000005E-3</v>
      </c>
      <c r="D271" s="220">
        <v>-99.42</v>
      </c>
      <c r="E271" s="223">
        <v>0.22600000000000001</v>
      </c>
      <c r="F271" s="220">
        <v>53.4</v>
      </c>
      <c r="G271" s="223">
        <v>2.64E-2</v>
      </c>
      <c r="H271" s="220">
        <v>87.78</v>
      </c>
      <c r="I271" s="223">
        <v>0.4178</v>
      </c>
      <c r="J271" s="220">
        <v>51.15</v>
      </c>
      <c r="K271" s="223">
        <v>3.7600000000000001E-2</v>
      </c>
      <c r="L271" s="220">
        <v>68.97</v>
      </c>
      <c r="M271" s="223">
        <v>2.7E-2</v>
      </c>
      <c r="N271" s="220">
        <v>141.04</v>
      </c>
      <c r="AC271" s="213"/>
    </row>
    <row r="272" spans="1:29" ht="12.75" customHeight="1" x14ac:dyDescent="0.2">
      <c r="A272" s="6">
        <v>4.5</v>
      </c>
      <c r="B272" s="9"/>
      <c r="C272" s="223">
        <v>7.4999999999999997E-3</v>
      </c>
      <c r="D272" s="220">
        <v>-106.26</v>
      </c>
      <c r="E272" s="223">
        <v>0.1394</v>
      </c>
      <c r="F272" s="220">
        <v>29.88</v>
      </c>
      <c r="G272" s="223">
        <v>8.3000000000000001E-3</v>
      </c>
      <c r="H272" s="220">
        <v>91.76</v>
      </c>
      <c r="I272" s="223">
        <v>0.27310000000000001</v>
      </c>
      <c r="J272" s="220">
        <v>28.22</v>
      </c>
      <c r="K272" s="223">
        <v>2.1299999999999999E-2</v>
      </c>
      <c r="L272" s="220">
        <v>37.93</v>
      </c>
      <c r="M272" s="223">
        <v>3.3500000000000002E-2</v>
      </c>
      <c r="N272" s="220">
        <v>133.96</v>
      </c>
      <c r="AC272" s="213"/>
    </row>
    <row r="273" spans="1:29" ht="12.75" customHeight="1" x14ac:dyDescent="0.2">
      <c r="A273" s="6">
        <v>4</v>
      </c>
      <c r="B273" s="9"/>
      <c r="C273" s="223">
        <v>5.8999999999999999E-3</v>
      </c>
      <c r="D273" s="220">
        <v>-106.33</v>
      </c>
      <c r="E273" s="223">
        <v>8.43E-2</v>
      </c>
      <c r="F273" s="220">
        <v>-0.18</v>
      </c>
      <c r="G273" s="223">
        <v>8.5000000000000006E-3</v>
      </c>
      <c r="H273" s="220">
        <v>123.16</v>
      </c>
      <c r="I273" s="223">
        <v>0.1943</v>
      </c>
      <c r="J273" s="220">
        <v>-10.73</v>
      </c>
      <c r="K273" s="223">
        <v>1.52E-2</v>
      </c>
      <c r="L273" s="220">
        <v>4.18</v>
      </c>
      <c r="M273" s="223">
        <v>2.9700000000000001E-2</v>
      </c>
      <c r="N273" s="220">
        <v>132.61000000000001</v>
      </c>
      <c r="AC273" s="213"/>
    </row>
    <row r="274" spans="1:29" ht="12.75" customHeight="1" x14ac:dyDescent="0.2">
      <c r="A274" s="6">
        <v>3.5</v>
      </c>
      <c r="B274" s="9"/>
      <c r="C274" s="223">
        <v>2.8E-3</v>
      </c>
      <c r="D274" s="220">
        <v>-108.05</v>
      </c>
      <c r="E274" s="223">
        <v>3.9899999999999998E-2</v>
      </c>
      <c r="F274" s="220">
        <v>-56.31</v>
      </c>
      <c r="G274" s="223">
        <v>7.4999999999999997E-3</v>
      </c>
      <c r="H274" s="220">
        <v>74.45</v>
      </c>
      <c r="I274" s="223">
        <v>0.10929999999999999</v>
      </c>
      <c r="J274" s="220">
        <v>-71.680000000000007</v>
      </c>
      <c r="K274" s="223">
        <v>0.01</v>
      </c>
      <c r="L274" s="220">
        <v>-35.15</v>
      </c>
      <c r="M274" s="223">
        <v>2.4500000000000001E-2</v>
      </c>
      <c r="N274" s="220">
        <v>122.25</v>
      </c>
      <c r="AC274" s="213"/>
    </row>
    <row r="275" spans="1:29" ht="12.75" customHeight="1" x14ac:dyDescent="0.2">
      <c r="A275" s="6">
        <v>3</v>
      </c>
      <c r="B275" s="9"/>
      <c r="C275" s="223">
        <v>8.0000000000000004E-4</v>
      </c>
      <c r="D275" s="220">
        <v>-109.33</v>
      </c>
      <c r="E275" s="223">
        <v>1.38E-2</v>
      </c>
      <c r="F275" s="220">
        <v>-131.34</v>
      </c>
      <c r="G275" s="223">
        <v>5.7999999999999996E-3</v>
      </c>
      <c r="H275" s="220">
        <v>-7.21</v>
      </c>
      <c r="I275" s="223">
        <v>4.6199999999999998E-2</v>
      </c>
      <c r="J275" s="220">
        <v>-162.58000000000001</v>
      </c>
      <c r="K275" s="223">
        <v>5.1999999999999998E-3</v>
      </c>
      <c r="L275" s="220">
        <v>-95.44</v>
      </c>
      <c r="M275" s="223">
        <v>1.54E-2</v>
      </c>
      <c r="N275" s="220">
        <v>83.46</v>
      </c>
      <c r="AC275" s="213"/>
    </row>
    <row r="276" spans="1:29" ht="12.75" customHeight="1" x14ac:dyDescent="0.2">
      <c r="A276" s="6">
        <v>0</v>
      </c>
      <c r="B276" s="9"/>
      <c r="C276" s="223">
        <v>0</v>
      </c>
      <c r="D276" s="220">
        <v>0</v>
      </c>
      <c r="E276" s="223">
        <v>0</v>
      </c>
      <c r="F276" s="220">
        <v>0</v>
      </c>
      <c r="G276" s="223">
        <v>0</v>
      </c>
      <c r="H276" s="220">
        <v>0</v>
      </c>
      <c r="I276" s="223">
        <v>0</v>
      </c>
      <c r="J276" s="220">
        <v>0</v>
      </c>
      <c r="K276" s="223">
        <v>0</v>
      </c>
      <c r="L276" s="220">
        <v>0</v>
      </c>
      <c r="M276" s="223">
        <v>0</v>
      </c>
      <c r="N276" s="220">
        <v>0</v>
      </c>
    </row>
    <row r="277" spans="1:29" ht="12.75" customHeight="1" x14ac:dyDescent="0.2">
      <c r="A277" s="6">
        <v>0</v>
      </c>
      <c r="B277" s="9"/>
      <c r="C277" s="223">
        <v>0</v>
      </c>
      <c r="D277" s="220">
        <v>0</v>
      </c>
      <c r="E277" s="223">
        <v>0</v>
      </c>
      <c r="F277" s="220">
        <v>0</v>
      </c>
      <c r="G277" s="223">
        <v>0</v>
      </c>
      <c r="H277" s="220">
        <v>0</v>
      </c>
      <c r="I277" s="223">
        <v>0</v>
      </c>
      <c r="J277" s="220">
        <v>0</v>
      </c>
      <c r="K277" s="223">
        <v>0</v>
      </c>
      <c r="L277" s="220">
        <v>0</v>
      </c>
      <c r="M277" s="223">
        <v>0</v>
      </c>
      <c r="N277" s="220">
        <v>0</v>
      </c>
    </row>
    <row r="278" spans="1:29" ht="12.75" customHeight="1" x14ac:dyDescent="0.2">
      <c r="A278" s="6">
        <v>0</v>
      </c>
      <c r="B278" s="9"/>
      <c r="C278" s="223">
        <v>0</v>
      </c>
      <c r="D278" s="220">
        <v>0</v>
      </c>
      <c r="E278" s="223">
        <v>0</v>
      </c>
      <c r="F278" s="220">
        <v>0</v>
      </c>
      <c r="G278" s="223">
        <v>0</v>
      </c>
      <c r="H278" s="220">
        <v>0</v>
      </c>
      <c r="I278" s="223">
        <v>0</v>
      </c>
      <c r="J278" s="220">
        <v>0</v>
      </c>
      <c r="K278" s="223">
        <v>0</v>
      </c>
      <c r="L278" s="220">
        <v>0</v>
      </c>
      <c r="M278" s="223">
        <v>0</v>
      </c>
      <c r="N278" s="220">
        <v>0</v>
      </c>
    </row>
    <row r="279" spans="1:29" ht="12.75" customHeight="1" x14ac:dyDescent="0.2">
      <c r="A279" s="6">
        <v>0</v>
      </c>
      <c r="B279" s="9"/>
      <c r="C279" s="223">
        <v>0</v>
      </c>
      <c r="D279" s="220">
        <v>0</v>
      </c>
      <c r="E279" s="223">
        <v>0</v>
      </c>
      <c r="F279" s="220">
        <v>0</v>
      </c>
      <c r="G279" s="223">
        <v>0</v>
      </c>
      <c r="H279" s="220">
        <v>0</v>
      </c>
      <c r="I279" s="223">
        <v>0</v>
      </c>
      <c r="J279" s="220">
        <v>0</v>
      </c>
      <c r="K279" s="223">
        <v>0</v>
      </c>
      <c r="L279" s="220">
        <v>0</v>
      </c>
      <c r="M279" s="223">
        <v>0</v>
      </c>
      <c r="N279" s="220">
        <v>0</v>
      </c>
    </row>
    <row r="280" spans="1:29" ht="12.75" customHeight="1" thickBot="1" x14ac:dyDescent="0.25">
      <c r="A280" s="10">
        <v>0</v>
      </c>
      <c r="B280" s="11"/>
      <c r="C280" s="12">
        <v>0</v>
      </c>
      <c r="D280" s="13">
        <v>0</v>
      </c>
      <c r="E280" s="12">
        <v>0</v>
      </c>
      <c r="F280" s="13">
        <v>0</v>
      </c>
      <c r="G280" s="12">
        <v>0</v>
      </c>
      <c r="H280" s="13">
        <v>0</v>
      </c>
      <c r="I280" s="12">
        <v>0</v>
      </c>
      <c r="J280" s="13">
        <v>0</v>
      </c>
      <c r="K280" s="12">
        <v>0</v>
      </c>
      <c r="L280" s="13">
        <v>0</v>
      </c>
      <c r="M280" s="12">
        <v>0</v>
      </c>
      <c r="N280" s="13">
        <v>0</v>
      </c>
    </row>
    <row r="281" spans="1:29" ht="20.100000000000001" customHeight="1" x14ac:dyDescent="0.25">
      <c r="A281" s="395" t="str">
        <f>A241</f>
        <v>Paragon DPDS3</v>
      </c>
      <c r="B281" s="395"/>
      <c r="C281" s="395"/>
      <c r="D281" s="395"/>
      <c r="E281" s="395"/>
      <c r="F281" s="395"/>
      <c r="G281" s="395"/>
      <c r="H281" s="395"/>
      <c r="I281" s="395"/>
      <c r="J281" s="395"/>
      <c r="K281" s="395"/>
      <c r="L281" s="395"/>
      <c r="M281" s="395"/>
      <c r="N281" s="395"/>
    </row>
    <row r="282" spans="1:29" ht="20.100000000000001" customHeight="1" thickBot="1" x14ac:dyDescent="0.3">
      <c r="A282" s="396" t="s">
        <v>5</v>
      </c>
      <c r="B282" s="396"/>
      <c r="C282" s="396"/>
      <c r="D282" s="396"/>
      <c r="E282" s="396"/>
      <c r="F282" s="396"/>
      <c r="G282" s="396"/>
      <c r="H282" s="396"/>
      <c r="I282" s="396"/>
      <c r="J282" s="396"/>
      <c r="K282" s="396"/>
      <c r="L282" s="396"/>
      <c r="M282" s="396"/>
      <c r="N282" s="396"/>
    </row>
    <row r="283" spans="1:29" ht="12.75" customHeight="1" x14ac:dyDescent="0.2">
      <c r="A283" s="397" t="s">
        <v>12</v>
      </c>
      <c r="B283" s="399" t="s">
        <v>13</v>
      </c>
      <c r="C283" s="401" t="s">
        <v>6</v>
      </c>
      <c r="D283" s="402"/>
      <c r="E283" s="401" t="s">
        <v>7</v>
      </c>
      <c r="F283" s="402"/>
      <c r="G283" s="401" t="s">
        <v>8</v>
      </c>
      <c r="H283" s="402"/>
      <c r="I283" s="401" t="s">
        <v>9</v>
      </c>
      <c r="J283" s="402"/>
      <c r="K283" s="401" t="s">
        <v>10</v>
      </c>
      <c r="L283" s="402"/>
      <c r="M283" s="401" t="s">
        <v>11</v>
      </c>
      <c r="N283" s="402"/>
    </row>
    <row r="284" spans="1:29" ht="12.75" customHeight="1" x14ac:dyDescent="0.2">
      <c r="A284" s="398"/>
      <c r="B284" s="400"/>
      <c r="C284" s="222" t="s">
        <v>0</v>
      </c>
      <c r="D284" s="217" t="s">
        <v>1</v>
      </c>
      <c r="E284" s="222" t="s">
        <v>0</v>
      </c>
      <c r="F284" s="217" t="s">
        <v>1</v>
      </c>
      <c r="G284" s="222" t="s">
        <v>0</v>
      </c>
      <c r="H284" s="217" t="s">
        <v>1</v>
      </c>
      <c r="I284" s="222" t="s">
        <v>0</v>
      </c>
      <c r="J284" s="217" t="s">
        <v>1</v>
      </c>
      <c r="K284" s="222" t="s">
        <v>0</v>
      </c>
      <c r="L284" s="217" t="s">
        <v>1</v>
      </c>
      <c r="M284" s="222" t="s">
        <v>0</v>
      </c>
      <c r="N284" s="217" t="s">
        <v>1</v>
      </c>
    </row>
    <row r="285" spans="1:29" ht="12.75" customHeight="1" thickBot="1" x14ac:dyDescent="0.25">
      <c r="A285" s="2" t="s">
        <v>14</v>
      </c>
      <c r="B285" s="3" t="s">
        <v>15</v>
      </c>
      <c r="C285" s="2" t="s">
        <v>19</v>
      </c>
      <c r="D285" s="3" t="s">
        <v>15</v>
      </c>
      <c r="E285" s="2" t="s">
        <v>19</v>
      </c>
      <c r="F285" s="3" t="s">
        <v>15</v>
      </c>
      <c r="G285" s="2" t="s">
        <v>19</v>
      </c>
      <c r="H285" s="3" t="s">
        <v>15</v>
      </c>
      <c r="I285" s="2" t="s">
        <v>20</v>
      </c>
      <c r="J285" s="3" t="s">
        <v>15</v>
      </c>
      <c r="K285" s="2" t="s">
        <v>20</v>
      </c>
      <c r="L285" s="3" t="s">
        <v>15</v>
      </c>
      <c r="M285" s="2" t="s">
        <v>20</v>
      </c>
      <c r="N285" s="3" t="s">
        <v>15</v>
      </c>
    </row>
    <row r="286" spans="1:29" ht="12.75" customHeight="1" x14ac:dyDescent="0.2">
      <c r="A286" s="4">
        <v>30</v>
      </c>
      <c r="B286" s="5">
        <v>105</v>
      </c>
      <c r="C286" s="223">
        <v>0.25340000000000001</v>
      </c>
      <c r="D286" s="220">
        <v>-90.14</v>
      </c>
      <c r="E286" s="223">
        <v>0.93710000000000004</v>
      </c>
      <c r="F286" s="220">
        <v>89.92</v>
      </c>
      <c r="G286" s="223">
        <v>1.0004</v>
      </c>
      <c r="H286" s="220">
        <v>0</v>
      </c>
      <c r="I286" s="223">
        <v>0.34739999999999999</v>
      </c>
      <c r="J286" s="220">
        <v>100.41</v>
      </c>
      <c r="K286" s="223">
        <v>6.6900000000000001E-2</v>
      </c>
      <c r="L286" s="220">
        <v>90.44</v>
      </c>
      <c r="M286" s="223">
        <v>5.4899999999999997E-2</v>
      </c>
      <c r="N286" s="220">
        <v>-2.25</v>
      </c>
      <c r="AC286" s="213"/>
    </row>
    <row r="287" spans="1:29" ht="12.75" customHeight="1" x14ac:dyDescent="0.2">
      <c r="A287" s="6">
        <v>28</v>
      </c>
      <c r="B287" s="7"/>
      <c r="C287" s="223">
        <v>0.2525</v>
      </c>
      <c r="D287" s="220">
        <v>-90.16</v>
      </c>
      <c r="E287" s="223">
        <v>0.93200000000000005</v>
      </c>
      <c r="F287" s="220">
        <v>89.89</v>
      </c>
      <c r="G287" s="223">
        <v>1.0004999999999999</v>
      </c>
      <c r="H287" s="220">
        <v>0</v>
      </c>
      <c r="I287" s="223">
        <v>0.43219999999999997</v>
      </c>
      <c r="J287" s="220">
        <v>102.52</v>
      </c>
      <c r="K287" s="223">
        <v>7.6899999999999996E-2</v>
      </c>
      <c r="L287" s="220">
        <v>90.51</v>
      </c>
      <c r="M287" s="223">
        <v>6.3E-2</v>
      </c>
      <c r="N287" s="220">
        <v>-2.44</v>
      </c>
      <c r="AC287" s="213"/>
    </row>
    <row r="288" spans="1:29" ht="12.75" customHeight="1" x14ac:dyDescent="0.2">
      <c r="A288" s="6">
        <v>26</v>
      </c>
      <c r="B288" s="7"/>
      <c r="C288" s="223">
        <v>0.2515</v>
      </c>
      <c r="D288" s="220">
        <v>-90.19</v>
      </c>
      <c r="E288" s="223">
        <v>0.9254</v>
      </c>
      <c r="F288" s="220">
        <v>89.82</v>
      </c>
      <c r="G288" s="223">
        <v>1.0007999999999999</v>
      </c>
      <c r="H288" s="220">
        <v>0</v>
      </c>
      <c r="I288" s="223">
        <v>0.56389999999999996</v>
      </c>
      <c r="J288" s="220">
        <v>105.85</v>
      </c>
      <c r="K288" s="223">
        <v>8.9300000000000004E-2</v>
      </c>
      <c r="L288" s="220">
        <v>90.61</v>
      </c>
      <c r="M288" s="223">
        <v>7.3099999999999998E-2</v>
      </c>
      <c r="N288" s="220">
        <v>-2.73</v>
      </c>
      <c r="AC288" s="213"/>
    </row>
    <row r="289" spans="1:29" ht="12.75" customHeight="1" x14ac:dyDescent="0.2">
      <c r="A289" s="6">
        <v>24</v>
      </c>
      <c r="B289" s="7"/>
      <c r="C289" s="223">
        <v>0.25009999999999999</v>
      </c>
      <c r="D289" s="220">
        <v>-90.22</v>
      </c>
      <c r="E289" s="223">
        <v>0.91610000000000003</v>
      </c>
      <c r="F289" s="220">
        <v>89.67</v>
      </c>
      <c r="G289" s="223">
        <v>1.0012000000000001</v>
      </c>
      <c r="H289" s="220">
        <v>0</v>
      </c>
      <c r="I289" s="223">
        <v>0.79679999999999995</v>
      </c>
      <c r="J289" s="220">
        <v>111.91</v>
      </c>
      <c r="K289" s="223">
        <v>0.1051</v>
      </c>
      <c r="L289" s="220">
        <v>90.73</v>
      </c>
      <c r="M289" s="223">
        <v>8.6099999999999996E-2</v>
      </c>
      <c r="N289" s="220">
        <v>-3.2</v>
      </c>
      <c r="AC289" s="213"/>
    </row>
    <row r="290" spans="1:29" ht="12.75" customHeight="1" x14ac:dyDescent="0.2">
      <c r="A290" s="6">
        <v>23</v>
      </c>
      <c r="B290" s="7"/>
      <c r="C290" s="223">
        <v>0.2492</v>
      </c>
      <c r="D290" s="220">
        <v>-90.23</v>
      </c>
      <c r="E290" s="223">
        <v>0.90990000000000004</v>
      </c>
      <c r="F290" s="220">
        <v>89.51</v>
      </c>
      <c r="G290" s="223">
        <v>1.0015000000000001</v>
      </c>
      <c r="H290" s="220">
        <v>0</v>
      </c>
      <c r="I290" s="223">
        <v>0.995</v>
      </c>
      <c r="J290" s="220">
        <v>117.29</v>
      </c>
      <c r="K290" s="223">
        <v>0.11459999999999999</v>
      </c>
      <c r="L290" s="220">
        <v>90.81</v>
      </c>
      <c r="M290" s="223">
        <v>9.4500000000000001E-2</v>
      </c>
      <c r="N290" s="220">
        <v>-3.52</v>
      </c>
      <c r="AC290" s="213"/>
    </row>
    <row r="291" spans="1:29" ht="12.75" customHeight="1" x14ac:dyDescent="0.2">
      <c r="A291" s="6">
        <v>22</v>
      </c>
      <c r="B291" s="7"/>
      <c r="C291" s="223">
        <v>0.24829999999999999</v>
      </c>
      <c r="D291" s="220">
        <v>-90.25</v>
      </c>
      <c r="E291" s="223">
        <v>0.90280000000000005</v>
      </c>
      <c r="F291" s="220">
        <v>89.18</v>
      </c>
      <c r="G291" s="223">
        <v>1.0019</v>
      </c>
      <c r="H291" s="220">
        <v>0</v>
      </c>
      <c r="I291" s="223">
        <v>1.3050999999999999</v>
      </c>
      <c r="J291" s="220">
        <v>126.29</v>
      </c>
      <c r="K291" s="223">
        <v>0.1255</v>
      </c>
      <c r="L291" s="220">
        <v>90.91</v>
      </c>
      <c r="M291" s="223">
        <v>0.1048</v>
      </c>
      <c r="N291" s="220">
        <v>-3.81</v>
      </c>
      <c r="AC291" s="213"/>
    </row>
    <row r="292" spans="1:29" ht="12.75" customHeight="1" x14ac:dyDescent="0.2">
      <c r="A292" s="6">
        <v>21</v>
      </c>
      <c r="B292" s="7"/>
      <c r="C292" s="223">
        <v>0.2472</v>
      </c>
      <c r="D292" s="220">
        <v>-90.27</v>
      </c>
      <c r="E292" s="223">
        <v>0.89729999999999999</v>
      </c>
      <c r="F292" s="220">
        <v>88.49</v>
      </c>
      <c r="G292" s="223">
        <v>1.0024</v>
      </c>
      <c r="H292" s="220">
        <v>0</v>
      </c>
      <c r="I292" s="223">
        <v>1.7961</v>
      </c>
      <c r="J292" s="220">
        <v>143.25</v>
      </c>
      <c r="K292" s="223">
        <v>0.1381</v>
      </c>
      <c r="L292" s="220">
        <v>91.05</v>
      </c>
      <c r="M292" s="223">
        <v>0.1187</v>
      </c>
      <c r="N292" s="220">
        <v>-3.44</v>
      </c>
      <c r="AC292" s="213"/>
    </row>
    <row r="293" spans="1:29" ht="12.75" customHeight="1" x14ac:dyDescent="0.2">
      <c r="A293" s="6">
        <v>20.5</v>
      </c>
      <c r="B293" s="7"/>
      <c r="C293" s="223">
        <v>0.2465</v>
      </c>
      <c r="D293" s="220">
        <v>-90.28</v>
      </c>
      <c r="E293" s="223">
        <v>0.89880000000000004</v>
      </c>
      <c r="F293" s="220">
        <v>87.99</v>
      </c>
      <c r="G293" s="223">
        <v>1.0026999999999999</v>
      </c>
      <c r="H293" s="220">
        <v>0</v>
      </c>
      <c r="I293" s="223">
        <v>2.0853000000000002</v>
      </c>
      <c r="J293" s="220">
        <v>157.24</v>
      </c>
      <c r="K293" s="223">
        <v>0.14499999999999999</v>
      </c>
      <c r="L293" s="220">
        <v>91.14</v>
      </c>
      <c r="M293" s="223">
        <v>0.127</v>
      </c>
      <c r="N293" s="220">
        <v>-2.36</v>
      </c>
      <c r="AC293" s="213"/>
    </row>
    <row r="294" spans="1:29" ht="12.75" customHeight="1" x14ac:dyDescent="0.2">
      <c r="A294" s="6">
        <v>20</v>
      </c>
      <c r="B294" s="7"/>
      <c r="C294" s="223">
        <v>0.24579999999999999</v>
      </c>
      <c r="D294" s="220">
        <v>-90.29</v>
      </c>
      <c r="E294" s="223">
        <v>0.90580000000000005</v>
      </c>
      <c r="F294" s="220">
        <v>87.64</v>
      </c>
      <c r="G294" s="223">
        <v>1.0031000000000001</v>
      </c>
      <c r="H294" s="220">
        <v>0</v>
      </c>
      <c r="I294" s="223">
        <v>2.2766000000000002</v>
      </c>
      <c r="J294" s="220">
        <v>175.73</v>
      </c>
      <c r="K294" s="223">
        <v>0.15240000000000001</v>
      </c>
      <c r="L294" s="220">
        <v>91.23</v>
      </c>
      <c r="M294" s="223">
        <v>0.1348</v>
      </c>
      <c r="N294" s="220">
        <v>-0.31</v>
      </c>
      <c r="AC294" s="213"/>
    </row>
    <row r="295" spans="1:29" ht="12.75" customHeight="1" x14ac:dyDescent="0.2">
      <c r="A295" s="6">
        <v>19.5</v>
      </c>
      <c r="B295" s="7"/>
      <c r="C295" s="223">
        <v>0.24510000000000001</v>
      </c>
      <c r="D295" s="220">
        <v>-90.3</v>
      </c>
      <c r="E295" s="223">
        <v>0.91490000000000005</v>
      </c>
      <c r="F295" s="220">
        <v>87.78</v>
      </c>
      <c r="G295" s="223">
        <v>1.0036</v>
      </c>
      <c r="H295" s="220">
        <v>0</v>
      </c>
      <c r="I295" s="223">
        <v>2.2143999999999999</v>
      </c>
      <c r="J295" s="220">
        <v>-163.69</v>
      </c>
      <c r="K295" s="223">
        <v>0.16039999999999999</v>
      </c>
      <c r="L295" s="220">
        <v>91.29</v>
      </c>
      <c r="M295" s="223">
        <v>0.13969999999999999</v>
      </c>
      <c r="N295" s="220">
        <v>1.99</v>
      </c>
      <c r="AC295" s="213"/>
    </row>
    <row r="296" spans="1:29" ht="12.75" customHeight="1" x14ac:dyDescent="0.2">
      <c r="A296" s="6">
        <v>19</v>
      </c>
      <c r="B296" s="7"/>
      <c r="C296" s="223">
        <v>0.2442</v>
      </c>
      <c r="D296" s="220">
        <v>-90.32</v>
      </c>
      <c r="E296" s="223">
        <v>0.91859999999999997</v>
      </c>
      <c r="F296" s="220">
        <v>88.3</v>
      </c>
      <c r="G296" s="223">
        <v>1.0042</v>
      </c>
      <c r="H296" s="220">
        <v>0.01</v>
      </c>
      <c r="I296" s="223">
        <v>1.9234</v>
      </c>
      <c r="J296" s="220">
        <v>-145.41999999999999</v>
      </c>
      <c r="K296" s="223">
        <v>0.16919999999999999</v>
      </c>
      <c r="L296" s="220">
        <v>91.33</v>
      </c>
      <c r="M296" s="223">
        <v>0.14230000000000001</v>
      </c>
      <c r="N296" s="220">
        <v>3.31</v>
      </c>
      <c r="AC296" s="213"/>
    </row>
    <row r="297" spans="1:29" ht="12.75" customHeight="1" x14ac:dyDescent="0.2">
      <c r="A297" s="6">
        <v>18.5</v>
      </c>
      <c r="B297" s="7"/>
      <c r="C297" s="223">
        <v>0.24340000000000001</v>
      </c>
      <c r="D297" s="220">
        <v>-90.34</v>
      </c>
      <c r="E297" s="223">
        <v>0.91579999999999995</v>
      </c>
      <c r="F297" s="220">
        <v>88.82</v>
      </c>
      <c r="G297" s="223">
        <v>1.0047999999999999</v>
      </c>
      <c r="H297" s="220">
        <v>0.01</v>
      </c>
      <c r="I297" s="223">
        <v>1.5750999999999999</v>
      </c>
      <c r="J297" s="220">
        <v>-131.61000000000001</v>
      </c>
      <c r="K297" s="223">
        <v>0.17879999999999999</v>
      </c>
      <c r="L297" s="220">
        <v>91.37</v>
      </c>
      <c r="M297" s="223">
        <v>0.14530000000000001</v>
      </c>
      <c r="N297" s="220">
        <v>3.51</v>
      </c>
      <c r="AC297" s="213"/>
    </row>
    <row r="298" spans="1:29" ht="12.75" customHeight="1" x14ac:dyDescent="0.2">
      <c r="A298" s="6">
        <v>18</v>
      </c>
      <c r="B298" s="7"/>
      <c r="C298" s="223">
        <v>0.2424</v>
      </c>
      <c r="D298" s="220">
        <v>-90.35</v>
      </c>
      <c r="E298" s="223">
        <v>0.90980000000000005</v>
      </c>
      <c r="F298" s="220">
        <v>89.18</v>
      </c>
      <c r="G298" s="223">
        <v>1.0056</v>
      </c>
      <c r="H298" s="220">
        <v>0.01</v>
      </c>
      <c r="I298" s="223">
        <v>1.2714000000000001</v>
      </c>
      <c r="J298" s="220">
        <v>-121.7</v>
      </c>
      <c r="K298" s="223">
        <v>0.1893</v>
      </c>
      <c r="L298" s="220">
        <v>91.44</v>
      </c>
      <c r="M298" s="223">
        <v>0.1497</v>
      </c>
      <c r="N298" s="220">
        <v>3.17</v>
      </c>
      <c r="AC298" s="213"/>
    </row>
    <row r="299" spans="1:29" ht="12.75" customHeight="1" x14ac:dyDescent="0.2">
      <c r="A299" s="6">
        <v>17</v>
      </c>
      <c r="B299" s="8"/>
      <c r="C299" s="223">
        <v>0.24030000000000001</v>
      </c>
      <c r="D299" s="220">
        <v>-90.38</v>
      </c>
      <c r="E299" s="223">
        <v>0.89490000000000003</v>
      </c>
      <c r="F299" s="220">
        <v>89.54</v>
      </c>
      <c r="G299" s="223">
        <v>1.0077</v>
      </c>
      <c r="H299" s="220">
        <v>0.03</v>
      </c>
      <c r="I299" s="223">
        <v>0.84109999999999996</v>
      </c>
      <c r="J299" s="220">
        <v>-108.96</v>
      </c>
      <c r="K299" s="223">
        <v>0.21340000000000001</v>
      </c>
      <c r="L299" s="220">
        <v>91.64</v>
      </c>
      <c r="M299" s="223">
        <v>0.16289999999999999</v>
      </c>
      <c r="N299" s="220">
        <v>2.25</v>
      </c>
      <c r="AC299" s="213"/>
    </row>
    <row r="300" spans="1:29" ht="12.75" customHeight="1" x14ac:dyDescent="0.2">
      <c r="A300" s="6">
        <v>16</v>
      </c>
      <c r="B300" s="8"/>
      <c r="C300" s="223">
        <v>0.23769999999999999</v>
      </c>
      <c r="D300" s="220">
        <v>-90.39</v>
      </c>
      <c r="E300" s="223">
        <v>0.87829999999999997</v>
      </c>
      <c r="F300" s="220">
        <v>89.66</v>
      </c>
      <c r="G300" s="223">
        <v>1.0109999999999999</v>
      </c>
      <c r="H300" s="220">
        <v>0.06</v>
      </c>
      <c r="I300" s="223">
        <v>0.56799999999999995</v>
      </c>
      <c r="J300" s="220">
        <v>-100.67</v>
      </c>
      <c r="K300" s="223">
        <v>0.24260000000000001</v>
      </c>
      <c r="L300" s="220">
        <v>91.92</v>
      </c>
      <c r="M300" s="223">
        <v>0.1804</v>
      </c>
      <c r="N300" s="220">
        <v>1.56</v>
      </c>
      <c r="AC300" s="213"/>
    </row>
    <row r="301" spans="1:29" ht="12.75" customHeight="1" x14ac:dyDescent="0.2">
      <c r="A301" s="6">
        <v>15</v>
      </c>
      <c r="B301" s="8"/>
      <c r="C301" s="223">
        <v>0.23449999999999999</v>
      </c>
      <c r="D301" s="220">
        <v>-90.36</v>
      </c>
      <c r="E301" s="223">
        <v>0.85950000000000004</v>
      </c>
      <c r="F301" s="220">
        <v>89.66</v>
      </c>
      <c r="G301" s="223">
        <v>1.016</v>
      </c>
      <c r="H301" s="220">
        <v>0.12</v>
      </c>
      <c r="I301" s="223">
        <v>0.37719999999999998</v>
      </c>
      <c r="J301" s="220">
        <v>-93.49</v>
      </c>
      <c r="K301" s="223">
        <v>0.2787</v>
      </c>
      <c r="L301" s="220">
        <v>92.34</v>
      </c>
      <c r="M301" s="223">
        <v>0.20169999999999999</v>
      </c>
      <c r="N301" s="220">
        <v>1.0900000000000001</v>
      </c>
      <c r="AC301" s="213"/>
    </row>
    <row r="302" spans="1:29" ht="12.75" customHeight="1" x14ac:dyDescent="0.2">
      <c r="A302" s="6">
        <v>14</v>
      </c>
      <c r="B302" s="8"/>
      <c r="C302" s="223">
        <v>0.23050000000000001</v>
      </c>
      <c r="D302" s="220">
        <v>-90.24</v>
      </c>
      <c r="E302" s="223">
        <v>0.83699999999999997</v>
      </c>
      <c r="F302" s="220">
        <v>89.58</v>
      </c>
      <c r="G302" s="223">
        <v>1.0242</v>
      </c>
      <c r="H302" s="220">
        <v>0.22</v>
      </c>
      <c r="I302" s="223">
        <v>0.23100000000000001</v>
      </c>
      <c r="J302" s="220">
        <v>-84.2</v>
      </c>
      <c r="K302" s="223">
        <v>0.32440000000000002</v>
      </c>
      <c r="L302" s="220">
        <v>92.97</v>
      </c>
      <c r="M302" s="223">
        <v>0.22700000000000001</v>
      </c>
      <c r="N302" s="220">
        <v>0.79</v>
      </c>
      <c r="AC302" s="213"/>
    </row>
    <row r="303" spans="1:29" ht="12.75" customHeight="1" x14ac:dyDescent="0.2">
      <c r="A303" s="6">
        <v>13</v>
      </c>
      <c r="B303" s="8"/>
      <c r="C303" s="223">
        <v>0.22539999999999999</v>
      </c>
      <c r="D303" s="220">
        <v>-89.92</v>
      </c>
      <c r="E303" s="223">
        <v>0.80920000000000003</v>
      </c>
      <c r="F303" s="220">
        <v>89.4</v>
      </c>
      <c r="G303" s="223">
        <v>1.0384</v>
      </c>
      <c r="H303" s="220">
        <v>0.44</v>
      </c>
      <c r="I303" s="223">
        <v>0.1157</v>
      </c>
      <c r="J303" s="220">
        <v>-62.52</v>
      </c>
      <c r="K303" s="223">
        <v>0.38369999999999999</v>
      </c>
      <c r="L303" s="220">
        <v>94</v>
      </c>
      <c r="M303" s="223">
        <v>0.25690000000000002</v>
      </c>
      <c r="N303" s="220">
        <v>0.62</v>
      </c>
      <c r="AC303" s="213"/>
    </row>
    <row r="304" spans="1:29" ht="12.75" customHeight="1" x14ac:dyDescent="0.2">
      <c r="A304" s="6">
        <v>12</v>
      </c>
      <c r="B304" s="8"/>
      <c r="C304" s="223">
        <v>0.21809999999999999</v>
      </c>
      <c r="D304" s="220">
        <v>-89.17</v>
      </c>
      <c r="E304" s="223">
        <v>0.77410000000000001</v>
      </c>
      <c r="F304" s="220">
        <v>89.1</v>
      </c>
      <c r="G304" s="223">
        <v>1.0649999999999999</v>
      </c>
      <c r="H304" s="220">
        <v>0.92</v>
      </c>
      <c r="I304" s="223">
        <v>7.7700000000000005E-2</v>
      </c>
      <c r="J304" s="220">
        <v>11.42</v>
      </c>
      <c r="K304" s="223">
        <v>0.46310000000000001</v>
      </c>
      <c r="L304" s="220">
        <v>95.81</v>
      </c>
      <c r="M304" s="223">
        <v>0.29160000000000003</v>
      </c>
      <c r="N304" s="220">
        <v>0.55000000000000004</v>
      </c>
      <c r="AC304" s="213"/>
    </row>
    <row r="305" spans="1:29" ht="12.75" customHeight="1" x14ac:dyDescent="0.2">
      <c r="A305" s="6">
        <v>11</v>
      </c>
      <c r="B305" s="8"/>
      <c r="C305" s="223">
        <v>0.20660000000000001</v>
      </c>
      <c r="D305" s="220">
        <v>-87.62</v>
      </c>
      <c r="E305" s="223">
        <v>0.72899999999999998</v>
      </c>
      <c r="F305" s="220">
        <v>88.59</v>
      </c>
      <c r="G305" s="223">
        <v>1.121</v>
      </c>
      <c r="H305" s="220">
        <v>2.1800000000000002</v>
      </c>
      <c r="I305" s="223">
        <v>0.16339999999999999</v>
      </c>
      <c r="J305" s="220">
        <v>53.69</v>
      </c>
      <c r="K305" s="223">
        <v>0.57250000000000001</v>
      </c>
      <c r="L305" s="220">
        <v>99.22</v>
      </c>
      <c r="M305" s="223">
        <v>0.33100000000000002</v>
      </c>
      <c r="N305" s="220">
        <v>0.54</v>
      </c>
      <c r="AC305" s="213"/>
    </row>
    <row r="306" spans="1:29" ht="12.75" customHeight="1" x14ac:dyDescent="0.2">
      <c r="A306" s="6">
        <v>10</v>
      </c>
      <c r="B306" s="8"/>
      <c r="C306" s="223">
        <v>0.18609999999999999</v>
      </c>
      <c r="D306" s="220">
        <v>-84.86</v>
      </c>
      <c r="E306" s="223">
        <v>0.67010000000000003</v>
      </c>
      <c r="F306" s="220">
        <v>87.84</v>
      </c>
      <c r="G306" s="223">
        <v>1.256</v>
      </c>
      <c r="H306" s="220">
        <v>6.42</v>
      </c>
      <c r="I306" s="223">
        <v>0.2792</v>
      </c>
      <c r="J306" s="220">
        <v>65.12</v>
      </c>
      <c r="K306" s="223">
        <v>0.72330000000000005</v>
      </c>
      <c r="L306" s="220">
        <v>105.97</v>
      </c>
      <c r="M306" s="223">
        <v>0.373</v>
      </c>
      <c r="N306" s="220">
        <v>0.48</v>
      </c>
      <c r="AC306" s="213"/>
    </row>
    <row r="307" spans="1:29" ht="12.75" customHeight="1" x14ac:dyDescent="0.2">
      <c r="A307" s="6">
        <v>9</v>
      </c>
      <c r="B307" s="8"/>
      <c r="C307" s="223">
        <v>0.14779999999999999</v>
      </c>
      <c r="D307" s="220">
        <v>-82.1</v>
      </c>
      <c r="E307" s="223">
        <v>0.5897</v>
      </c>
      <c r="F307" s="220">
        <v>86.84</v>
      </c>
      <c r="G307" s="223">
        <v>1.5684</v>
      </c>
      <c r="H307" s="220">
        <v>25.85</v>
      </c>
      <c r="I307" s="223">
        <v>0.4098</v>
      </c>
      <c r="J307" s="220">
        <v>71.55</v>
      </c>
      <c r="K307" s="223">
        <v>0.87690000000000001</v>
      </c>
      <c r="L307" s="220">
        <v>120.38</v>
      </c>
      <c r="M307" s="223">
        <v>0.41239999999999999</v>
      </c>
      <c r="N307" s="220">
        <v>-0.06</v>
      </c>
      <c r="AC307" s="213"/>
    </row>
    <row r="308" spans="1:29" ht="12.75" customHeight="1" x14ac:dyDescent="0.2">
      <c r="A308" s="6">
        <v>8</v>
      </c>
      <c r="B308" s="9"/>
      <c r="C308" s="223">
        <v>0.10639999999999999</v>
      </c>
      <c r="D308" s="220">
        <v>-78.08</v>
      </c>
      <c r="E308" s="223">
        <v>0.47239999999999999</v>
      </c>
      <c r="F308" s="220">
        <v>84.95</v>
      </c>
      <c r="G308" s="223">
        <v>1.0351999999999999</v>
      </c>
      <c r="H308" s="220">
        <v>78.260000000000005</v>
      </c>
      <c r="I308" s="223">
        <v>0.51129999999999998</v>
      </c>
      <c r="J308" s="220">
        <v>79.8</v>
      </c>
      <c r="K308" s="223">
        <v>0.99160000000000004</v>
      </c>
      <c r="L308" s="220">
        <v>130.77000000000001</v>
      </c>
      <c r="M308" s="223">
        <v>0.44090000000000001</v>
      </c>
      <c r="N308" s="220">
        <v>-1.92</v>
      </c>
      <c r="AC308" s="213"/>
    </row>
    <row r="309" spans="1:29" ht="12.75" customHeight="1" x14ac:dyDescent="0.2">
      <c r="A309" s="6">
        <v>7</v>
      </c>
      <c r="B309" s="9"/>
      <c r="C309" s="223">
        <v>3.2500000000000001E-2</v>
      </c>
      <c r="D309" s="220">
        <v>-125.25</v>
      </c>
      <c r="E309" s="223">
        <v>0.32129999999999997</v>
      </c>
      <c r="F309" s="220">
        <v>78.760000000000005</v>
      </c>
      <c r="G309" s="223">
        <v>0.31</v>
      </c>
      <c r="H309" s="220">
        <v>104.33</v>
      </c>
      <c r="I309" s="223">
        <v>0.49509999999999998</v>
      </c>
      <c r="J309" s="220">
        <v>83.28</v>
      </c>
      <c r="K309" s="223">
        <v>0.80030000000000001</v>
      </c>
      <c r="L309" s="220">
        <v>163.54</v>
      </c>
      <c r="M309" s="223">
        <v>0.44069999999999998</v>
      </c>
      <c r="N309" s="220">
        <v>-5.61</v>
      </c>
      <c r="AC309" s="213"/>
    </row>
    <row r="310" spans="1:29" ht="12.75" customHeight="1" x14ac:dyDescent="0.2">
      <c r="A310" s="6">
        <v>6</v>
      </c>
      <c r="B310" s="9"/>
      <c r="C310" s="223">
        <v>4.1599999999999998E-2</v>
      </c>
      <c r="D310" s="220">
        <v>-173.27</v>
      </c>
      <c r="E310" s="223">
        <v>0.14929999999999999</v>
      </c>
      <c r="F310" s="220">
        <v>64.33</v>
      </c>
      <c r="G310" s="223">
        <v>1.8800000000000001E-2</v>
      </c>
      <c r="H310" s="220">
        <v>-155.24</v>
      </c>
      <c r="I310" s="223">
        <v>0.38969999999999999</v>
      </c>
      <c r="J310" s="220">
        <v>75.650000000000006</v>
      </c>
      <c r="K310" s="223">
        <v>0.39829999999999999</v>
      </c>
      <c r="L310" s="220">
        <v>179.95</v>
      </c>
      <c r="M310" s="223">
        <v>0.37540000000000001</v>
      </c>
      <c r="N310" s="220">
        <v>-14.16</v>
      </c>
      <c r="AC310" s="213"/>
    </row>
    <row r="311" spans="1:29" ht="12.75" customHeight="1" x14ac:dyDescent="0.2">
      <c r="A311" s="6">
        <v>5</v>
      </c>
      <c r="B311" s="9"/>
      <c r="C311" s="223">
        <v>2.81E-2</v>
      </c>
      <c r="D311" s="220">
        <v>134.31</v>
      </c>
      <c r="E311" s="223">
        <v>2.9499999999999998E-2</v>
      </c>
      <c r="F311" s="220">
        <v>-44.05</v>
      </c>
      <c r="G311" s="223">
        <v>5.28E-2</v>
      </c>
      <c r="H311" s="220">
        <v>-105.1</v>
      </c>
      <c r="I311" s="223">
        <v>0.20979999999999999</v>
      </c>
      <c r="J311" s="220">
        <v>58.14</v>
      </c>
      <c r="K311" s="223">
        <v>8.2199999999999995E-2</v>
      </c>
      <c r="L311" s="220">
        <v>172.21</v>
      </c>
      <c r="M311" s="223">
        <v>0.17829999999999999</v>
      </c>
      <c r="N311" s="220">
        <v>-41.86</v>
      </c>
      <c r="AC311" s="213"/>
    </row>
    <row r="312" spans="1:29" ht="12.75" customHeight="1" x14ac:dyDescent="0.2">
      <c r="A312" s="6">
        <v>4.5</v>
      </c>
      <c r="B312" s="9"/>
      <c r="C312" s="223">
        <v>2.24E-2</v>
      </c>
      <c r="D312" s="220">
        <v>84.75</v>
      </c>
      <c r="E312" s="223">
        <v>4.7899999999999998E-2</v>
      </c>
      <c r="F312" s="220">
        <v>-107.13</v>
      </c>
      <c r="G312" s="223">
        <v>4.3400000000000001E-2</v>
      </c>
      <c r="H312" s="220">
        <v>-126.48</v>
      </c>
      <c r="I312" s="223">
        <v>0.1056</v>
      </c>
      <c r="J312" s="220">
        <v>34.07</v>
      </c>
      <c r="K312" s="223">
        <v>7.9000000000000008E-3</v>
      </c>
      <c r="L312" s="220">
        <v>-174.12</v>
      </c>
      <c r="M312" s="223">
        <v>7.5600000000000001E-2</v>
      </c>
      <c r="N312" s="220">
        <v>-80.75</v>
      </c>
      <c r="AC312" s="213"/>
    </row>
    <row r="313" spans="1:29" ht="12.75" customHeight="1" x14ac:dyDescent="0.2">
      <c r="A313" s="6">
        <v>4</v>
      </c>
      <c r="B313" s="9"/>
      <c r="C313" s="223">
        <v>0.01</v>
      </c>
      <c r="D313" s="220">
        <v>35.909999999999997</v>
      </c>
      <c r="E313" s="223">
        <v>0.03</v>
      </c>
      <c r="F313" s="220">
        <v>-146.53</v>
      </c>
      <c r="G313" s="223">
        <v>2.2499999999999999E-2</v>
      </c>
      <c r="H313" s="220">
        <v>-159.32</v>
      </c>
      <c r="I313" s="223">
        <v>4.8599999999999997E-2</v>
      </c>
      <c r="J313" s="220">
        <v>-5.07</v>
      </c>
      <c r="K313" s="223">
        <v>2.4899999999999999E-2</v>
      </c>
      <c r="L313" s="220">
        <v>-53.71</v>
      </c>
      <c r="M313" s="223">
        <v>6.13E-2</v>
      </c>
      <c r="N313" s="220">
        <v>164.29</v>
      </c>
      <c r="AC313" s="213"/>
    </row>
    <row r="314" spans="1:29" ht="12.75" customHeight="1" x14ac:dyDescent="0.2">
      <c r="A314" s="6">
        <v>3.5</v>
      </c>
      <c r="B314" s="9"/>
      <c r="C314" s="223">
        <v>6.3E-3</v>
      </c>
      <c r="D314" s="220">
        <v>-107.56</v>
      </c>
      <c r="E314" s="223">
        <v>1.72E-2</v>
      </c>
      <c r="F314" s="220">
        <v>36.15</v>
      </c>
      <c r="G314" s="223">
        <v>3.8999999999999998E-3</v>
      </c>
      <c r="H314" s="220">
        <v>116.16</v>
      </c>
      <c r="I314" s="223">
        <v>3.0099999999999998E-2</v>
      </c>
      <c r="J314" s="220">
        <v>-18.32</v>
      </c>
      <c r="K314" s="223">
        <v>2.1499999999999998E-2</v>
      </c>
      <c r="L314" s="220">
        <v>-93.87</v>
      </c>
      <c r="M314" s="223">
        <v>6.1899999999999997E-2</v>
      </c>
      <c r="N314" s="220">
        <v>103.86</v>
      </c>
      <c r="AC314" s="213"/>
    </row>
    <row r="315" spans="1:29" ht="12.75" customHeight="1" x14ac:dyDescent="0.2">
      <c r="A315" s="6">
        <v>3</v>
      </c>
      <c r="B315" s="9"/>
      <c r="C315" s="223">
        <v>5.5999999999999999E-3</v>
      </c>
      <c r="D315" s="220">
        <v>121.91</v>
      </c>
      <c r="E315" s="223">
        <v>2.1499999999999998E-2</v>
      </c>
      <c r="F315" s="220">
        <v>-61.61</v>
      </c>
      <c r="G315" s="223">
        <v>3.0999999999999999E-3</v>
      </c>
      <c r="H315" s="220">
        <v>-57.17</v>
      </c>
      <c r="I315" s="223">
        <v>1.9199999999999998E-2</v>
      </c>
      <c r="J315" s="220">
        <v>-74.81</v>
      </c>
      <c r="K315" s="223">
        <v>3.8E-3</v>
      </c>
      <c r="L315" s="220">
        <v>71.430000000000007</v>
      </c>
      <c r="M315" s="223">
        <v>1.7600000000000001E-2</v>
      </c>
      <c r="N315" s="220">
        <v>-115.36</v>
      </c>
      <c r="AC315" s="213"/>
    </row>
    <row r="316" spans="1:29" ht="12.75" customHeight="1" x14ac:dyDescent="0.2">
      <c r="A316" s="6">
        <v>0</v>
      </c>
      <c r="B316" s="9"/>
      <c r="C316" s="223">
        <v>0</v>
      </c>
      <c r="D316" s="220">
        <v>0</v>
      </c>
      <c r="E316" s="223">
        <v>0</v>
      </c>
      <c r="F316" s="220">
        <v>0</v>
      </c>
      <c r="G316" s="223">
        <v>0</v>
      </c>
      <c r="H316" s="220">
        <v>0</v>
      </c>
      <c r="I316" s="223">
        <v>0</v>
      </c>
      <c r="J316" s="220">
        <v>0</v>
      </c>
      <c r="K316" s="223">
        <v>0</v>
      </c>
      <c r="L316" s="220">
        <v>0</v>
      </c>
      <c r="M316" s="223">
        <v>0</v>
      </c>
      <c r="N316" s="220">
        <v>0</v>
      </c>
    </row>
    <row r="317" spans="1:29" ht="12.75" customHeight="1" x14ac:dyDescent="0.2">
      <c r="A317" s="6">
        <v>0</v>
      </c>
      <c r="B317" s="9"/>
      <c r="C317" s="223">
        <v>0</v>
      </c>
      <c r="D317" s="220">
        <v>0</v>
      </c>
      <c r="E317" s="223">
        <v>0</v>
      </c>
      <c r="F317" s="220">
        <v>0</v>
      </c>
      <c r="G317" s="223">
        <v>0</v>
      </c>
      <c r="H317" s="220">
        <v>0</v>
      </c>
      <c r="I317" s="223">
        <v>0</v>
      </c>
      <c r="J317" s="220">
        <v>0</v>
      </c>
      <c r="K317" s="223">
        <v>0</v>
      </c>
      <c r="L317" s="220">
        <v>0</v>
      </c>
      <c r="M317" s="223">
        <v>0</v>
      </c>
      <c r="N317" s="220">
        <v>0</v>
      </c>
    </row>
    <row r="318" spans="1:29" ht="12.75" customHeight="1" x14ac:dyDescent="0.2">
      <c r="A318" s="6">
        <v>0</v>
      </c>
      <c r="B318" s="9"/>
      <c r="C318" s="223">
        <v>0</v>
      </c>
      <c r="D318" s="220">
        <v>0</v>
      </c>
      <c r="E318" s="223">
        <v>0</v>
      </c>
      <c r="F318" s="220">
        <v>0</v>
      </c>
      <c r="G318" s="223">
        <v>0</v>
      </c>
      <c r="H318" s="220">
        <v>0</v>
      </c>
      <c r="I318" s="223">
        <v>0</v>
      </c>
      <c r="J318" s="220">
        <v>0</v>
      </c>
      <c r="K318" s="223">
        <v>0</v>
      </c>
      <c r="L318" s="220">
        <v>0</v>
      </c>
      <c r="M318" s="223">
        <v>0</v>
      </c>
      <c r="N318" s="220">
        <v>0</v>
      </c>
    </row>
    <row r="319" spans="1:29" ht="12.75" customHeight="1" x14ac:dyDescent="0.2">
      <c r="A319" s="6">
        <v>0</v>
      </c>
      <c r="B319" s="9"/>
      <c r="C319" s="223">
        <v>0</v>
      </c>
      <c r="D319" s="220">
        <v>0</v>
      </c>
      <c r="E319" s="223">
        <v>0</v>
      </c>
      <c r="F319" s="220">
        <v>0</v>
      </c>
      <c r="G319" s="223">
        <v>0</v>
      </c>
      <c r="H319" s="220">
        <v>0</v>
      </c>
      <c r="I319" s="223">
        <v>0</v>
      </c>
      <c r="J319" s="220">
        <v>0</v>
      </c>
      <c r="K319" s="223">
        <v>0</v>
      </c>
      <c r="L319" s="220">
        <v>0</v>
      </c>
      <c r="M319" s="223">
        <v>0</v>
      </c>
      <c r="N319" s="220">
        <v>0</v>
      </c>
    </row>
    <row r="320" spans="1:29" ht="12.75" customHeight="1" thickBot="1" x14ac:dyDescent="0.25">
      <c r="A320" s="10">
        <v>0</v>
      </c>
      <c r="B320" s="11"/>
      <c r="C320" s="12">
        <v>0</v>
      </c>
      <c r="D320" s="13">
        <v>0</v>
      </c>
      <c r="E320" s="12">
        <v>0</v>
      </c>
      <c r="F320" s="13">
        <v>0</v>
      </c>
      <c r="G320" s="12">
        <v>0</v>
      </c>
      <c r="H320" s="13">
        <v>0</v>
      </c>
      <c r="I320" s="12">
        <v>0</v>
      </c>
      <c r="J320" s="13">
        <v>0</v>
      </c>
      <c r="K320" s="12">
        <v>0</v>
      </c>
      <c r="L320" s="13">
        <v>0</v>
      </c>
      <c r="M320" s="12">
        <v>0</v>
      </c>
      <c r="N320" s="13">
        <v>0</v>
      </c>
    </row>
    <row r="321" spans="1:29" ht="20.100000000000001" customHeight="1" x14ac:dyDescent="0.25">
      <c r="A321" s="395" t="str">
        <f>A281</f>
        <v>Paragon DPDS3</v>
      </c>
      <c r="B321" s="395"/>
      <c r="C321" s="395"/>
      <c r="D321" s="395"/>
      <c r="E321" s="395"/>
      <c r="F321" s="395"/>
      <c r="G321" s="395"/>
      <c r="H321" s="395"/>
      <c r="I321" s="395"/>
      <c r="J321" s="395"/>
      <c r="K321" s="395"/>
      <c r="L321" s="395"/>
      <c r="M321" s="395"/>
      <c r="N321" s="395"/>
    </row>
    <row r="322" spans="1:29" ht="20.100000000000001" customHeight="1" thickBot="1" x14ac:dyDescent="0.3">
      <c r="A322" s="396" t="s">
        <v>5</v>
      </c>
      <c r="B322" s="396"/>
      <c r="C322" s="396"/>
      <c r="D322" s="396"/>
      <c r="E322" s="396"/>
      <c r="F322" s="396"/>
      <c r="G322" s="396"/>
      <c r="H322" s="396"/>
      <c r="I322" s="396"/>
      <c r="J322" s="396"/>
      <c r="K322" s="396"/>
      <c r="L322" s="396"/>
      <c r="M322" s="396"/>
      <c r="N322" s="396"/>
    </row>
    <row r="323" spans="1:29" ht="12.75" customHeight="1" x14ac:dyDescent="0.2">
      <c r="A323" s="397" t="s">
        <v>12</v>
      </c>
      <c r="B323" s="399" t="s">
        <v>13</v>
      </c>
      <c r="C323" s="401" t="s">
        <v>6</v>
      </c>
      <c r="D323" s="402"/>
      <c r="E323" s="401" t="s">
        <v>7</v>
      </c>
      <c r="F323" s="402"/>
      <c r="G323" s="401" t="s">
        <v>8</v>
      </c>
      <c r="H323" s="402"/>
      <c r="I323" s="401" t="s">
        <v>9</v>
      </c>
      <c r="J323" s="402"/>
      <c r="K323" s="401" t="s">
        <v>10</v>
      </c>
      <c r="L323" s="402"/>
      <c r="M323" s="401" t="s">
        <v>11</v>
      </c>
      <c r="N323" s="402"/>
    </row>
    <row r="324" spans="1:29" ht="12.75" customHeight="1" x14ac:dyDescent="0.2">
      <c r="A324" s="398"/>
      <c r="B324" s="400"/>
      <c r="C324" s="222" t="s">
        <v>0</v>
      </c>
      <c r="D324" s="217" t="s">
        <v>1</v>
      </c>
      <c r="E324" s="222" t="s">
        <v>0</v>
      </c>
      <c r="F324" s="217" t="s">
        <v>1</v>
      </c>
      <c r="G324" s="222" t="s">
        <v>0</v>
      </c>
      <c r="H324" s="217" t="s">
        <v>1</v>
      </c>
      <c r="I324" s="222" t="s">
        <v>0</v>
      </c>
      <c r="J324" s="217" t="s">
        <v>1</v>
      </c>
      <c r="K324" s="222" t="s">
        <v>0</v>
      </c>
      <c r="L324" s="217" t="s">
        <v>1</v>
      </c>
      <c r="M324" s="222" t="s">
        <v>0</v>
      </c>
      <c r="N324" s="217" t="s">
        <v>1</v>
      </c>
    </row>
    <row r="325" spans="1:29" ht="12.75" customHeight="1" thickBot="1" x14ac:dyDescent="0.25">
      <c r="A325" s="2" t="s">
        <v>14</v>
      </c>
      <c r="B325" s="3" t="s">
        <v>15</v>
      </c>
      <c r="C325" s="2" t="s">
        <v>19</v>
      </c>
      <c r="D325" s="3" t="s">
        <v>15</v>
      </c>
      <c r="E325" s="2" t="s">
        <v>19</v>
      </c>
      <c r="F325" s="3" t="s">
        <v>15</v>
      </c>
      <c r="G325" s="2" t="s">
        <v>19</v>
      </c>
      <c r="H325" s="3" t="s">
        <v>15</v>
      </c>
      <c r="I325" s="2" t="s">
        <v>20</v>
      </c>
      <c r="J325" s="3" t="s">
        <v>15</v>
      </c>
      <c r="K325" s="2" t="s">
        <v>20</v>
      </c>
      <c r="L325" s="3" t="s">
        <v>15</v>
      </c>
      <c r="M325" s="2" t="s">
        <v>20</v>
      </c>
      <c r="N325" s="3" t="s">
        <v>15</v>
      </c>
    </row>
    <row r="326" spans="1:29" ht="12.75" customHeight="1" x14ac:dyDescent="0.2">
      <c r="A326" s="4">
        <v>30</v>
      </c>
      <c r="B326" s="5">
        <v>120</v>
      </c>
      <c r="C326" s="223">
        <v>0.48830000000000001</v>
      </c>
      <c r="D326" s="220">
        <v>-90.03</v>
      </c>
      <c r="E326" s="223">
        <v>0.83799999999999997</v>
      </c>
      <c r="F326" s="220">
        <v>89.89</v>
      </c>
      <c r="G326" s="223">
        <v>0.99750000000000005</v>
      </c>
      <c r="H326" s="220">
        <v>0</v>
      </c>
      <c r="I326" s="223">
        <v>0.31130000000000002</v>
      </c>
      <c r="J326" s="220">
        <v>101.33</v>
      </c>
      <c r="K326" s="223">
        <v>0.12889999999999999</v>
      </c>
      <c r="L326" s="220">
        <v>90.5</v>
      </c>
      <c r="M326" s="223">
        <v>9.4600000000000004E-2</v>
      </c>
      <c r="N326" s="220">
        <v>-1.21</v>
      </c>
      <c r="AC326" s="213"/>
    </row>
    <row r="327" spans="1:29" ht="12.75" customHeight="1" x14ac:dyDescent="0.2">
      <c r="A327" s="6">
        <v>28</v>
      </c>
      <c r="B327" s="7"/>
      <c r="C327" s="223">
        <v>0.48630000000000001</v>
      </c>
      <c r="D327" s="220">
        <v>-90.04</v>
      </c>
      <c r="E327" s="223">
        <v>0.83279999999999998</v>
      </c>
      <c r="F327" s="220">
        <v>89.86</v>
      </c>
      <c r="G327" s="223">
        <v>0.99670000000000003</v>
      </c>
      <c r="H327" s="220">
        <v>-0.01</v>
      </c>
      <c r="I327" s="223">
        <v>0.38719999999999999</v>
      </c>
      <c r="J327" s="220">
        <v>103.62</v>
      </c>
      <c r="K327" s="223">
        <v>0.14810000000000001</v>
      </c>
      <c r="L327" s="220">
        <v>90.58</v>
      </c>
      <c r="M327" s="223">
        <v>0.10829999999999999</v>
      </c>
      <c r="N327" s="220">
        <v>-1.32</v>
      </c>
      <c r="AC327" s="213"/>
    </row>
    <row r="328" spans="1:29" ht="12.75" customHeight="1" x14ac:dyDescent="0.2">
      <c r="A328" s="6">
        <v>26</v>
      </c>
      <c r="B328" s="7"/>
      <c r="C328" s="223">
        <v>0.48359999999999997</v>
      </c>
      <c r="D328" s="220">
        <v>-90.04</v>
      </c>
      <c r="E328" s="223">
        <v>0.82589999999999997</v>
      </c>
      <c r="F328" s="220">
        <v>89.78</v>
      </c>
      <c r="G328" s="223">
        <v>0.99550000000000005</v>
      </c>
      <c r="H328" s="220">
        <v>-0.01</v>
      </c>
      <c r="I328" s="223">
        <v>0.50470000000000004</v>
      </c>
      <c r="J328" s="220">
        <v>107.18</v>
      </c>
      <c r="K328" s="223">
        <v>0.17199999999999999</v>
      </c>
      <c r="L328" s="220">
        <v>90.68</v>
      </c>
      <c r="M328" s="223">
        <v>0.12529999999999999</v>
      </c>
      <c r="N328" s="220">
        <v>-1.49</v>
      </c>
      <c r="AC328" s="213"/>
    </row>
    <row r="329" spans="1:29" ht="12.75" customHeight="1" x14ac:dyDescent="0.2">
      <c r="A329" s="6">
        <v>24</v>
      </c>
      <c r="B329" s="7"/>
      <c r="C329" s="223">
        <v>0.48020000000000002</v>
      </c>
      <c r="D329" s="220">
        <v>-90.04</v>
      </c>
      <c r="E329" s="223">
        <v>0.81630000000000003</v>
      </c>
      <c r="F329" s="220">
        <v>89.62</v>
      </c>
      <c r="G329" s="223">
        <v>0.99390000000000001</v>
      </c>
      <c r="H329" s="220">
        <v>-0.01</v>
      </c>
      <c r="I329" s="223">
        <v>0.71230000000000004</v>
      </c>
      <c r="J329" s="220">
        <v>113.57</v>
      </c>
      <c r="K329" s="223">
        <v>0.2021</v>
      </c>
      <c r="L329" s="220">
        <v>90.81</v>
      </c>
      <c r="M329" s="223">
        <v>0.14680000000000001</v>
      </c>
      <c r="N329" s="220">
        <v>-1.74</v>
      </c>
      <c r="AC329" s="213"/>
    </row>
    <row r="330" spans="1:29" ht="12.75" customHeight="1" x14ac:dyDescent="0.2">
      <c r="A330" s="6">
        <v>23</v>
      </c>
      <c r="B330" s="7"/>
      <c r="C330" s="223">
        <v>0.47799999999999998</v>
      </c>
      <c r="D330" s="220">
        <v>-90.05</v>
      </c>
      <c r="E330" s="223">
        <v>0.81</v>
      </c>
      <c r="F330" s="220">
        <v>89.44</v>
      </c>
      <c r="G330" s="223">
        <v>0.9929</v>
      </c>
      <c r="H330" s="220">
        <v>-0.01</v>
      </c>
      <c r="I330" s="223">
        <v>0.88859999999999995</v>
      </c>
      <c r="J330" s="220">
        <v>119.16</v>
      </c>
      <c r="K330" s="223">
        <v>0.22020000000000001</v>
      </c>
      <c r="L330" s="220">
        <v>90.89</v>
      </c>
      <c r="M330" s="223">
        <v>0.16009999999999999</v>
      </c>
      <c r="N330" s="220">
        <v>-1.92</v>
      </c>
      <c r="AC330" s="213"/>
    </row>
    <row r="331" spans="1:29" ht="12.75" customHeight="1" x14ac:dyDescent="0.2">
      <c r="A331" s="6">
        <v>22</v>
      </c>
      <c r="B331" s="7"/>
      <c r="C331" s="223">
        <v>0.47549999999999998</v>
      </c>
      <c r="D331" s="220">
        <v>-90.05</v>
      </c>
      <c r="E331" s="223">
        <v>0.80269999999999997</v>
      </c>
      <c r="F331" s="220">
        <v>89.1</v>
      </c>
      <c r="G331" s="223">
        <v>0.99150000000000005</v>
      </c>
      <c r="H331" s="220">
        <v>-0.01</v>
      </c>
      <c r="I331" s="223">
        <v>1.1640999999999999</v>
      </c>
      <c r="J331" s="220">
        <v>128.41999999999999</v>
      </c>
      <c r="K331" s="223">
        <v>0.24079999999999999</v>
      </c>
      <c r="L331" s="220">
        <v>90.98</v>
      </c>
      <c r="M331" s="223">
        <v>0.1759</v>
      </c>
      <c r="N331" s="220">
        <v>-2.06</v>
      </c>
      <c r="AC331" s="213"/>
    </row>
    <row r="332" spans="1:29" ht="12.75" customHeight="1" x14ac:dyDescent="0.2">
      <c r="A332" s="6">
        <v>21</v>
      </c>
      <c r="B332" s="7"/>
      <c r="C332" s="223">
        <v>0.47249999999999998</v>
      </c>
      <c r="D332" s="220">
        <v>-90.05</v>
      </c>
      <c r="E332" s="223">
        <v>0.79679999999999995</v>
      </c>
      <c r="F332" s="220">
        <v>88.4</v>
      </c>
      <c r="G332" s="223">
        <v>0.9899</v>
      </c>
      <c r="H332" s="220">
        <v>-0.02</v>
      </c>
      <c r="I332" s="223">
        <v>1.5992</v>
      </c>
      <c r="J332" s="220">
        <v>145.69999999999999</v>
      </c>
      <c r="K332" s="223">
        <v>0.26450000000000001</v>
      </c>
      <c r="L332" s="220">
        <v>91.1</v>
      </c>
      <c r="M332" s="223">
        <v>0.19570000000000001</v>
      </c>
      <c r="N332" s="220">
        <v>-1.85</v>
      </c>
      <c r="AC332" s="213"/>
    </row>
    <row r="333" spans="1:29" ht="12.75" customHeight="1" x14ac:dyDescent="0.2">
      <c r="A333" s="6">
        <v>20.5</v>
      </c>
      <c r="B333" s="7"/>
      <c r="C333" s="223">
        <v>0.4708</v>
      </c>
      <c r="D333" s="220">
        <v>-90.04</v>
      </c>
      <c r="E333" s="223">
        <v>0.79769999999999996</v>
      </c>
      <c r="F333" s="220">
        <v>87.91</v>
      </c>
      <c r="G333" s="223">
        <v>0.9889</v>
      </c>
      <c r="H333" s="220">
        <v>-0.02</v>
      </c>
      <c r="I333" s="223">
        <v>1.8547</v>
      </c>
      <c r="J333" s="220">
        <v>159.88999999999999</v>
      </c>
      <c r="K333" s="223">
        <v>0.27760000000000001</v>
      </c>
      <c r="L333" s="220">
        <v>91.18</v>
      </c>
      <c r="M333" s="223">
        <v>0.2072</v>
      </c>
      <c r="N333" s="220">
        <v>-1.24</v>
      </c>
      <c r="AC333" s="213"/>
    </row>
    <row r="334" spans="1:29" ht="12.75" customHeight="1" x14ac:dyDescent="0.2">
      <c r="A334" s="6">
        <v>20</v>
      </c>
      <c r="B334" s="7"/>
      <c r="C334" s="223">
        <v>0.46889999999999998</v>
      </c>
      <c r="D334" s="220">
        <v>-90.04</v>
      </c>
      <c r="E334" s="223">
        <v>0.80330000000000001</v>
      </c>
      <c r="F334" s="220">
        <v>87.58</v>
      </c>
      <c r="G334" s="223">
        <v>0.98780000000000001</v>
      </c>
      <c r="H334" s="220">
        <v>-0.02</v>
      </c>
      <c r="I334" s="223">
        <v>2.0222000000000002</v>
      </c>
      <c r="J334" s="220">
        <v>178.6</v>
      </c>
      <c r="K334" s="223">
        <v>0.29170000000000001</v>
      </c>
      <c r="L334" s="220">
        <v>91.25</v>
      </c>
      <c r="M334" s="223">
        <v>0.21829999999999999</v>
      </c>
      <c r="N334" s="220">
        <v>-0.1</v>
      </c>
      <c r="AC334" s="213"/>
    </row>
    <row r="335" spans="1:29" ht="12.75" customHeight="1" x14ac:dyDescent="0.2">
      <c r="A335" s="6">
        <v>19.5</v>
      </c>
      <c r="B335" s="7"/>
      <c r="C335" s="223">
        <v>0.46689999999999998</v>
      </c>
      <c r="D335" s="220">
        <v>-90.04</v>
      </c>
      <c r="E335" s="223">
        <v>0.81030000000000002</v>
      </c>
      <c r="F335" s="220">
        <v>87.76</v>
      </c>
      <c r="G335" s="223">
        <v>0.98660000000000003</v>
      </c>
      <c r="H335" s="220">
        <v>-0.02</v>
      </c>
      <c r="I335" s="223">
        <v>1.9639</v>
      </c>
      <c r="J335" s="220">
        <v>-160.56</v>
      </c>
      <c r="K335" s="223">
        <v>0.30690000000000001</v>
      </c>
      <c r="L335" s="220">
        <v>91.31</v>
      </c>
      <c r="M335" s="223">
        <v>0.22689999999999999</v>
      </c>
      <c r="N335" s="220">
        <v>1.1399999999999999</v>
      </c>
      <c r="AC335" s="213"/>
    </row>
    <row r="336" spans="1:29" ht="12.75" customHeight="1" x14ac:dyDescent="0.2">
      <c r="A336" s="6">
        <v>19</v>
      </c>
      <c r="B336" s="7"/>
      <c r="C336" s="223">
        <v>0.46460000000000001</v>
      </c>
      <c r="D336" s="220">
        <v>-90.04</v>
      </c>
      <c r="E336" s="223">
        <v>0.81200000000000006</v>
      </c>
      <c r="F336" s="220">
        <v>88.32</v>
      </c>
      <c r="G336" s="223">
        <v>0.98519999999999996</v>
      </c>
      <c r="H336" s="220">
        <v>-0.02</v>
      </c>
      <c r="I336" s="223">
        <v>1.7028000000000001</v>
      </c>
      <c r="J336" s="220">
        <v>-141.99</v>
      </c>
      <c r="K336" s="223">
        <v>0.32329999999999998</v>
      </c>
      <c r="L336" s="220">
        <v>91.37</v>
      </c>
      <c r="M336" s="223">
        <v>0.2339</v>
      </c>
      <c r="N336" s="220">
        <v>1.79</v>
      </c>
      <c r="AC336" s="213"/>
    </row>
    <row r="337" spans="1:29" ht="12.75" customHeight="1" x14ac:dyDescent="0.2">
      <c r="A337" s="6">
        <v>18.5</v>
      </c>
      <c r="B337" s="7"/>
      <c r="C337" s="223">
        <v>0.46210000000000001</v>
      </c>
      <c r="D337" s="220">
        <v>-90.04</v>
      </c>
      <c r="E337" s="223">
        <v>0.80769999999999997</v>
      </c>
      <c r="F337" s="220">
        <v>88.84</v>
      </c>
      <c r="G337" s="223">
        <v>0.98370000000000002</v>
      </c>
      <c r="H337" s="220">
        <v>-0.02</v>
      </c>
      <c r="I337" s="223">
        <v>1.3915</v>
      </c>
      <c r="J337" s="220">
        <v>-127.82</v>
      </c>
      <c r="K337" s="223">
        <v>0.3412</v>
      </c>
      <c r="L337" s="220">
        <v>91.43</v>
      </c>
      <c r="M337" s="223">
        <v>0.24160000000000001</v>
      </c>
      <c r="N337" s="220">
        <v>1.82</v>
      </c>
      <c r="AC337" s="213"/>
    </row>
    <row r="338" spans="1:29" ht="12.75" customHeight="1" x14ac:dyDescent="0.2">
      <c r="A338" s="6">
        <v>18</v>
      </c>
      <c r="B338" s="7"/>
      <c r="C338" s="223">
        <v>0.45939999999999998</v>
      </c>
      <c r="D338" s="220">
        <v>-90.03</v>
      </c>
      <c r="E338" s="223">
        <v>0.80049999999999999</v>
      </c>
      <c r="F338" s="220">
        <v>89.2</v>
      </c>
      <c r="G338" s="223">
        <v>0.9819</v>
      </c>
      <c r="H338" s="220">
        <v>-0.02</v>
      </c>
      <c r="I338" s="223">
        <v>1.1203000000000001</v>
      </c>
      <c r="J338" s="220">
        <v>-117.49</v>
      </c>
      <c r="K338" s="223">
        <v>0.36059999999999998</v>
      </c>
      <c r="L338" s="220">
        <v>91.51</v>
      </c>
      <c r="M338" s="223">
        <v>0.25109999999999999</v>
      </c>
      <c r="N338" s="220">
        <v>1.57</v>
      </c>
      <c r="AC338" s="213"/>
    </row>
    <row r="339" spans="1:29" ht="12.75" customHeight="1" x14ac:dyDescent="0.2">
      <c r="A339" s="6">
        <v>17</v>
      </c>
      <c r="B339" s="8"/>
      <c r="C339" s="223">
        <v>0.45300000000000001</v>
      </c>
      <c r="D339" s="220">
        <v>-90.01</v>
      </c>
      <c r="E339" s="223">
        <v>0.78310000000000002</v>
      </c>
      <c r="F339" s="220">
        <v>89.55</v>
      </c>
      <c r="G339" s="223">
        <v>0.97760000000000002</v>
      </c>
      <c r="H339" s="220">
        <v>-0.02</v>
      </c>
      <c r="I339" s="223">
        <v>0.73619999999999997</v>
      </c>
      <c r="J339" s="220">
        <v>-103.61</v>
      </c>
      <c r="K339" s="223">
        <v>0.40500000000000003</v>
      </c>
      <c r="L339" s="220">
        <v>91.72</v>
      </c>
      <c r="M339" s="223">
        <v>0.2752</v>
      </c>
      <c r="N339" s="220">
        <v>1.02</v>
      </c>
      <c r="AC339" s="213"/>
    </row>
    <row r="340" spans="1:29" ht="12.75" customHeight="1" x14ac:dyDescent="0.2">
      <c r="A340" s="6">
        <v>16</v>
      </c>
      <c r="B340" s="8"/>
      <c r="C340" s="223">
        <v>0.4451</v>
      </c>
      <c r="D340" s="220">
        <v>-89.97</v>
      </c>
      <c r="E340" s="223">
        <v>0.76319999999999999</v>
      </c>
      <c r="F340" s="220">
        <v>89.65</v>
      </c>
      <c r="G340" s="223">
        <v>0.97199999999999998</v>
      </c>
      <c r="H340" s="220">
        <v>-0.02</v>
      </c>
      <c r="I340" s="223">
        <v>0.49220000000000003</v>
      </c>
      <c r="J340" s="220">
        <v>-93.52</v>
      </c>
      <c r="K340" s="223">
        <v>0.45810000000000001</v>
      </c>
      <c r="L340" s="220">
        <v>91.99</v>
      </c>
      <c r="M340" s="223">
        <v>0.30459999999999998</v>
      </c>
      <c r="N340" s="220">
        <v>0.61</v>
      </c>
      <c r="AC340" s="213"/>
    </row>
    <row r="341" spans="1:29" ht="12.75" customHeight="1" x14ac:dyDescent="0.2">
      <c r="A341" s="6">
        <v>15</v>
      </c>
      <c r="B341" s="8"/>
      <c r="C341" s="223">
        <v>0.43509999999999999</v>
      </c>
      <c r="D341" s="220">
        <v>-89.87</v>
      </c>
      <c r="E341" s="223">
        <v>0.7399</v>
      </c>
      <c r="F341" s="220">
        <v>89.65</v>
      </c>
      <c r="G341" s="223">
        <v>0.96450000000000002</v>
      </c>
      <c r="H341" s="220">
        <v>-0.03</v>
      </c>
      <c r="I341" s="223">
        <v>0.32269999999999999</v>
      </c>
      <c r="J341" s="220">
        <v>-83.07</v>
      </c>
      <c r="K341" s="223">
        <v>0.52270000000000005</v>
      </c>
      <c r="L341" s="220">
        <v>92.38</v>
      </c>
      <c r="M341" s="223">
        <v>0.33900000000000002</v>
      </c>
      <c r="N341" s="220">
        <v>0.33</v>
      </c>
      <c r="AC341" s="213"/>
    </row>
    <row r="342" spans="1:29" ht="12.75" customHeight="1" x14ac:dyDescent="0.2">
      <c r="A342" s="6">
        <v>14</v>
      </c>
      <c r="B342" s="8"/>
      <c r="C342" s="223">
        <v>0.42230000000000001</v>
      </c>
      <c r="D342" s="220">
        <v>-89.66</v>
      </c>
      <c r="E342" s="223">
        <v>0.71120000000000005</v>
      </c>
      <c r="F342" s="220">
        <v>89.57</v>
      </c>
      <c r="G342" s="223">
        <v>0.95479999999999998</v>
      </c>
      <c r="H342" s="220">
        <v>-0.04</v>
      </c>
      <c r="I342" s="223">
        <v>0.1971</v>
      </c>
      <c r="J342" s="220">
        <v>-66.680000000000007</v>
      </c>
      <c r="K342" s="223">
        <v>0.60229999999999995</v>
      </c>
      <c r="L342" s="220">
        <v>92.94</v>
      </c>
      <c r="M342" s="223">
        <v>0.3785</v>
      </c>
      <c r="N342" s="220">
        <v>0.13</v>
      </c>
      <c r="AC342" s="213"/>
    </row>
    <row r="343" spans="1:29" ht="12.75" customHeight="1" x14ac:dyDescent="0.2">
      <c r="A343" s="6">
        <v>13</v>
      </c>
      <c r="B343" s="8"/>
      <c r="C343" s="223">
        <v>0.40529999999999999</v>
      </c>
      <c r="D343" s="220">
        <v>-89.22</v>
      </c>
      <c r="E343" s="223">
        <v>0.67510000000000003</v>
      </c>
      <c r="F343" s="220">
        <v>89.41</v>
      </c>
      <c r="G343" s="223">
        <v>0.94240000000000002</v>
      </c>
      <c r="H343" s="220">
        <v>-0.06</v>
      </c>
      <c r="I343" s="223">
        <v>0.1187</v>
      </c>
      <c r="J343" s="220">
        <v>-29.02</v>
      </c>
      <c r="K343" s="223">
        <v>0.70250000000000001</v>
      </c>
      <c r="L343" s="220">
        <v>93.84</v>
      </c>
      <c r="M343" s="223">
        <v>0.42309999999999998</v>
      </c>
      <c r="N343" s="220">
        <v>0</v>
      </c>
      <c r="AC343" s="213"/>
    </row>
    <row r="344" spans="1:29" ht="12.75" customHeight="1" x14ac:dyDescent="0.2">
      <c r="A344" s="6">
        <v>12</v>
      </c>
      <c r="B344" s="8"/>
      <c r="C344" s="223">
        <v>0.38150000000000001</v>
      </c>
      <c r="D344" s="220">
        <v>-88.31</v>
      </c>
      <c r="E344" s="223">
        <v>0.62870000000000004</v>
      </c>
      <c r="F344" s="220">
        <v>89.17</v>
      </c>
      <c r="G344" s="223">
        <v>0.92859999999999998</v>
      </c>
      <c r="H344" s="220">
        <v>-0.1</v>
      </c>
      <c r="I344" s="223">
        <v>0.13769999999999999</v>
      </c>
      <c r="J344" s="220">
        <v>26.35</v>
      </c>
      <c r="K344" s="223">
        <v>0.83050000000000002</v>
      </c>
      <c r="L344" s="220">
        <v>95.39</v>
      </c>
      <c r="M344" s="223">
        <v>0.47149999999999997</v>
      </c>
      <c r="N344" s="220">
        <v>-0.1</v>
      </c>
      <c r="AC344" s="213"/>
    </row>
    <row r="345" spans="1:29" ht="12.75" customHeight="1" x14ac:dyDescent="0.2">
      <c r="A345" s="6">
        <v>11</v>
      </c>
      <c r="B345" s="8"/>
      <c r="C345" s="223">
        <v>0.3463</v>
      </c>
      <c r="D345" s="220">
        <v>-86.49</v>
      </c>
      <c r="E345" s="223">
        <v>0.56820000000000004</v>
      </c>
      <c r="F345" s="220">
        <v>88.92</v>
      </c>
      <c r="G345" s="223">
        <v>0.91969999999999996</v>
      </c>
      <c r="H345" s="220">
        <v>0.1</v>
      </c>
      <c r="I345" s="223">
        <v>0.23169999999999999</v>
      </c>
      <c r="J345" s="220">
        <v>53.17</v>
      </c>
      <c r="K345" s="223">
        <v>0.99490000000000001</v>
      </c>
      <c r="L345" s="220">
        <v>98.23</v>
      </c>
      <c r="M345" s="223">
        <v>0.52029999999999998</v>
      </c>
      <c r="N345" s="220">
        <v>-0.18</v>
      </c>
      <c r="AC345" s="213"/>
    </row>
    <row r="346" spans="1:29" ht="12.75" customHeight="1" x14ac:dyDescent="0.2">
      <c r="A346" s="6">
        <v>10</v>
      </c>
      <c r="B346" s="8"/>
      <c r="C346" s="223">
        <v>0.2918</v>
      </c>
      <c r="D346" s="220">
        <v>-83.17</v>
      </c>
      <c r="E346" s="223">
        <v>0.48770000000000002</v>
      </c>
      <c r="F346" s="220">
        <v>89</v>
      </c>
      <c r="G346" s="223">
        <v>0.93710000000000004</v>
      </c>
      <c r="H346" s="220">
        <v>2.33</v>
      </c>
      <c r="I346" s="223">
        <v>0.35920000000000002</v>
      </c>
      <c r="J346" s="220">
        <v>66.290000000000006</v>
      </c>
      <c r="K346" s="223">
        <v>1.2005999999999999</v>
      </c>
      <c r="L346" s="220">
        <v>103.52</v>
      </c>
      <c r="M346" s="223">
        <v>0.56069999999999998</v>
      </c>
      <c r="N346" s="220">
        <v>-0.33</v>
      </c>
      <c r="AC346" s="213"/>
    </row>
    <row r="347" spans="1:29" ht="12.75" customHeight="1" x14ac:dyDescent="0.2">
      <c r="A347" s="6">
        <v>9</v>
      </c>
      <c r="B347" s="8"/>
      <c r="C347" s="223">
        <v>0.20930000000000001</v>
      </c>
      <c r="D347" s="220">
        <v>-77.17</v>
      </c>
      <c r="E347" s="223">
        <v>0.37459999999999999</v>
      </c>
      <c r="F347" s="220">
        <v>90.67</v>
      </c>
      <c r="G347" s="223">
        <v>0.99609999999999999</v>
      </c>
      <c r="H347" s="220">
        <v>18.059999999999999</v>
      </c>
      <c r="I347" s="223">
        <v>0.5131</v>
      </c>
      <c r="J347" s="220">
        <v>78.62</v>
      </c>
      <c r="K347" s="223">
        <v>1.4238</v>
      </c>
      <c r="L347" s="220">
        <v>114.1</v>
      </c>
      <c r="M347" s="223">
        <v>0.57410000000000005</v>
      </c>
      <c r="N347" s="220">
        <v>-0.74</v>
      </c>
      <c r="AC347" s="213"/>
    </row>
    <row r="348" spans="1:29" ht="12.75" customHeight="1" x14ac:dyDescent="0.2">
      <c r="A348" s="6">
        <v>8</v>
      </c>
      <c r="B348" s="9"/>
      <c r="C348" s="223">
        <v>9.4600000000000004E-2</v>
      </c>
      <c r="D348" s="220">
        <v>-57.03</v>
      </c>
      <c r="E348" s="223">
        <v>0.20849999999999999</v>
      </c>
      <c r="F348" s="220">
        <v>95.43</v>
      </c>
      <c r="G348" s="223">
        <v>0.47139999999999999</v>
      </c>
      <c r="H348" s="220">
        <v>66.709999999999994</v>
      </c>
      <c r="I348" s="223">
        <v>0.61570000000000003</v>
      </c>
      <c r="J348" s="220">
        <v>97.31</v>
      </c>
      <c r="K348" s="223">
        <v>1.5580000000000001</v>
      </c>
      <c r="L348" s="220">
        <v>135.63999999999999</v>
      </c>
      <c r="M348" s="223">
        <v>0.52259999999999995</v>
      </c>
      <c r="N348" s="220">
        <v>-1.66</v>
      </c>
      <c r="AC348" s="213"/>
    </row>
    <row r="349" spans="1:29" ht="12.75" customHeight="1" x14ac:dyDescent="0.2">
      <c r="A349" s="6">
        <v>7</v>
      </c>
      <c r="B349" s="9"/>
      <c r="C349" s="223">
        <v>2.9600000000000001E-2</v>
      </c>
      <c r="D349" s="220">
        <v>125.42</v>
      </c>
      <c r="E349" s="223">
        <v>3.4500000000000003E-2</v>
      </c>
      <c r="F349" s="220">
        <v>118.05</v>
      </c>
      <c r="G349" s="223">
        <v>3.9899999999999998E-2</v>
      </c>
      <c r="H349" s="220">
        <v>-90.55</v>
      </c>
      <c r="I349" s="223">
        <v>0.51180000000000003</v>
      </c>
      <c r="J349" s="220">
        <v>115.04</v>
      </c>
      <c r="K349" s="223">
        <v>0.69730000000000003</v>
      </c>
      <c r="L349" s="220">
        <v>175.68</v>
      </c>
      <c r="M349" s="223">
        <v>0.34520000000000001</v>
      </c>
      <c r="N349" s="220">
        <v>-6.88</v>
      </c>
      <c r="AC349" s="213"/>
    </row>
    <row r="350" spans="1:29" ht="12.75" customHeight="1" x14ac:dyDescent="0.2">
      <c r="A350" s="6">
        <v>6</v>
      </c>
      <c r="B350" s="9"/>
      <c r="C350" s="223">
        <v>5.0299999999999997E-2</v>
      </c>
      <c r="D350" s="220">
        <v>88.82</v>
      </c>
      <c r="E350" s="223">
        <v>7.4099999999999999E-2</v>
      </c>
      <c r="F350" s="220">
        <v>-114.06</v>
      </c>
      <c r="G350" s="223">
        <v>0.15479999999999999</v>
      </c>
      <c r="H350" s="220">
        <v>-84.23</v>
      </c>
      <c r="I350" s="223">
        <v>0.32300000000000001</v>
      </c>
      <c r="J350" s="220">
        <v>117.17</v>
      </c>
      <c r="K350" s="223">
        <v>4.6699999999999998E-2</v>
      </c>
      <c r="L350" s="220">
        <v>118.18</v>
      </c>
      <c r="M350" s="223">
        <v>7.8299999999999995E-2</v>
      </c>
      <c r="N350" s="220">
        <v>-36.979999999999997</v>
      </c>
      <c r="AC350" s="213"/>
    </row>
    <row r="351" spans="1:29" ht="12.75" customHeight="1" x14ac:dyDescent="0.2">
      <c r="A351" s="6">
        <v>5</v>
      </c>
      <c r="B351" s="9"/>
      <c r="C351" s="223">
        <v>2.07E-2</v>
      </c>
      <c r="D351" s="220">
        <v>-24.35</v>
      </c>
      <c r="E351" s="223">
        <v>2.9499999999999998E-2</v>
      </c>
      <c r="F351" s="220">
        <v>155.66</v>
      </c>
      <c r="G351" s="223">
        <v>3.0200000000000001E-2</v>
      </c>
      <c r="H351" s="220">
        <v>-116.78</v>
      </c>
      <c r="I351" s="223">
        <v>0.1212</v>
      </c>
      <c r="J351" s="220">
        <v>92.46</v>
      </c>
      <c r="K351" s="223">
        <v>0.1101</v>
      </c>
      <c r="L351" s="220">
        <v>-0.32</v>
      </c>
      <c r="M351" s="223">
        <v>0.1172</v>
      </c>
      <c r="N351" s="220">
        <v>168.85</v>
      </c>
      <c r="AC351" s="213"/>
    </row>
    <row r="352" spans="1:29" ht="12.75" customHeight="1" x14ac:dyDescent="0.2">
      <c r="A352" s="6">
        <v>4.5</v>
      </c>
      <c r="B352" s="9"/>
      <c r="C352" s="223">
        <v>2.9000000000000001E-2</v>
      </c>
      <c r="D352" s="220">
        <v>-69.36</v>
      </c>
      <c r="E352" s="223">
        <v>6.0600000000000001E-2</v>
      </c>
      <c r="F352" s="220">
        <v>91.49</v>
      </c>
      <c r="G352" s="223">
        <v>1.23E-2</v>
      </c>
      <c r="H352" s="220">
        <v>111.02</v>
      </c>
      <c r="I352" s="223">
        <v>8.6800000000000002E-2</v>
      </c>
      <c r="J352" s="220">
        <v>62.03</v>
      </c>
      <c r="K352" s="223">
        <v>3.39E-2</v>
      </c>
      <c r="L352" s="220">
        <v>-32.07</v>
      </c>
      <c r="M352" s="223">
        <v>2.4199999999999999E-2</v>
      </c>
      <c r="N352" s="220">
        <v>98.02</v>
      </c>
      <c r="AC352" s="213"/>
    </row>
    <row r="353" spans="1:29" ht="12.75" customHeight="1" x14ac:dyDescent="0.2">
      <c r="A353" s="6">
        <v>4</v>
      </c>
      <c r="B353" s="9"/>
      <c r="C353" s="223">
        <v>5.4000000000000003E-3</v>
      </c>
      <c r="D353" s="220">
        <v>-143.79</v>
      </c>
      <c r="E353" s="223">
        <v>1.0999999999999999E-2</v>
      </c>
      <c r="F353" s="220">
        <v>45.21</v>
      </c>
      <c r="G353" s="223">
        <v>5.7999999999999996E-3</v>
      </c>
      <c r="H353" s="220">
        <v>25.77</v>
      </c>
      <c r="I353" s="223">
        <v>4.8999999999999998E-3</v>
      </c>
      <c r="J353" s="220">
        <v>175.36</v>
      </c>
      <c r="K353" s="223">
        <v>2.2100000000000002E-2</v>
      </c>
      <c r="L353" s="220">
        <v>158.32</v>
      </c>
      <c r="M353" s="223">
        <v>7.0800000000000002E-2</v>
      </c>
      <c r="N353" s="220">
        <v>-30.19</v>
      </c>
      <c r="AC353" s="213"/>
    </row>
    <row r="354" spans="1:29" ht="12.75" customHeight="1" x14ac:dyDescent="0.2">
      <c r="A354" s="6">
        <v>3.5</v>
      </c>
      <c r="B354" s="9"/>
      <c r="C354" s="223">
        <v>8.2000000000000007E-3</v>
      </c>
      <c r="D354" s="220">
        <v>18.55</v>
      </c>
      <c r="E354" s="223">
        <v>2.06E-2</v>
      </c>
      <c r="F354" s="220">
        <v>-168.55</v>
      </c>
      <c r="G354" s="223">
        <v>3.8E-3</v>
      </c>
      <c r="H354" s="220">
        <v>-142.66</v>
      </c>
      <c r="I354" s="223">
        <v>3.09E-2</v>
      </c>
      <c r="J354" s="220">
        <v>158.33000000000001</v>
      </c>
      <c r="K354" s="223">
        <v>4.7999999999999996E-3</v>
      </c>
      <c r="L354" s="220">
        <v>-38.9</v>
      </c>
      <c r="M354" s="223">
        <v>1.5800000000000002E-2</v>
      </c>
      <c r="N354" s="220">
        <v>143.79</v>
      </c>
      <c r="AC354" s="213"/>
    </row>
    <row r="355" spans="1:29" ht="12.75" customHeight="1" x14ac:dyDescent="0.2">
      <c r="A355" s="6">
        <v>3</v>
      </c>
      <c r="B355" s="9"/>
      <c r="C355" s="223">
        <v>1.6000000000000001E-3</v>
      </c>
      <c r="D355" s="220">
        <v>-10.08</v>
      </c>
      <c r="E355" s="223">
        <v>3.5999999999999999E-3</v>
      </c>
      <c r="F355" s="220">
        <v>-138.84</v>
      </c>
      <c r="G355" s="223">
        <v>1.4E-3</v>
      </c>
      <c r="H355" s="220">
        <v>-120.67</v>
      </c>
      <c r="I355" s="223">
        <v>2.8E-3</v>
      </c>
      <c r="J355" s="220">
        <v>171.56</v>
      </c>
      <c r="K355" s="223">
        <v>3.2000000000000002E-3</v>
      </c>
      <c r="L355" s="220">
        <v>71.599999999999994</v>
      </c>
      <c r="M355" s="223">
        <v>1.0200000000000001E-2</v>
      </c>
      <c r="N355" s="220">
        <v>-74.45</v>
      </c>
      <c r="AC355" s="213"/>
    </row>
    <row r="356" spans="1:29" ht="12.75" customHeight="1" x14ac:dyDescent="0.2">
      <c r="A356" s="6">
        <v>0</v>
      </c>
      <c r="B356" s="9"/>
      <c r="C356" s="223">
        <v>0</v>
      </c>
      <c r="D356" s="220">
        <v>0</v>
      </c>
      <c r="E356" s="223">
        <v>0</v>
      </c>
      <c r="F356" s="220">
        <v>0</v>
      </c>
      <c r="G356" s="223">
        <v>0</v>
      </c>
      <c r="H356" s="220">
        <v>0</v>
      </c>
      <c r="I356" s="223">
        <v>0</v>
      </c>
      <c r="J356" s="220">
        <v>0</v>
      </c>
      <c r="K356" s="223">
        <v>0</v>
      </c>
      <c r="L356" s="220">
        <v>0</v>
      </c>
      <c r="M356" s="223">
        <v>0</v>
      </c>
      <c r="N356" s="220">
        <v>0</v>
      </c>
    </row>
    <row r="357" spans="1:29" ht="12.75" customHeight="1" x14ac:dyDescent="0.2">
      <c r="A357" s="6">
        <v>0</v>
      </c>
      <c r="B357" s="9"/>
      <c r="C357" s="223">
        <v>0</v>
      </c>
      <c r="D357" s="220">
        <v>0</v>
      </c>
      <c r="E357" s="223">
        <v>0</v>
      </c>
      <c r="F357" s="220">
        <v>0</v>
      </c>
      <c r="G357" s="223">
        <v>0</v>
      </c>
      <c r="H357" s="220">
        <v>0</v>
      </c>
      <c r="I357" s="223">
        <v>0</v>
      </c>
      <c r="J357" s="220">
        <v>0</v>
      </c>
      <c r="K357" s="223">
        <v>0</v>
      </c>
      <c r="L357" s="220">
        <v>0</v>
      </c>
      <c r="M357" s="223">
        <v>0</v>
      </c>
      <c r="N357" s="220">
        <v>0</v>
      </c>
    </row>
    <row r="358" spans="1:29" ht="12.75" customHeight="1" x14ac:dyDescent="0.2">
      <c r="A358" s="6">
        <v>0</v>
      </c>
      <c r="B358" s="9"/>
      <c r="C358" s="223">
        <v>0</v>
      </c>
      <c r="D358" s="220">
        <v>0</v>
      </c>
      <c r="E358" s="223">
        <v>0</v>
      </c>
      <c r="F358" s="220">
        <v>0</v>
      </c>
      <c r="G358" s="223">
        <v>0</v>
      </c>
      <c r="H358" s="220">
        <v>0</v>
      </c>
      <c r="I358" s="223">
        <v>0</v>
      </c>
      <c r="J358" s="220">
        <v>0</v>
      </c>
      <c r="K358" s="223">
        <v>0</v>
      </c>
      <c r="L358" s="220">
        <v>0</v>
      </c>
      <c r="M358" s="223">
        <v>0</v>
      </c>
      <c r="N358" s="220">
        <v>0</v>
      </c>
    </row>
    <row r="359" spans="1:29" ht="12.75" customHeight="1" x14ac:dyDescent="0.2">
      <c r="A359" s="6">
        <v>0</v>
      </c>
      <c r="B359" s="9"/>
      <c r="C359" s="223">
        <v>0</v>
      </c>
      <c r="D359" s="220">
        <v>0</v>
      </c>
      <c r="E359" s="223">
        <v>0</v>
      </c>
      <c r="F359" s="220">
        <v>0</v>
      </c>
      <c r="G359" s="223">
        <v>0</v>
      </c>
      <c r="H359" s="220">
        <v>0</v>
      </c>
      <c r="I359" s="223">
        <v>0</v>
      </c>
      <c r="J359" s="220">
        <v>0</v>
      </c>
      <c r="K359" s="223">
        <v>0</v>
      </c>
      <c r="L359" s="220">
        <v>0</v>
      </c>
      <c r="M359" s="223">
        <v>0</v>
      </c>
      <c r="N359" s="220">
        <v>0</v>
      </c>
    </row>
    <row r="360" spans="1:29" ht="12.75" customHeight="1" thickBot="1" x14ac:dyDescent="0.25">
      <c r="A360" s="10">
        <v>0</v>
      </c>
      <c r="B360" s="11"/>
      <c r="C360" s="12">
        <v>0</v>
      </c>
      <c r="D360" s="13">
        <v>0</v>
      </c>
      <c r="E360" s="12">
        <v>0</v>
      </c>
      <c r="F360" s="13">
        <v>0</v>
      </c>
      <c r="G360" s="12">
        <v>0</v>
      </c>
      <c r="H360" s="13">
        <v>0</v>
      </c>
      <c r="I360" s="12">
        <v>0</v>
      </c>
      <c r="J360" s="13">
        <v>0</v>
      </c>
      <c r="K360" s="12">
        <v>0</v>
      </c>
      <c r="L360" s="13">
        <v>0</v>
      </c>
      <c r="M360" s="12">
        <v>0</v>
      </c>
      <c r="N360" s="13">
        <v>0</v>
      </c>
    </row>
    <row r="361" spans="1:29" ht="20.100000000000001" customHeight="1" x14ac:dyDescent="0.25">
      <c r="A361" s="395" t="str">
        <f>A321</f>
        <v>Paragon DPDS3</v>
      </c>
      <c r="B361" s="395"/>
      <c r="C361" s="395"/>
      <c r="D361" s="395"/>
      <c r="E361" s="395"/>
      <c r="F361" s="395"/>
      <c r="G361" s="395"/>
      <c r="H361" s="395"/>
      <c r="I361" s="395"/>
      <c r="J361" s="395"/>
      <c r="K361" s="395"/>
      <c r="L361" s="395"/>
      <c r="M361" s="395"/>
      <c r="N361" s="395"/>
    </row>
    <row r="362" spans="1:29" ht="20.100000000000001" customHeight="1" thickBot="1" x14ac:dyDescent="0.3">
      <c r="A362" s="396" t="s">
        <v>5</v>
      </c>
      <c r="B362" s="396"/>
      <c r="C362" s="396"/>
      <c r="D362" s="396"/>
      <c r="E362" s="396"/>
      <c r="F362" s="396"/>
      <c r="G362" s="396"/>
      <c r="H362" s="396"/>
      <c r="I362" s="396"/>
      <c r="J362" s="396"/>
      <c r="K362" s="396"/>
      <c r="L362" s="396"/>
      <c r="M362" s="396"/>
      <c r="N362" s="396"/>
    </row>
    <row r="363" spans="1:29" ht="12.75" customHeight="1" x14ac:dyDescent="0.2">
      <c r="A363" s="397" t="s">
        <v>12</v>
      </c>
      <c r="B363" s="399" t="s">
        <v>13</v>
      </c>
      <c r="C363" s="401" t="s">
        <v>6</v>
      </c>
      <c r="D363" s="402"/>
      <c r="E363" s="401" t="s">
        <v>7</v>
      </c>
      <c r="F363" s="402"/>
      <c r="G363" s="401" t="s">
        <v>8</v>
      </c>
      <c r="H363" s="402"/>
      <c r="I363" s="401" t="s">
        <v>9</v>
      </c>
      <c r="J363" s="402"/>
      <c r="K363" s="401" t="s">
        <v>10</v>
      </c>
      <c r="L363" s="402"/>
      <c r="M363" s="401" t="s">
        <v>11</v>
      </c>
      <c r="N363" s="402"/>
    </row>
    <row r="364" spans="1:29" ht="12.75" customHeight="1" x14ac:dyDescent="0.2">
      <c r="A364" s="398"/>
      <c r="B364" s="400"/>
      <c r="C364" s="222" t="s">
        <v>0</v>
      </c>
      <c r="D364" s="217" t="s">
        <v>1</v>
      </c>
      <c r="E364" s="222" t="s">
        <v>0</v>
      </c>
      <c r="F364" s="217" t="s">
        <v>1</v>
      </c>
      <c r="G364" s="222" t="s">
        <v>0</v>
      </c>
      <c r="H364" s="217" t="s">
        <v>1</v>
      </c>
      <c r="I364" s="222" t="s">
        <v>0</v>
      </c>
      <c r="J364" s="217" t="s">
        <v>1</v>
      </c>
      <c r="K364" s="222" t="s">
        <v>0</v>
      </c>
      <c r="L364" s="217" t="s">
        <v>1</v>
      </c>
      <c r="M364" s="222" t="s">
        <v>0</v>
      </c>
      <c r="N364" s="217" t="s">
        <v>1</v>
      </c>
    </row>
    <row r="365" spans="1:29" ht="12.75" customHeight="1" thickBot="1" x14ac:dyDescent="0.25">
      <c r="A365" s="2" t="s">
        <v>14</v>
      </c>
      <c r="B365" s="3" t="s">
        <v>15</v>
      </c>
      <c r="C365" s="2" t="s">
        <v>19</v>
      </c>
      <c r="D365" s="3" t="s">
        <v>15</v>
      </c>
      <c r="E365" s="2" t="s">
        <v>19</v>
      </c>
      <c r="F365" s="3" t="s">
        <v>15</v>
      </c>
      <c r="G365" s="2" t="s">
        <v>19</v>
      </c>
      <c r="H365" s="3" t="s">
        <v>15</v>
      </c>
      <c r="I365" s="2" t="s">
        <v>20</v>
      </c>
      <c r="J365" s="3" t="s">
        <v>15</v>
      </c>
      <c r="K365" s="2" t="s">
        <v>20</v>
      </c>
      <c r="L365" s="3" t="s">
        <v>15</v>
      </c>
      <c r="M365" s="2" t="s">
        <v>20</v>
      </c>
      <c r="N365" s="3" t="s">
        <v>15</v>
      </c>
    </row>
    <row r="366" spans="1:29" ht="12.75" customHeight="1" x14ac:dyDescent="0.2">
      <c r="A366" s="4">
        <v>30</v>
      </c>
      <c r="B366" s="5">
        <v>135</v>
      </c>
      <c r="C366" s="223">
        <v>0.68820000000000003</v>
      </c>
      <c r="D366" s="220">
        <v>-89.98</v>
      </c>
      <c r="E366" s="223">
        <v>0.68179999999999996</v>
      </c>
      <c r="F366" s="220">
        <v>89.87</v>
      </c>
      <c r="G366" s="223">
        <v>0.99350000000000005</v>
      </c>
      <c r="H366" s="220">
        <v>-0.01</v>
      </c>
      <c r="I366" s="223">
        <v>0.25409999999999999</v>
      </c>
      <c r="J366" s="220">
        <v>102.13</v>
      </c>
      <c r="K366" s="223">
        <v>0.18190000000000001</v>
      </c>
      <c r="L366" s="220">
        <v>90.62</v>
      </c>
      <c r="M366" s="223">
        <v>0.10879999999999999</v>
      </c>
      <c r="N366" s="220">
        <v>-0.91</v>
      </c>
      <c r="AC366" s="213"/>
    </row>
    <row r="367" spans="1:29" ht="12.75" customHeight="1" x14ac:dyDescent="0.2">
      <c r="A367" s="6">
        <v>28</v>
      </c>
      <c r="B367" s="7"/>
      <c r="C367" s="223">
        <v>0.68459999999999999</v>
      </c>
      <c r="D367" s="220">
        <v>-89.98</v>
      </c>
      <c r="E367" s="223">
        <v>0.67689999999999995</v>
      </c>
      <c r="F367" s="220">
        <v>89.83</v>
      </c>
      <c r="G367" s="223">
        <v>0.99139999999999995</v>
      </c>
      <c r="H367" s="220">
        <v>-0.01</v>
      </c>
      <c r="I367" s="223">
        <v>0.31580000000000003</v>
      </c>
      <c r="J367" s="220">
        <v>104.56</v>
      </c>
      <c r="K367" s="223">
        <v>0.20880000000000001</v>
      </c>
      <c r="L367" s="220">
        <v>90.72</v>
      </c>
      <c r="M367" s="223">
        <v>0.1244</v>
      </c>
      <c r="N367" s="220">
        <v>-1</v>
      </c>
      <c r="AC367" s="213"/>
    </row>
    <row r="368" spans="1:29" ht="12.75" customHeight="1" x14ac:dyDescent="0.2">
      <c r="A368" s="6">
        <v>26</v>
      </c>
      <c r="B368" s="7"/>
      <c r="C368" s="223">
        <v>0.67979999999999996</v>
      </c>
      <c r="D368" s="220">
        <v>-89.98</v>
      </c>
      <c r="E368" s="223">
        <v>0.67020000000000002</v>
      </c>
      <c r="F368" s="220">
        <v>89.75</v>
      </c>
      <c r="G368" s="223">
        <v>0.98839999999999995</v>
      </c>
      <c r="H368" s="220">
        <v>-0.01</v>
      </c>
      <c r="I368" s="223">
        <v>0.41120000000000001</v>
      </c>
      <c r="J368" s="220">
        <v>108.32</v>
      </c>
      <c r="K368" s="223">
        <v>0.24210000000000001</v>
      </c>
      <c r="L368" s="220">
        <v>90.84</v>
      </c>
      <c r="M368" s="223">
        <v>0.14369999999999999</v>
      </c>
      <c r="N368" s="220">
        <v>-1.1200000000000001</v>
      </c>
      <c r="AC368" s="213"/>
    </row>
    <row r="369" spans="1:29" ht="12.75" customHeight="1" x14ac:dyDescent="0.2">
      <c r="A369" s="6">
        <v>24</v>
      </c>
      <c r="B369" s="7"/>
      <c r="C369" s="223">
        <v>0.6734</v>
      </c>
      <c r="D369" s="220">
        <v>-89.97</v>
      </c>
      <c r="E369" s="223">
        <v>0.66080000000000005</v>
      </c>
      <c r="F369" s="220">
        <v>89.57</v>
      </c>
      <c r="G369" s="223">
        <v>0.98409999999999997</v>
      </c>
      <c r="H369" s="220">
        <v>-0.02</v>
      </c>
      <c r="I369" s="223">
        <v>0.57920000000000005</v>
      </c>
      <c r="J369" s="220">
        <v>114.98</v>
      </c>
      <c r="K369" s="223">
        <v>0.28399999999999997</v>
      </c>
      <c r="L369" s="220">
        <v>90.99</v>
      </c>
      <c r="M369" s="223">
        <v>0.16800000000000001</v>
      </c>
      <c r="N369" s="220">
        <v>-1.31</v>
      </c>
      <c r="AC369" s="213"/>
    </row>
    <row r="370" spans="1:29" ht="12.75" customHeight="1" x14ac:dyDescent="0.2">
      <c r="A370" s="6">
        <v>23</v>
      </c>
      <c r="B370" s="7"/>
      <c r="C370" s="223">
        <v>0.6694</v>
      </c>
      <c r="D370" s="220">
        <v>-89.96</v>
      </c>
      <c r="E370" s="223">
        <v>0.65469999999999995</v>
      </c>
      <c r="F370" s="220">
        <v>89.39</v>
      </c>
      <c r="G370" s="223">
        <v>0.98109999999999997</v>
      </c>
      <c r="H370" s="220">
        <v>-0.02</v>
      </c>
      <c r="I370" s="223">
        <v>0.72160000000000002</v>
      </c>
      <c r="J370" s="220">
        <v>120.75</v>
      </c>
      <c r="K370" s="223">
        <v>0.309</v>
      </c>
      <c r="L370" s="220">
        <v>91.08</v>
      </c>
      <c r="M370" s="223">
        <v>0.1827</v>
      </c>
      <c r="N370" s="220">
        <v>-1.43</v>
      </c>
      <c r="AC370" s="213"/>
    </row>
    <row r="371" spans="1:29" ht="12.75" customHeight="1" x14ac:dyDescent="0.2">
      <c r="A371" s="6">
        <v>22</v>
      </c>
      <c r="B371" s="7"/>
      <c r="C371" s="223">
        <v>0.66449999999999998</v>
      </c>
      <c r="D371" s="220">
        <v>-89.96</v>
      </c>
      <c r="E371" s="223">
        <v>0.64770000000000005</v>
      </c>
      <c r="F371" s="220">
        <v>89.03</v>
      </c>
      <c r="G371" s="223">
        <v>0.97750000000000004</v>
      </c>
      <c r="H371" s="220">
        <v>-0.03</v>
      </c>
      <c r="I371" s="223">
        <v>0.94359999999999999</v>
      </c>
      <c r="J371" s="220">
        <v>130.22999999999999</v>
      </c>
      <c r="K371" s="223">
        <v>0.33750000000000002</v>
      </c>
      <c r="L371" s="220">
        <v>91.19</v>
      </c>
      <c r="M371" s="223">
        <v>0.19989999999999999</v>
      </c>
      <c r="N371" s="220">
        <v>-1.53</v>
      </c>
      <c r="AC371" s="213"/>
    </row>
    <row r="372" spans="1:29" ht="12.75" customHeight="1" x14ac:dyDescent="0.2">
      <c r="A372" s="6">
        <v>21</v>
      </c>
      <c r="B372" s="7"/>
      <c r="C372" s="223">
        <v>0.65880000000000005</v>
      </c>
      <c r="D372" s="220">
        <v>-89.95</v>
      </c>
      <c r="E372" s="223">
        <v>0.64170000000000005</v>
      </c>
      <c r="F372" s="220">
        <v>88.32</v>
      </c>
      <c r="G372" s="223">
        <v>0.97289999999999999</v>
      </c>
      <c r="H372" s="220">
        <v>-0.03</v>
      </c>
      <c r="I372" s="223">
        <v>1.2930999999999999</v>
      </c>
      <c r="J372" s="220">
        <v>147.79</v>
      </c>
      <c r="K372" s="223">
        <v>0.37</v>
      </c>
      <c r="L372" s="220">
        <v>91.32</v>
      </c>
      <c r="M372" s="223">
        <v>0.2208</v>
      </c>
      <c r="N372" s="220">
        <v>-1.36</v>
      </c>
      <c r="AC372" s="213"/>
    </row>
    <row r="373" spans="1:29" ht="12.75" customHeight="1" x14ac:dyDescent="0.2">
      <c r="A373" s="6">
        <v>20.5</v>
      </c>
      <c r="B373" s="7"/>
      <c r="C373" s="223">
        <v>0.65539999999999998</v>
      </c>
      <c r="D373" s="220">
        <v>-89.94</v>
      </c>
      <c r="E373" s="223">
        <v>0.64170000000000005</v>
      </c>
      <c r="F373" s="220">
        <v>87.83</v>
      </c>
      <c r="G373" s="223">
        <v>0.97019999999999995</v>
      </c>
      <c r="H373" s="220">
        <v>-0.04</v>
      </c>
      <c r="I373" s="223">
        <v>1.4974000000000001</v>
      </c>
      <c r="J373" s="220">
        <v>162.15</v>
      </c>
      <c r="K373" s="223">
        <v>0.38800000000000001</v>
      </c>
      <c r="L373" s="220">
        <v>91.4</v>
      </c>
      <c r="M373" s="223">
        <v>0.2326</v>
      </c>
      <c r="N373" s="220">
        <v>-0.91</v>
      </c>
      <c r="AC373" s="213"/>
    </row>
    <row r="374" spans="1:29" ht="12.75" customHeight="1" x14ac:dyDescent="0.2">
      <c r="A374" s="6">
        <v>20</v>
      </c>
      <c r="B374" s="7"/>
      <c r="C374" s="223">
        <v>0.65169999999999995</v>
      </c>
      <c r="D374" s="220">
        <v>-89.93</v>
      </c>
      <c r="E374" s="223">
        <v>0.64549999999999996</v>
      </c>
      <c r="F374" s="220">
        <v>87.53</v>
      </c>
      <c r="G374" s="223">
        <v>0.96719999999999995</v>
      </c>
      <c r="H374" s="220">
        <v>-0.04</v>
      </c>
      <c r="I374" s="223">
        <v>1.6295999999999999</v>
      </c>
      <c r="J374" s="220">
        <v>-178.95</v>
      </c>
      <c r="K374" s="223">
        <v>0.40720000000000001</v>
      </c>
      <c r="L374" s="220">
        <v>91.48</v>
      </c>
      <c r="M374" s="223">
        <v>0.2442</v>
      </c>
      <c r="N374" s="220">
        <v>-0.08</v>
      </c>
      <c r="AC374" s="213"/>
    </row>
    <row r="375" spans="1:29" ht="12.75" customHeight="1" x14ac:dyDescent="0.2">
      <c r="A375" s="6">
        <v>19.5</v>
      </c>
      <c r="B375" s="7"/>
      <c r="C375" s="223">
        <v>0.64770000000000005</v>
      </c>
      <c r="D375" s="220">
        <v>-89.93</v>
      </c>
      <c r="E375" s="223">
        <v>0.64990000000000003</v>
      </c>
      <c r="F375" s="220">
        <v>87.75</v>
      </c>
      <c r="G375" s="223">
        <v>0.9637</v>
      </c>
      <c r="H375" s="220">
        <v>-0.05</v>
      </c>
      <c r="I375" s="223">
        <v>1.5792999999999999</v>
      </c>
      <c r="J375" s="220">
        <v>-157.88</v>
      </c>
      <c r="K375" s="223">
        <v>0.4279</v>
      </c>
      <c r="L375" s="220">
        <v>91.55</v>
      </c>
      <c r="M375" s="223">
        <v>0.25390000000000001</v>
      </c>
      <c r="N375" s="220">
        <v>0.81</v>
      </c>
      <c r="AC375" s="213"/>
    </row>
    <row r="376" spans="1:29" ht="12.75" customHeight="1" x14ac:dyDescent="0.2">
      <c r="A376" s="6">
        <v>19</v>
      </c>
      <c r="B376" s="7"/>
      <c r="C376" s="223">
        <v>0.64319999999999999</v>
      </c>
      <c r="D376" s="220">
        <v>-89.92</v>
      </c>
      <c r="E376" s="223">
        <v>0.64949999999999997</v>
      </c>
      <c r="F376" s="220">
        <v>88.33</v>
      </c>
      <c r="G376" s="223">
        <v>0.9597</v>
      </c>
      <c r="H376" s="220">
        <v>-0.05</v>
      </c>
      <c r="I376" s="223">
        <v>1.3657999999999999</v>
      </c>
      <c r="J376" s="220">
        <v>-139.05000000000001</v>
      </c>
      <c r="K376" s="223">
        <v>0.45019999999999999</v>
      </c>
      <c r="L376" s="220">
        <v>91.63</v>
      </c>
      <c r="M376" s="223">
        <v>0.26250000000000001</v>
      </c>
      <c r="N376" s="220">
        <v>1.23</v>
      </c>
      <c r="AC376" s="213"/>
    </row>
    <row r="377" spans="1:29" ht="12.75" customHeight="1" x14ac:dyDescent="0.2">
      <c r="A377" s="6">
        <v>18.5</v>
      </c>
      <c r="B377" s="7"/>
      <c r="C377" s="223">
        <v>0.63819999999999999</v>
      </c>
      <c r="D377" s="220">
        <v>-89.91</v>
      </c>
      <c r="E377" s="223">
        <v>0.64429999999999998</v>
      </c>
      <c r="F377" s="220">
        <v>88.86</v>
      </c>
      <c r="G377" s="223">
        <v>0.95520000000000005</v>
      </c>
      <c r="H377" s="220">
        <v>-0.06</v>
      </c>
      <c r="I377" s="223">
        <v>1.1127</v>
      </c>
      <c r="J377" s="220">
        <v>-124.57</v>
      </c>
      <c r="K377" s="223">
        <v>0.47420000000000001</v>
      </c>
      <c r="L377" s="220">
        <v>91.72</v>
      </c>
      <c r="M377" s="223">
        <v>0.27189999999999998</v>
      </c>
      <c r="N377" s="220">
        <v>1.2</v>
      </c>
      <c r="AC377" s="213"/>
    </row>
    <row r="378" spans="1:29" ht="12.75" customHeight="1" x14ac:dyDescent="0.2">
      <c r="A378" s="6">
        <v>18</v>
      </c>
      <c r="B378" s="7"/>
      <c r="C378" s="223">
        <v>0.63270000000000004</v>
      </c>
      <c r="D378" s="220">
        <v>-89.89</v>
      </c>
      <c r="E378" s="223">
        <v>0.63660000000000005</v>
      </c>
      <c r="F378" s="220">
        <v>89.22</v>
      </c>
      <c r="G378" s="223">
        <v>0.95</v>
      </c>
      <c r="H378" s="220">
        <v>-7.0000000000000007E-2</v>
      </c>
      <c r="I378" s="223">
        <v>0.89249999999999996</v>
      </c>
      <c r="J378" s="220">
        <v>-113.86</v>
      </c>
      <c r="K378" s="223">
        <v>0.50019999999999998</v>
      </c>
      <c r="L378" s="220">
        <v>91.81</v>
      </c>
      <c r="M378" s="223">
        <v>0.28299999999999997</v>
      </c>
      <c r="N378" s="220">
        <v>1</v>
      </c>
      <c r="AC378" s="213"/>
    </row>
    <row r="379" spans="1:29" ht="12.75" customHeight="1" x14ac:dyDescent="0.2">
      <c r="A379" s="6">
        <v>17</v>
      </c>
      <c r="B379" s="8"/>
      <c r="C379" s="223">
        <v>0.61960000000000004</v>
      </c>
      <c r="D379" s="220">
        <v>-89.86</v>
      </c>
      <c r="E379" s="223">
        <v>0.61809999999999998</v>
      </c>
      <c r="F379" s="220">
        <v>89.56</v>
      </c>
      <c r="G379" s="223">
        <v>0.93720000000000003</v>
      </c>
      <c r="H379" s="220">
        <v>-0.09</v>
      </c>
      <c r="I379" s="223">
        <v>0.58069999999999999</v>
      </c>
      <c r="J379" s="220">
        <v>-98.93</v>
      </c>
      <c r="K379" s="223">
        <v>0.55879999999999996</v>
      </c>
      <c r="L379" s="220">
        <v>92.06</v>
      </c>
      <c r="M379" s="223">
        <v>0.30959999999999999</v>
      </c>
      <c r="N379" s="220">
        <v>0.55000000000000004</v>
      </c>
      <c r="AC379" s="213"/>
    </row>
    <row r="380" spans="1:29" ht="12.75" customHeight="1" x14ac:dyDescent="0.2">
      <c r="A380" s="6">
        <v>16</v>
      </c>
      <c r="B380" s="8"/>
      <c r="C380" s="223">
        <v>0.60309999999999997</v>
      </c>
      <c r="D380" s="220">
        <v>-89.79</v>
      </c>
      <c r="E380" s="223">
        <v>0.59660000000000002</v>
      </c>
      <c r="F380" s="220">
        <v>89.66</v>
      </c>
      <c r="G380" s="223">
        <v>0.92010000000000003</v>
      </c>
      <c r="H380" s="220">
        <v>-0.13</v>
      </c>
      <c r="I380" s="223">
        <v>0.38279999999999997</v>
      </c>
      <c r="J380" s="220">
        <v>-87.06</v>
      </c>
      <c r="K380" s="223">
        <v>0.62760000000000005</v>
      </c>
      <c r="L380" s="220">
        <v>92.37</v>
      </c>
      <c r="M380" s="223">
        <v>0.34089999999999998</v>
      </c>
      <c r="N380" s="220">
        <v>0.23</v>
      </c>
      <c r="AC380" s="213"/>
    </row>
    <row r="381" spans="1:29" ht="12.75" customHeight="1" x14ac:dyDescent="0.2">
      <c r="A381" s="6">
        <v>15</v>
      </c>
      <c r="B381" s="8"/>
      <c r="C381" s="223">
        <v>0.58189999999999997</v>
      </c>
      <c r="D381" s="220">
        <v>-89.66</v>
      </c>
      <c r="E381" s="223">
        <v>0.57079999999999997</v>
      </c>
      <c r="F381" s="220">
        <v>89.65</v>
      </c>
      <c r="G381" s="223">
        <v>0.89659999999999995</v>
      </c>
      <c r="H381" s="220">
        <v>-0.22</v>
      </c>
      <c r="I381" s="223">
        <v>0.2465</v>
      </c>
      <c r="J381" s="220">
        <v>-73.180000000000007</v>
      </c>
      <c r="K381" s="223">
        <v>0.70909999999999995</v>
      </c>
      <c r="L381" s="220">
        <v>92.8</v>
      </c>
      <c r="M381" s="223">
        <v>0.37630000000000002</v>
      </c>
      <c r="N381" s="220">
        <v>-0.01</v>
      </c>
      <c r="AC381" s="213"/>
    </row>
    <row r="382" spans="1:29" ht="12.75" customHeight="1" x14ac:dyDescent="0.2">
      <c r="A382" s="6">
        <v>14</v>
      </c>
      <c r="B382" s="8"/>
      <c r="C382" s="223">
        <v>0.55430000000000001</v>
      </c>
      <c r="D382" s="220">
        <v>-89.41</v>
      </c>
      <c r="E382" s="223">
        <v>0.53879999999999995</v>
      </c>
      <c r="F382" s="220">
        <v>89.57</v>
      </c>
      <c r="G382" s="223">
        <v>0.86419999999999997</v>
      </c>
      <c r="H382" s="220">
        <v>-0.4</v>
      </c>
      <c r="I382" s="223">
        <v>0.15229999999999999</v>
      </c>
      <c r="J382" s="220">
        <v>-49.04</v>
      </c>
      <c r="K382" s="223">
        <v>0.80579999999999996</v>
      </c>
      <c r="L382" s="220">
        <v>93.41</v>
      </c>
      <c r="M382" s="223">
        <v>0.41510000000000002</v>
      </c>
      <c r="N382" s="220">
        <v>-0.19</v>
      </c>
      <c r="AC382" s="213"/>
    </row>
    <row r="383" spans="1:29" ht="12.75" customHeight="1" x14ac:dyDescent="0.2">
      <c r="A383" s="6">
        <v>13</v>
      </c>
      <c r="B383" s="8"/>
      <c r="C383" s="223">
        <v>0.51749999999999996</v>
      </c>
      <c r="D383" s="220">
        <v>-88.92</v>
      </c>
      <c r="E383" s="223">
        <v>0.49809999999999999</v>
      </c>
      <c r="F383" s="220">
        <v>89.44</v>
      </c>
      <c r="G383" s="223">
        <v>0.81930000000000003</v>
      </c>
      <c r="H383" s="220">
        <v>-0.82</v>
      </c>
      <c r="I383" s="223">
        <v>0.11799999999999999</v>
      </c>
      <c r="J383" s="220">
        <v>-2.59</v>
      </c>
      <c r="K383" s="223">
        <v>0.92059999999999997</v>
      </c>
      <c r="L383" s="220">
        <v>94.35</v>
      </c>
      <c r="M383" s="223">
        <v>0.45569999999999999</v>
      </c>
      <c r="N383" s="220">
        <v>-0.34</v>
      </c>
      <c r="AC383" s="213"/>
    </row>
    <row r="384" spans="1:29" ht="12.75" customHeight="1" x14ac:dyDescent="0.2">
      <c r="A384" s="6">
        <v>12</v>
      </c>
      <c r="B384" s="8"/>
      <c r="C384" s="223">
        <v>0.46700000000000003</v>
      </c>
      <c r="D384" s="220">
        <v>-87.93</v>
      </c>
      <c r="E384" s="223">
        <v>0.4461</v>
      </c>
      <c r="F384" s="220">
        <v>89.33</v>
      </c>
      <c r="G384" s="223">
        <v>0.75790000000000002</v>
      </c>
      <c r="H384" s="220">
        <v>-1.74</v>
      </c>
      <c r="I384" s="223">
        <v>0.16650000000000001</v>
      </c>
      <c r="J384" s="220">
        <v>38.68</v>
      </c>
      <c r="K384" s="223">
        <v>1.0544</v>
      </c>
      <c r="L384" s="220">
        <v>95.91</v>
      </c>
      <c r="M384" s="223">
        <v>0.49440000000000001</v>
      </c>
      <c r="N384" s="220">
        <v>-0.48</v>
      </c>
      <c r="AC384" s="213"/>
    </row>
    <row r="385" spans="1:29" ht="12.75" customHeight="1" x14ac:dyDescent="0.2">
      <c r="A385" s="6">
        <v>11</v>
      </c>
      <c r="B385" s="8"/>
      <c r="C385" s="223">
        <v>0.3952</v>
      </c>
      <c r="D385" s="220">
        <v>-86.06</v>
      </c>
      <c r="E385" s="223">
        <v>0.37909999999999999</v>
      </c>
      <c r="F385" s="220">
        <v>89.52</v>
      </c>
      <c r="G385" s="223">
        <v>0.67800000000000005</v>
      </c>
      <c r="H385" s="220">
        <v>-3.59</v>
      </c>
      <c r="I385" s="223">
        <v>0.26219999999999999</v>
      </c>
      <c r="J385" s="220">
        <v>58.81</v>
      </c>
      <c r="K385" s="223">
        <v>1.1996</v>
      </c>
      <c r="L385" s="220">
        <v>98.61</v>
      </c>
      <c r="M385" s="223">
        <v>0.52339999999999998</v>
      </c>
      <c r="N385" s="220">
        <v>-0.62</v>
      </c>
      <c r="AC385" s="213"/>
    </row>
    <row r="386" spans="1:29" ht="12.75" customHeight="1" x14ac:dyDescent="0.2">
      <c r="A386" s="6">
        <v>10</v>
      </c>
      <c r="B386" s="8"/>
      <c r="C386" s="223">
        <v>0.2944</v>
      </c>
      <c r="D386" s="220">
        <v>-82.87</v>
      </c>
      <c r="E386" s="223">
        <v>0.29289999999999999</v>
      </c>
      <c r="F386" s="220">
        <v>91.22</v>
      </c>
      <c r="G386" s="223">
        <v>0.57869999999999999</v>
      </c>
      <c r="H386" s="220">
        <v>-6.38</v>
      </c>
      <c r="I386" s="223">
        <v>0.39040000000000002</v>
      </c>
      <c r="J386" s="220">
        <v>71.569999999999993</v>
      </c>
      <c r="K386" s="223">
        <v>1.3271999999999999</v>
      </c>
      <c r="L386" s="220">
        <v>103.09</v>
      </c>
      <c r="M386" s="223">
        <v>0.52710000000000001</v>
      </c>
      <c r="N386" s="220">
        <v>-0.8</v>
      </c>
      <c r="AC386" s="213"/>
    </row>
    <row r="387" spans="1:29" ht="12.75" customHeight="1" x14ac:dyDescent="0.2">
      <c r="A387" s="6">
        <v>9</v>
      </c>
      <c r="B387" s="8"/>
      <c r="C387" s="223">
        <v>0.16700000000000001</v>
      </c>
      <c r="D387" s="220">
        <v>-76.44</v>
      </c>
      <c r="E387" s="223">
        <v>0.18060000000000001</v>
      </c>
      <c r="F387" s="220">
        <v>99.75</v>
      </c>
      <c r="G387" s="223">
        <v>0.4294</v>
      </c>
      <c r="H387" s="220">
        <v>-7.35</v>
      </c>
      <c r="I387" s="223">
        <v>0.55110000000000003</v>
      </c>
      <c r="J387" s="220">
        <v>85.68</v>
      </c>
      <c r="K387" s="223">
        <v>1.3815999999999999</v>
      </c>
      <c r="L387" s="220">
        <v>110.76</v>
      </c>
      <c r="M387" s="223">
        <v>0.47799999999999998</v>
      </c>
      <c r="N387" s="220">
        <v>-0.79</v>
      </c>
      <c r="AC387" s="213"/>
    </row>
    <row r="388" spans="1:29" ht="12.75" customHeight="1" x14ac:dyDescent="0.2">
      <c r="A388" s="6">
        <v>8</v>
      </c>
      <c r="B388" s="9"/>
      <c r="C388" s="223">
        <v>3.5200000000000002E-2</v>
      </c>
      <c r="D388" s="220">
        <v>-18.3</v>
      </c>
      <c r="E388" s="223">
        <v>6.13E-2</v>
      </c>
      <c r="F388" s="220">
        <v>152.13</v>
      </c>
      <c r="G388" s="223">
        <v>0.19409999999999999</v>
      </c>
      <c r="H388" s="220">
        <v>-40.76</v>
      </c>
      <c r="I388" s="223">
        <v>0.65980000000000005</v>
      </c>
      <c r="J388" s="220">
        <v>107</v>
      </c>
      <c r="K388" s="223">
        <v>1.1738999999999999</v>
      </c>
      <c r="L388" s="220">
        <v>133.32</v>
      </c>
      <c r="M388" s="223">
        <v>0.3276</v>
      </c>
      <c r="N388" s="220">
        <v>1.1000000000000001</v>
      </c>
      <c r="AC388" s="213"/>
    </row>
    <row r="389" spans="1:29" ht="12.75" customHeight="1" x14ac:dyDescent="0.2">
      <c r="A389" s="6">
        <v>7</v>
      </c>
      <c r="B389" s="9"/>
      <c r="C389" s="223">
        <v>4.7800000000000002E-2</v>
      </c>
      <c r="D389" s="220">
        <v>92.54</v>
      </c>
      <c r="E389" s="223">
        <v>7.9000000000000001E-2</v>
      </c>
      <c r="F389" s="220">
        <v>-126.76</v>
      </c>
      <c r="G389" s="223">
        <v>0.20610000000000001</v>
      </c>
      <c r="H389" s="220">
        <v>-71.7</v>
      </c>
      <c r="I389" s="223">
        <v>0.52829999999999999</v>
      </c>
      <c r="J389" s="220">
        <v>127.3</v>
      </c>
      <c r="K389" s="223">
        <v>5.1299999999999998E-2</v>
      </c>
      <c r="L389" s="220">
        <v>162.13999999999999</v>
      </c>
      <c r="M389" s="223">
        <v>4.48E-2</v>
      </c>
      <c r="N389" s="220">
        <v>-3.08</v>
      </c>
      <c r="AC389" s="213"/>
    </row>
    <row r="390" spans="1:29" ht="12.75" customHeight="1" x14ac:dyDescent="0.2">
      <c r="A390" s="6">
        <v>6</v>
      </c>
      <c r="B390" s="9"/>
      <c r="C390" s="223">
        <v>3.9399999999999998E-2</v>
      </c>
      <c r="D390" s="220">
        <v>21.55</v>
      </c>
      <c r="E390" s="223">
        <v>5.0299999999999997E-2</v>
      </c>
      <c r="F390" s="220">
        <v>-164.13</v>
      </c>
      <c r="G390" s="223">
        <v>8.2699999999999996E-2</v>
      </c>
      <c r="H390" s="220">
        <v>-96.66</v>
      </c>
      <c r="I390" s="223">
        <v>0.2442</v>
      </c>
      <c r="J390" s="220">
        <v>126.49</v>
      </c>
      <c r="K390" s="223">
        <v>0.2394</v>
      </c>
      <c r="L390" s="220">
        <v>22.83</v>
      </c>
      <c r="M390" s="223">
        <v>9.5100000000000004E-2</v>
      </c>
      <c r="N390" s="220">
        <v>173.1</v>
      </c>
      <c r="AC390" s="213"/>
    </row>
    <row r="391" spans="1:29" ht="12.75" customHeight="1" x14ac:dyDescent="0.2">
      <c r="A391" s="6">
        <v>5</v>
      </c>
      <c r="B391" s="9"/>
      <c r="C391" s="223">
        <v>2.29E-2</v>
      </c>
      <c r="D391" s="220">
        <v>-61.95</v>
      </c>
      <c r="E391" s="223">
        <v>3.3399999999999999E-2</v>
      </c>
      <c r="F391" s="220">
        <v>106.18</v>
      </c>
      <c r="G391" s="223">
        <v>2.06E-2</v>
      </c>
      <c r="H391" s="220">
        <v>107.97</v>
      </c>
      <c r="I391" s="223">
        <v>2.86E-2</v>
      </c>
      <c r="J391" s="220">
        <v>39.51</v>
      </c>
      <c r="K391" s="223">
        <v>1.7100000000000001E-2</v>
      </c>
      <c r="L391" s="220">
        <v>-112.89</v>
      </c>
      <c r="M391" s="223">
        <v>6.1499999999999999E-2</v>
      </c>
      <c r="N391" s="220">
        <v>9.9600000000000009</v>
      </c>
      <c r="AC391" s="213"/>
    </row>
    <row r="392" spans="1:29" ht="12.75" customHeight="1" x14ac:dyDescent="0.2">
      <c r="A392" s="6">
        <v>4.5</v>
      </c>
      <c r="B392" s="9"/>
      <c r="C392" s="223">
        <v>9.2999999999999992E-3</v>
      </c>
      <c r="D392" s="220">
        <v>118.25</v>
      </c>
      <c r="E392" s="223">
        <v>1.7999999999999999E-2</v>
      </c>
      <c r="F392" s="220">
        <v>-97.35</v>
      </c>
      <c r="G392" s="223">
        <v>4.0000000000000002E-4</v>
      </c>
      <c r="H392" s="220">
        <v>-24.42</v>
      </c>
      <c r="I392" s="223">
        <v>4.7100000000000003E-2</v>
      </c>
      <c r="J392" s="220">
        <v>-113.71</v>
      </c>
      <c r="K392" s="223">
        <v>2.3599999999999999E-2</v>
      </c>
      <c r="L392" s="220">
        <v>173.89</v>
      </c>
      <c r="M392" s="223">
        <v>3.2399999999999998E-2</v>
      </c>
      <c r="N392" s="220">
        <v>6.57</v>
      </c>
      <c r="AC392" s="213"/>
    </row>
    <row r="393" spans="1:29" ht="12.75" customHeight="1" x14ac:dyDescent="0.2">
      <c r="A393" s="6">
        <v>4</v>
      </c>
      <c r="B393" s="9"/>
      <c r="C393" s="223">
        <v>3.8999999999999998E-3</v>
      </c>
      <c r="D393" s="220">
        <v>127.89</v>
      </c>
      <c r="E393" s="223">
        <v>6.4000000000000003E-3</v>
      </c>
      <c r="F393" s="220">
        <v>-54.65</v>
      </c>
      <c r="G393" s="223">
        <v>1.1999999999999999E-3</v>
      </c>
      <c r="H393" s="220">
        <v>24.7</v>
      </c>
      <c r="I393" s="223">
        <v>1.83E-2</v>
      </c>
      <c r="J393" s="220">
        <v>-127.34</v>
      </c>
      <c r="K393" s="223">
        <v>1.4E-2</v>
      </c>
      <c r="L393" s="220">
        <v>-28.47</v>
      </c>
      <c r="M393" s="223">
        <v>2.0799999999999999E-2</v>
      </c>
      <c r="N393" s="220">
        <v>144.04</v>
      </c>
      <c r="AC393" s="213"/>
    </row>
    <row r="394" spans="1:29" ht="12.75" customHeight="1" x14ac:dyDescent="0.2">
      <c r="A394" s="6">
        <v>3.5</v>
      </c>
      <c r="B394" s="9"/>
      <c r="C394" s="223">
        <v>4.4999999999999997E-3</v>
      </c>
      <c r="D394" s="220">
        <v>23.53</v>
      </c>
      <c r="E394" s="223">
        <v>5.1999999999999998E-3</v>
      </c>
      <c r="F394" s="220">
        <v>-125.02</v>
      </c>
      <c r="G394" s="223">
        <v>1.6999999999999999E-3</v>
      </c>
      <c r="H394" s="220">
        <v>-97.62</v>
      </c>
      <c r="I394" s="223">
        <v>8.2000000000000007E-3</v>
      </c>
      <c r="J394" s="220">
        <v>-169.95</v>
      </c>
      <c r="K394" s="223">
        <v>3.5000000000000001E-3</v>
      </c>
      <c r="L394" s="220">
        <v>93.89</v>
      </c>
      <c r="M394" s="223">
        <v>1.2200000000000001E-2</v>
      </c>
      <c r="N394" s="220">
        <v>173.32</v>
      </c>
      <c r="AC394" s="213"/>
    </row>
    <row r="395" spans="1:29" ht="12.75" customHeight="1" x14ac:dyDescent="0.2">
      <c r="A395" s="6">
        <v>3</v>
      </c>
      <c r="B395" s="9"/>
      <c r="C395" s="223">
        <v>2.8E-3</v>
      </c>
      <c r="D395" s="220">
        <v>32.130000000000003</v>
      </c>
      <c r="E395" s="223">
        <v>5.1000000000000004E-3</v>
      </c>
      <c r="F395" s="220">
        <v>-139.16</v>
      </c>
      <c r="G395" s="223">
        <v>1E-3</v>
      </c>
      <c r="H395" s="220">
        <v>128.69999999999999</v>
      </c>
      <c r="I395" s="223">
        <v>1.01E-2</v>
      </c>
      <c r="J395" s="220">
        <v>-122.45</v>
      </c>
      <c r="K395" s="223">
        <v>2.0999999999999999E-3</v>
      </c>
      <c r="L395" s="220">
        <v>120.24</v>
      </c>
      <c r="M395" s="223">
        <v>4.5999999999999999E-3</v>
      </c>
      <c r="N395" s="220">
        <v>-121.12</v>
      </c>
      <c r="AC395" s="213"/>
    </row>
    <row r="396" spans="1:29" ht="12.75" customHeight="1" x14ac:dyDescent="0.2">
      <c r="A396" s="6">
        <v>0</v>
      </c>
      <c r="B396" s="9"/>
      <c r="C396" s="223">
        <v>0</v>
      </c>
      <c r="D396" s="220">
        <v>0</v>
      </c>
      <c r="E396" s="223">
        <v>0</v>
      </c>
      <c r="F396" s="220">
        <v>0</v>
      </c>
      <c r="G396" s="223">
        <v>0</v>
      </c>
      <c r="H396" s="220">
        <v>0</v>
      </c>
      <c r="I396" s="223">
        <v>0</v>
      </c>
      <c r="J396" s="220">
        <v>0</v>
      </c>
      <c r="K396" s="223">
        <v>0</v>
      </c>
      <c r="L396" s="220">
        <v>0</v>
      </c>
      <c r="M396" s="223">
        <v>0</v>
      </c>
      <c r="N396" s="220">
        <v>0</v>
      </c>
    </row>
    <row r="397" spans="1:29" ht="12.75" customHeight="1" x14ac:dyDescent="0.2">
      <c r="A397" s="6">
        <v>0</v>
      </c>
      <c r="B397" s="9"/>
      <c r="C397" s="223">
        <v>0</v>
      </c>
      <c r="D397" s="220">
        <v>0</v>
      </c>
      <c r="E397" s="223">
        <v>0</v>
      </c>
      <c r="F397" s="220">
        <v>0</v>
      </c>
      <c r="G397" s="223">
        <v>0</v>
      </c>
      <c r="H397" s="220">
        <v>0</v>
      </c>
      <c r="I397" s="223">
        <v>0</v>
      </c>
      <c r="J397" s="220">
        <v>0</v>
      </c>
      <c r="K397" s="223">
        <v>0</v>
      </c>
      <c r="L397" s="220">
        <v>0</v>
      </c>
      <c r="M397" s="223">
        <v>0</v>
      </c>
      <c r="N397" s="220">
        <v>0</v>
      </c>
    </row>
    <row r="398" spans="1:29" ht="12.75" customHeight="1" x14ac:dyDescent="0.2">
      <c r="A398" s="6">
        <v>0</v>
      </c>
      <c r="B398" s="9"/>
      <c r="C398" s="223">
        <v>0</v>
      </c>
      <c r="D398" s="220">
        <v>0</v>
      </c>
      <c r="E398" s="223">
        <v>0</v>
      </c>
      <c r="F398" s="220">
        <v>0</v>
      </c>
      <c r="G398" s="223">
        <v>0</v>
      </c>
      <c r="H398" s="220">
        <v>0</v>
      </c>
      <c r="I398" s="223">
        <v>0</v>
      </c>
      <c r="J398" s="220">
        <v>0</v>
      </c>
      <c r="K398" s="223">
        <v>0</v>
      </c>
      <c r="L398" s="220">
        <v>0</v>
      </c>
      <c r="M398" s="223">
        <v>0</v>
      </c>
      <c r="N398" s="220">
        <v>0</v>
      </c>
    </row>
    <row r="399" spans="1:29" ht="12.75" customHeight="1" x14ac:dyDescent="0.2">
      <c r="A399" s="6">
        <v>0</v>
      </c>
      <c r="B399" s="9"/>
      <c r="C399" s="223">
        <v>0</v>
      </c>
      <c r="D399" s="220">
        <v>0</v>
      </c>
      <c r="E399" s="223">
        <v>0</v>
      </c>
      <c r="F399" s="220">
        <v>0</v>
      </c>
      <c r="G399" s="223">
        <v>0</v>
      </c>
      <c r="H399" s="220">
        <v>0</v>
      </c>
      <c r="I399" s="223">
        <v>0</v>
      </c>
      <c r="J399" s="220">
        <v>0</v>
      </c>
      <c r="K399" s="223">
        <v>0</v>
      </c>
      <c r="L399" s="220">
        <v>0</v>
      </c>
      <c r="M399" s="223">
        <v>0</v>
      </c>
      <c r="N399" s="220">
        <v>0</v>
      </c>
    </row>
    <row r="400" spans="1:29" ht="12.75" customHeight="1" thickBot="1" x14ac:dyDescent="0.25">
      <c r="A400" s="10">
        <v>0</v>
      </c>
      <c r="B400" s="11"/>
      <c r="C400" s="12">
        <v>0</v>
      </c>
      <c r="D400" s="13">
        <v>0</v>
      </c>
      <c r="E400" s="12">
        <v>0</v>
      </c>
      <c r="F400" s="13">
        <v>0</v>
      </c>
      <c r="G400" s="12">
        <v>0</v>
      </c>
      <c r="H400" s="13">
        <v>0</v>
      </c>
      <c r="I400" s="12">
        <v>0</v>
      </c>
      <c r="J400" s="13">
        <v>0</v>
      </c>
      <c r="K400" s="12">
        <v>0</v>
      </c>
      <c r="L400" s="13">
        <v>0</v>
      </c>
      <c r="M400" s="12">
        <v>0</v>
      </c>
      <c r="N400" s="13">
        <v>0</v>
      </c>
    </row>
    <row r="401" spans="1:29" ht="20.100000000000001" customHeight="1" x14ac:dyDescent="0.25">
      <c r="A401" s="395" t="str">
        <f>A361</f>
        <v>Paragon DPDS3</v>
      </c>
      <c r="B401" s="395"/>
      <c r="C401" s="395"/>
      <c r="D401" s="395"/>
      <c r="E401" s="395"/>
      <c r="F401" s="395"/>
      <c r="G401" s="395"/>
      <c r="H401" s="395"/>
      <c r="I401" s="395"/>
      <c r="J401" s="395"/>
      <c r="K401" s="395"/>
      <c r="L401" s="395"/>
      <c r="M401" s="395"/>
      <c r="N401" s="395"/>
    </row>
    <row r="402" spans="1:29" ht="20.100000000000001" customHeight="1" thickBot="1" x14ac:dyDescent="0.3">
      <c r="A402" s="396" t="s">
        <v>5</v>
      </c>
      <c r="B402" s="396"/>
      <c r="C402" s="396"/>
      <c r="D402" s="396"/>
      <c r="E402" s="396"/>
      <c r="F402" s="396"/>
      <c r="G402" s="396"/>
      <c r="H402" s="396"/>
      <c r="I402" s="396"/>
      <c r="J402" s="396"/>
      <c r="K402" s="396"/>
      <c r="L402" s="396"/>
      <c r="M402" s="396"/>
      <c r="N402" s="396"/>
    </row>
    <row r="403" spans="1:29" ht="12.75" customHeight="1" x14ac:dyDescent="0.2">
      <c r="A403" s="397" t="s">
        <v>12</v>
      </c>
      <c r="B403" s="399" t="s">
        <v>13</v>
      </c>
      <c r="C403" s="401" t="s">
        <v>6</v>
      </c>
      <c r="D403" s="402"/>
      <c r="E403" s="401" t="s">
        <v>7</v>
      </c>
      <c r="F403" s="402"/>
      <c r="G403" s="401" t="s">
        <v>8</v>
      </c>
      <c r="H403" s="402"/>
      <c r="I403" s="401" t="s">
        <v>9</v>
      </c>
      <c r="J403" s="402"/>
      <c r="K403" s="401" t="s">
        <v>10</v>
      </c>
      <c r="L403" s="402"/>
      <c r="M403" s="401" t="s">
        <v>11</v>
      </c>
      <c r="N403" s="402"/>
    </row>
    <row r="404" spans="1:29" ht="12.75" customHeight="1" x14ac:dyDescent="0.2">
      <c r="A404" s="398"/>
      <c r="B404" s="400"/>
      <c r="C404" s="222" t="s">
        <v>0</v>
      </c>
      <c r="D404" s="217" t="s">
        <v>1</v>
      </c>
      <c r="E404" s="222" t="s">
        <v>0</v>
      </c>
      <c r="F404" s="217" t="s">
        <v>1</v>
      </c>
      <c r="G404" s="222" t="s">
        <v>0</v>
      </c>
      <c r="H404" s="217" t="s">
        <v>1</v>
      </c>
      <c r="I404" s="222" t="s">
        <v>0</v>
      </c>
      <c r="J404" s="217" t="s">
        <v>1</v>
      </c>
      <c r="K404" s="222" t="s">
        <v>0</v>
      </c>
      <c r="L404" s="217" t="s">
        <v>1</v>
      </c>
      <c r="M404" s="222" t="s">
        <v>0</v>
      </c>
      <c r="N404" s="217" t="s">
        <v>1</v>
      </c>
    </row>
    <row r="405" spans="1:29" ht="12.75" customHeight="1" thickBot="1" x14ac:dyDescent="0.25">
      <c r="A405" s="2" t="s">
        <v>14</v>
      </c>
      <c r="B405" s="3" t="s">
        <v>15</v>
      </c>
      <c r="C405" s="2" t="s">
        <v>19</v>
      </c>
      <c r="D405" s="3" t="s">
        <v>15</v>
      </c>
      <c r="E405" s="2" t="s">
        <v>19</v>
      </c>
      <c r="F405" s="3" t="s">
        <v>15</v>
      </c>
      <c r="G405" s="2" t="s">
        <v>19</v>
      </c>
      <c r="H405" s="3" t="s">
        <v>15</v>
      </c>
      <c r="I405" s="2" t="s">
        <v>20</v>
      </c>
      <c r="J405" s="3" t="s">
        <v>15</v>
      </c>
      <c r="K405" s="2" t="s">
        <v>20</v>
      </c>
      <c r="L405" s="3" t="s">
        <v>15</v>
      </c>
      <c r="M405" s="2" t="s">
        <v>20</v>
      </c>
      <c r="N405" s="3" t="s">
        <v>15</v>
      </c>
    </row>
    <row r="406" spans="1:29" ht="12.75" customHeight="1" x14ac:dyDescent="0.2">
      <c r="A406" s="4">
        <v>30</v>
      </c>
      <c r="B406" s="5">
        <v>150</v>
      </c>
      <c r="C406" s="223">
        <v>0.84</v>
      </c>
      <c r="D406" s="220">
        <v>-89.96</v>
      </c>
      <c r="E406" s="223">
        <v>0.48039999999999999</v>
      </c>
      <c r="F406" s="220">
        <v>89.86</v>
      </c>
      <c r="G406" s="223">
        <v>0.98950000000000005</v>
      </c>
      <c r="H406" s="220">
        <v>-0.01</v>
      </c>
      <c r="I406" s="223">
        <v>0.18</v>
      </c>
      <c r="J406" s="220">
        <v>102.72</v>
      </c>
      <c r="K406" s="223">
        <v>0.22220000000000001</v>
      </c>
      <c r="L406" s="220">
        <v>90.73</v>
      </c>
      <c r="M406" s="223">
        <v>9.3899999999999997E-2</v>
      </c>
      <c r="N406" s="220">
        <v>-0.79</v>
      </c>
      <c r="AC406" s="213"/>
    </row>
    <row r="407" spans="1:29" ht="12.75" customHeight="1" x14ac:dyDescent="0.2">
      <c r="A407" s="6">
        <v>28</v>
      </c>
      <c r="B407" s="7"/>
      <c r="C407" s="223">
        <v>0.8347</v>
      </c>
      <c r="D407" s="220">
        <v>-89.95</v>
      </c>
      <c r="E407" s="223">
        <v>0.47639999999999999</v>
      </c>
      <c r="F407" s="220">
        <v>89.81</v>
      </c>
      <c r="G407" s="223">
        <v>0.98609999999999998</v>
      </c>
      <c r="H407" s="220">
        <v>-0.01</v>
      </c>
      <c r="I407" s="223">
        <v>0.22370000000000001</v>
      </c>
      <c r="J407" s="220">
        <v>105.26</v>
      </c>
      <c r="K407" s="223">
        <v>0.25490000000000002</v>
      </c>
      <c r="L407" s="220">
        <v>90.83</v>
      </c>
      <c r="M407" s="223">
        <v>0.1074</v>
      </c>
      <c r="N407" s="220">
        <v>-0.86</v>
      </c>
      <c r="AC407" s="213"/>
    </row>
    <row r="408" spans="1:29" ht="12.75" customHeight="1" x14ac:dyDescent="0.2">
      <c r="A408" s="6">
        <v>26</v>
      </c>
      <c r="B408" s="7"/>
      <c r="C408" s="223">
        <v>0.8276</v>
      </c>
      <c r="D408" s="220">
        <v>-89.94</v>
      </c>
      <c r="E408" s="223">
        <v>0.47089999999999999</v>
      </c>
      <c r="F408" s="220">
        <v>89.72</v>
      </c>
      <c r="G408" s="223">
        <v>0.98129999999999995</v>
      </c>
      <c r="H408" s="220">
        <v>-0.02</v>
      </c>
      <c r="I408" s="223">
        <v>0.29110000000000003</v>
      </c>
      <c r="J408" s="220">
        <v>109.16</v>
      </c>
      <c r="K408" s="223">
        <v>0.29520000000000002</v>
      </c>
      <c r="L408" s="220">
        <v>90.97</v>
      </c>
      <c r="M408" s="223">
        <v>0.12379999999999999</v>
      </c>
      <c r="N408" s="220">
        <v>-0.97</v>
      </c>
      <c r="AC408" s="213"/>
    </row>
    <row r="409" spans="1:29" ht="12.75" customHeight="1" x14ac:dyDescent="0.2">
      <c r="A409" s="6">
        <v>24</v>
      </c>
      <c r="B409" s="7"/>
      <c r="C409" s="223">
        <v>0.81789999999999996</v>
      </c>
      <c r="D409" s="220">
        <v>-89.92</v>
      </c>
      <c r="E409" s="223">
        <v>0.46329999999999999</v>
      </c>
      <c r="F409" s="220">
        <v>89.54</v>
      </c>
      <c r="G409" s="223">
        <v>0.97430000000000005</v>
      </c>
      <c r="H409" s="220">
        <v>-0.03</v>
      </c>
      <c r="I409" s="223">
        <v>0.40960000000000002</v>
      </c>
      <c r="J409" s="220">
        <v>116.02</v>
      </c>
      <c r="K409" s="223">
        <v>0.34560000000000002</v>
      </c>
      <c r="L409" s="220">
        <v>91.15</v>
      </c>
      <c r="M409" s="223">
        <v>0.1444</v>
      </c>
      <c r="N409" s="220">
        <v>-1.1299999999999999</v>
      </c>
      <c r="AC409" s="213"/>
    </row>
    <row r="410" spans="1:29" ht="12.75" customHeight="1" x14ac:dyDescent="0.2">
      <c r="A410" s="6">
        <v>23</v>
      </c>
      <c r="B410" s="7"/>
      <c r="C410" s="223">
        <v>0.81169999999999998</v>
      </c>
      <c r="D410" s="220">
        <v>-89.91</v>
      </c>
      <c r="E410" s="223">
        <v>0.45829999999999999</v>
      </c>
      <c r="F410" s="220">
        <v>89.34</v>
      </c>
      <c r="G410" s="223">
        <v>0.96950000000000003</v>
      </c>
      <c r="H410" s="220">
        <v>-0.03</v>
      </c>
      <c r="I410" s="223">
        <v>0.50990000000000002</v>
      </c>
      <c r="J410" s="220">
        <v>121.93</v>
      </c>
      <c r="K410" s="223">
        <v>0.37569999999999998</v>
      </c>
      <c r="L410" s="220">
        <v>91.25</v>
      </c>
      <c r="M410" s="223">
        <v>0.15670000000000001</v>
      </c>
      <c r="N410" s="220">
        <v>-1.24</v>
      </c>
      <c r="AC410" s="213"/>
    </row>
    <row r="411" spans="1:29" ht="12.75" customHeight="1" x14ac:dyDescent="0.2">
      <c r="A411" s="6">
        <v>22</v>
      </c>
      <c r="B411" s="7"/>
      <c r="C411" s="223">
        <v>0.80430000000000001</v>
      </c>
      <c r="D411" s="220">
        <v>-89.9</v>
      </c>
      <c r="E411" s="223">
        <v>0.45250000000000001</v>
      </c>
      <c r="F411" s="220">
        <v>88.98</v>
      </c>
      <c r="G411" s="223">
        <v>0.96360000000000001</v>
      </c>
      <c r="H411" s="220">
        <v>-0.04</v>
      </c>
      <c r="I411" s="223">
        <v>0.66600000000000004</v>
      </c>
      <c r="J411" s="220">
        <v>131.57</v>
      </c>
      <c r="K411" s="223">
        <v>0.40970000000000001</v>
      </c>
      <c r="L411" s="220">
        <v>91.37</v>
      </c>
      <c r="M411" s="223">
        <v>0.1711</v>
      </c>
      <c r="N411" s="220">
        <v>-1.32</v>
      </c>
      <c r="AC411" s="213"/>
    </row>
    <row r="412" spans="1:29" ht="12.75" customHeight="1" x14ac:dyDescent="0.2">
      <c r="A412" s="6">
        <v>21</v>
      </c>
      <c r="B412" s="7"/>
      <c r="C412" s="223">
        <v>0.79530000000000001</v>
      </c>
      <c r="D412" s="220">
        <v>-89.89</v>
      </c>
      <c r="E412" s="223">
        <v>0.44740000000000002</v>
      </c>
      <c r="F412" s="220">
        <v>88.25</v>
      </c>
      <c r="G412" s="223">
        <v>0.95620000000000005</v>
      </c>
      <c r="H412" s="220">
        <v>-0.05</v>
      </c>
      <c r="I412" s="223">
        <v>0.91120000000000001</v>
      </c>
      <c r="J412" s="220">
        <v>149.33000000000001</v>
      </c>
      <c r="K412" s="223">
        <v>0.44840000000000002</v>
      </c>
      <c r="L412" s="220">
        <v>91.52</v>
      </c>
      <c r="M412" s="223">
        <v>0.18820000000000001</v>
      </c>
      <c r="N412" s="220">
        <v>-1.1599999999999999</v>
      </c>
      <c r="AC412" s="213"/>
    </row>
    <row r="413" spans="1:29" ht="12.75" customHeight="1" x14ac:dyDescent="0.2">
      <c r="A413" s="6">
        <v>20.5</v>
      </c>
      <c r="B413" s="7"/>
      <c r="C413" s="223">
        <v>0.79010000000000002</v>
      </c>
      <c r="D413" s="220">
        <v>-89.88</v>
      </c>
      <c r="E413" s="223">
        <v>0.44690000000000002</v>
      </c>
      <c r="F413" s="220">
        <v>87.76</v>
      </c>
      <c r="G413" s="223">
        <v>0.95169999999999999</v>
      </c>
      <c r="H413" s="220">
        <v>-0.06</v>
      </c>
      <c r="I413" s="223">
        <v>1.054</v>
      </c>
      <c r="J413" s="220">
        <v>163.82</v>
      </c>
      <c r="K413" s="223">
        <v>0.46970000000000001</v>
      </c>
      <c r="L413" s="220">
        <v>91.6</v>
      </c>
      <c r="M413" s="223">
        <v>0.1978</v>
      </c>
      <c r="N413" s="220">
        <v>-0.78</v>
      </c>
      <c r="AC413" s="213"/>
    </row>
    <row r="414" spans="1:29" ht="12.75" customHeight="1" x14ac:dyDescent="0.2">
      <c r="A414" s="6">
        <v>20</v>
      </c>
      <c r="B414" s="7"/>
      <c r="C414" s="223">
        <v>0.78439999999999999</v>
      </c>
      <c r="D414" s="220">
        <v>-89.87</v>
      </c>
      <c r="E414" s="223">
        <v>0.44890000000000002</v>
      </c>
      <c r="F414" s="220">
        <v>87.48</v>
      </c>
      <c r="G414" s="223">
        <v>0.94669999999999999</v>
      </c>
      <c r="H414" s="220">
        <v>-7.0000000000000007E-2</v>
      </c>
      <c r="I414" s="223">
        <v>1.1456</v>
      </c>
      <c r="J414" s="220">
        <v>-177.14</v>
      </c>
      <c r="K414" s="223">
        <v>0.4924</v>
      </c>
      <c r="L414" s="220">
        <v>91.69</v>
      </c>
      <c r="M414" s="223">
        <v>0.2072</v>
      </c>
      <c r="N414" s="220">
        <v>-0.09</v>
      </c>
      <c r="AC414" s="213"/>
    </row>
    <row r="415" spans="1:29" ht="12.75" customHeight="1" x14ac:dyDescent="0.2">
      <c r="A415" s="6">
        <v>19.5</v>
      </c>
      <c r="B415" s="7"/>
      <c r="C415" s="223">
        <v>0.77810000000000001</v>
      </c>
      <c r="D415" s="220">
        <v>-89.86</v>
      </c>
      <c r="E415" s="223">
        <v>0.4511</v>
      </c>
      <c r="F415" s="220">
        <v>87.72</v>
      </c>
      <c r="G415" s="223">
        <v>0.94099999999999995</v>
      </c>
      <c r="H415" s="220">
        <v>-7.0000000000000007E-2</v>
      </c>
      <c r="I415" s="223">
        <v>1.1085</v>
      </c>
      <c r="J415" s="220">
        <v>-155.91</v>
      </c>
      <c r="K415" s="223">
        <v>0.51670000000000005</v>
      </c>
      <c r="L415" s="220">
        <v>91.78</v>
      </c>
      <c r="M415" s="223">
        <v>0.21529999999999999</v>
      </c>
      <c r="N415" s="220">
        <v>0.63</v>
      </c>
      <c r="AC415" s="213"/>
    </row>
    <row r="416" spans="1:29" ht="12.75" customHeight="1" x14ac:dyDescent="0.2">
      <c r="A416" s="6">
        <v>19</v>
      </c>
      <c r="B416" s="7"/>
      <c r="C416" s="223">
        <v>0.77100000000000002</v>
      </c>
      <c r="D416" s="220">
        <v>-89.85</v>
      </c>
      <c r="E416" s="223">
        <v>0.44990000000000002</v>
      </c>
      <c r="F416" s="220">
        <v>88.33</v>
      </c>
      <c r="G416" s="223">
        <v>0.93459999999999999</v>
      </c>
      <c r="H416" s="220">
        <v>-0.08</v>
      </c>
      <c r="I416" s="223">
        <v>0.95679999999999998</v>
      </c>
      <c r="J416" s="220">
        <v>-136.88999999999999</v>
      </c>
      <c r="K416" s="223">
        <v>0.54269999999999996</v>
      </c>
      <c r="L416" s="220">
        <v>91.87</v>
      </c>
      <c r="M416" s="223">
        <v>0.22259999999999999</v>
      </c>
      <c r="N416" s="220">
        <v>0.96</v>
      </c>
      <c r="AC416" s="213"/>
    </row>
    <row r="417" spans="1:29" ht="12.75" customHeight="1" x14ac:dyDescent="0.2">
      <c r="A417" s="6">
        <v>18.5</v>
      </c>
      <c r="B417" s="7"/>
      <c r="C417" s="223">
        <v>0.76319999999999999</v>
      </c>
      <c r="D417" s="220">
        <v>-89.84</v>
      </c>
      <c r="E417" s="223">
        <v>0.44500000000000001</v>
      </c>
      <c r="F417" s="220">
        <v>88.87</v>
      </c>
      <c r="G417" s="223">
        <v>0.92720000000000002</v>
      </c>
      <c r="H417" s="220">
        <v>-0.1</v>
      </c>
      <c r="I417" s="223">
        <v>0.77769999999999995</v>
      </c>
      <c r="J417" s="220">
        <v>-122.17</v>
      </c>
      <c r="K417" s="223">
        <v>0.57069999999999999</v>
      </c>
      <c r="L417" s="220">
        <v>91.97</v>
      </c>
      <c r="M417" s="223">
        <v>0.2306</v>
      </c>
      <c r="N417" s="220">
        <v>0.91</v>
      </c>
      <c r="AC417" s="213"/>
    </row>
    <row r="418" spans="1:29" ht="12.75" customHeight="1" x14ac:dyDescent="0.2">
      <c r="A418" s="6">
        <v>18</v>
      </c>
      <c r="B418" s="7"/>
      <c r="C418" s="223">
        <v>0.75439999999999996</v>
      </c>
      <c r="D418" s="220">
        <v>-89.82</v>
      </c>
      <c r="E418" s="223">
        <v>0.43830000000000002</v>
      </c>
      <c r="F418" s="220">
        <v>89.23</v>
      </c>
      <c r="G418" s="223">
        <v>0.91879999999999995</v>
      </c>
      <c r="H418" s="220">
        <v>-0.11</v>
      </c>
      <c r="I418" s="223">
        <v>0.62209999999999999</v>
      </c>
      <c r="J418" s="220">
        <v>-111.18</v>
      </c>
      <c r="K418" s="223">
        <v>0.60070000000000001</v>
      </c>
      <c r="L418" s="220">
        <v>92.09</v>
      </c>
      <c r="M418" s="223">
        <v>0.2399</v>
      </c>
      <c r="N418" s="220">
        <v>0.71</v>
      </c>
      <c r="AC418" s="213"/>
    </row>
    <row r="419" spans="1:29" ht="12.75" customHeight="1" x14ac:dyDescent="0.2">
      <c r="A419" s="6">
        <v>17</v>
      </c>
      <c r="B419" s="8"/>
      <c r="C419" s="223">
        <v>0.73360000000000003</v>
      </c>
      <c r="D419" s="220">
        <v>-89.77</v>
      </c>
      <c r="E419" s="223">
        <v>0.4224</v>
      </c>
      <c r="F419" s="220">
        <v>89.57</v>
      </c>
      <c r="G419" s="223">
        <v>0.89780000000000004</v>
      </c>
      <c r="H419" s="220">
        <v>-0.16</v>
      </c>
      <c r="I419" s="223">
        <v>0.4017</v>
      </c>
      <c r="J419" s="220">
        <v>-95.46</v>
      </c>
      <c r="K419" s="223">
        <v>0.66749999999999998</v>
      </c>
      <c r="L419" s="220">
        <v>92.37</v>
      </c>
      <c r="M419" s="223">
        <v>0.2616</v>
      </c>
      <c r="N419" s="220">
        <v>0.32</v>
      </c>
      <c r="AC419" s="213"/>
    </row>
    <row r="420" spans="1:29" ht="12.75" customHeight="1" x14ac:dyDescent="0.2">
      <c r="A420" s="6">
        <v>16</v>
      </c>
      <c r="B420" s="8"/>
      <c r="C420" s="223">
        <v>0.70720000000000005</v>
      </c>
      <c r="D420" s="220">
        <v>-89.7</v>
      </c>
      <c r="E420" s="223">
        <v>0.4037</v>
      </c>
      <c r="F420" s="220">
        <v>89.66</v>
      </c>
      <c r="G420" s="223">
        <v>0.86980000000000002</v>
      </c>
      <c r="H420" s="220">
        <v>-0.25</v>
      </c>
      <c r="I420" s="223">
        <v>0.26190000000000002</v>
      </c>
      <c r="J420" s="220">
        <v>-82.21</v>
      </c>
      <c r="K420" s="223">
        <v>0.74439999999999995</v>
      </c>
      <c r="L420" s="220">
        <v>92.72</v>
      </c>
      <c r="M420" s="223">
        <v>0.2863</v>
      </c>
      <c r="N420" s="220">
        <v>0.02</v>
      </c>
      <c r="AC420" s="213"/>
    </row>
    <row r="421" spans="1:29" ht="12.75" customHeight="1" x14ac:dyDescent="0.2">
      <c r="A421" s="6">
        <v>15</v>
      </c>
      <c r="B421" s="8"/>
      <c r="C421" s="223">
        <v>0.67320000000000002</v>
      </c>
      <c r="D421" s="220">
        <v>-89.56</v>
      </c>
      <c r="E421" s="223">
        <v>0.38109999999999999</v>
      </c>
      <c r="F421" s="220">
        <v>89.65</v>
      </c>
      <c r="G421" s="223">
        <v>0.83140000000000003</v>
      </c>
      <c r="H421" s="220">
        <v>-0.43</v>
      </c>
      <c r="I421" s="223">
        <v>0.1668</v>
      </c>
      <c r="J421" s="220">
        <v>-65.48</v>
      </c>
      <c r="K421" s="223">
        <v>0.83260000000000001</v>
      </c>
      <c r="L421" s="220">
        <v>93.2</v>
      </c>
      <c r="M421" s="223">
        <v>0.31319999999999998</v>
      </c>
      <c r="N421" s="220">
        <v>-0.21</v>
      </c>
      <c r="AC421" s="213"/>
    </row>
    <row r="422" spans="1:29" ht="12.75" customHeight="1" x14ac:dyDescent="0.2">
      <c r="A422" s="6">
        <v>14</v>
      </c>
      <c r="B422" s="8"/>
      <c r="C422" s="223">
        <v>0.62890000000000001</v>
      </c>
      <c r="D422" s="220">
        <v>-89.3</v>
      </c>
      <c r="E422" s="223">
        <v>0.35289999999999999</v>
      </c>
      <c r="F422" s="220">
        <v>89.58</v>
      </c>
      <c r="G422" s="223">
        <v>0.77849999999999997</v>
      </c>
      <c r="H422" s="220">
        <v>-0.82</v>
      </c>
      <c r="I422" s="223">
        <v>0.1066</v>
      </c>
      <c r="J422" s="220">
        <v>-35.35</v>
      </c>
      <c r="K422" s="223">
        <v>0.93259999999999998</v>
      </c>
      <c r="L422" s="220">
        <v>93.86</v>
      </c>
      <c r="M422" s="223">
        <v>0.3412</v>
      </c>
      <c r="N422" s="220">
        <v>-0.4</v>
      </c>
      <c r="AC422" s="213"/>
    </row>
    <row r="423" spans="1:29" ht="12.75" customHeight="1" x14ac:dyDescent="0.2">
      <c r="A423" s="6">
        <v>13</v>
      </c>
      <c r="B423" s="8"/>
      <c r="C423" s="223">
        <v>0.57020000000000004</v>
      </c>
      <c r="D423" s="220">
        <v>-88.8</v>
      </c>
      <c r="E423" s="223">
        <v>0.31730000000000003</v>
      </c>
      <c r="F423" s="220">
        <v>89.5</v>
      </c>
      <c r="G423" s="223">
        <v>0.70520000000000005</v>
      </c>
      <c r="H423" s="220">
        <v>-1.74</v>
      </c>
      <c r="I423" s="223">
        <v>9.9500000000000005E-2</v>
      </c>
      <c r="J423" s="220">
        <v>12.5</v>
      </c>
      <c r="K423" s="223">
        <v>1.0427</v>
      </c>
      <c r="L423" s="220">
        <v>94.87</v>
      </c>
      <c r="M423" s="223">
        <v>0.36759999999999998</v>
      </c>
      <c r="N423" s="220">
        <v>-0.56999999999999995</v>
      </c>
      <c r="AC423" s="213"/>
    </row>
    <row r="424" spans="1:29" ht="12.75" customHeight="1" x14ac:dyDescent="0.2">
      <c r="A424" s="6">
        <v>12</v>
      </c>
      <c r="B424" s="8"/>
      <c r="C424" s="223">
        <v>0.49080000000000001</v>
      </c>
      <c r="D424" s="220">
        <v>-87.82</v>
      </c>
      <c r="E424" s="223">
        <v>0.27229999999999999</v>
      </c>
      <c r="F424" s="220">
        <v>89.54</v>
      </c>
      <c r="G424" s="223">
        <v>0.60529999999999995</v>
      </c>
      <c r="H424" s="220">
        <v>-3.93</v>
      </c>
      <c r="I424" s="223">
        <v>0.1477</v>
      </c>
      <c r="J424" s="220">
        <v>46.13</v>
      </c>
      <c r="K424" s="223">
        <v>1.1540999999999999</v>
      </c>
      <c r="L424" s="220">
        <v>96.5</v>
      </c>
      <c r="M424" s="223">
        <v>0.38779999999999998</v>
      </c>
      <c r="N424" s="220">
        <v>-0.74</v>
      </c>
      <c r="AC424" s="213"/>
    </row>
    <row r="425" spans="1:29" ht="12.75" customHeight="1" x14ac:dyDescent="0.2">
      <c r="A425" s="6">
        <v>11</v>
      </c>
      <c r="B425" s="8"/>
      <c r="C425" s="223">
        <v>0.38269999999999998</v>
      </c>
      <c r="D425" s="220">
        <v>-86.09</v>
      </c>
      <c r="E425" s="223">
        <v>0.21609999999999999</v>
      </c>
      <c r="F425" s="220">
        <v>90.31</v>
      </c>
      <c r="G425" s="223">
        <v>0.4743</v>
      </c>
      <c r="H425" s="220">
        <v>-9.4</v>
      </c>
      <c r="I425" s="223">
        <v>0.2258</v>
      </c>
      <c r="J425" s="220">
        <v>63.43</v>
      </c>
      <c r="K425" s="223">
        <v>1.2388999999999999</v>
      </c>
      <c r="L425" s="220">
        <v>99.12</v>
      </c>
      <c r="M425" s="223">
        <v>0.39269999999999999</v>
      </c>
      <c r="N425" s="220">
        <v>-0.94</v>
      </c>
      <c r="AC425" s="213"/>
    </row>
    <row r="426" spans="1:29" ht="12.75" customHeight="1" x14ac:dyDescent="0.2">
      <c r="A426" s="6">
        <v>10</v>
      </c>
      <c r="B426" s="8"/>
      <c r="C426" s="223">
        <v>0.2424</v>
      </c>
      <c r="D426" s="220">
        <v>-83.79</v>
      </c>
      <c r="E426" s="223">
        <v>0.1477</v>
      </c>
      <c r="F426" s="220">
        <v>94.47</v>
      </c>
      <c r="G426" s="223">
        <v>0.316</v>
      </c>
      <c r="H426" s="220">
        <v>-25.64</v>
      </c>
      <c r="I426" s="223">
        <v>0.32950000000000002</v>
      </c>
      <c r="J426" s="220">
        <v>75.62</v>
      </c>
      <c r="K426" s="223">
        <v>1.2321</v>
      </c>
      <c r="L426" s="220">
        <v>102.72</v>
      </c>
      <c r="M426" s="223">
        <v>0.36709999999999998</v>
      </c>
      <c r="N426" s="220">
        <v>-1.1000000000000001</v>
      </c>
      <c r="AC426" s="213"/>
    </row>
    <row r="427" spans="1:29" ht="12.75" customHeight="1" x14ac:dyDescent="0.2">
      <c r="A427" s="6">
        <v>9</v>
      </c>
      <c r="B427" s="8"/>
      <c r="C427" s="223">
        <v>9.11E-2</v>
      </c>
      <c r="D427" s="220">
        <v>-80.84</v>
      </c>
      <c r="E427" s="223">
        <v>7.1900000000000006E-2</v>
      </c>
      <c r="F427" s="220">
        <v>117.8</v>
      </c>
      <c r="G427" s="223">
        <v>0.29449999999999998</v>
      </c>
      <c r="H427" s="220">
        <v>-81.459999999999994</v>
      </c>
      <c r="I427" s="223">
        <v>0.45679999999999998</v>
      </c>
      <c r="J427" s="220">
        <v>89.55</v>
      </c>
      <c r="K427" s="223">
        <v>1.0595000000000001</v>
      </c>
      <c r="L427" s="220">
        <v>105.82</v>
      </c>
      <c r="M427" s="223">
        <v>0.28849999999999998</v>
      </c>
      <c r="N427" s="220">
        <v>-0.43</v>
      </c>
      <c r="AC427" s="213"/>
    </row>
    <row r="428" spans="1:29" ht="12.75" customHeight="1" x14ac:dyDescent="0.2">
      <c r="A428" s="6">
        <v>8</v>
      </c>
      <c r="B428" s="9"/>
      <c r="C428" s="223">
        <v>3.61E-2</v>
      </c>
      <c r="D428" s="220">
        <v>83.94</v>
      </c>
      <c r="E428" s="223">
        <v>5.5599999999999997E-2</v>
      </c>
      <c r="F428" s="220">
        <v>-152.99</v>
      </c>
      <c r="G428" s="223">
        <v>0.43919999999999998</v>
      </c>
      <c r="H428" s="220">
        <v>-74.47</v>
      </c>
      <c r="I428" s="223">
        <v>0.52790000000000004</v>
      </c>
      <c r="J428" s="220">
        <v>109.52</v>
      </c>
      <c r="K428" s="223">
        <v>0.56130000000000002</v>
      </c>
      <c r="L428" s="220">
        <v>117.1</v>
      </c>
      <c r="M428" s="223">
        <v>0.13150000000000001</v>
      </c>
      <c r="N428" s="220">
        <v>8.33</v>
      </c>
      <c r="AC428" s="213"/>
    </row>
    <row r="429" spans="1:29" ht="12.75" customHeight="1" x14ac:dyDescent="0.2">
      <c r="A429" s="6">
        <v>7</v>
      </c>
      <c r="B429" s="9"/>
      <c r="C429" s="223">
        <v>4.02E-2</v>
      </c>
      <c r="D429" s="220">
        <v>65.3</v>
      </c>
      <c r="E429" s="223">
        <v>4.9799999999999997E-2</v>
      </c>
      <c r="F429" s="220">
        <v>-137.58000000000001</v>
      </c>
      <c r="G429" s="223">
        <v>0.17929999999999999</v>
      </c>
      <c r="H429" s="220">
        <v>-70.13</v>
      </c>
      <c r="I429" s="223">
        <v>0.38090000000000002</v>
      </c>
      <c r="J429" s="220">
        <v>126.16</v>
      </c>
      <c r="K429" s="223">
        <v>0.3594</v>
      </c>
      <c r="L429" s="220">
        <v>16.36</v>
      </c>
      <c r="M429" s="223">
        <v>7.3499999999999996E-2</v>
      </c>
      <c r="N429" s="220">
        <v>169.96</v>
      </c>
      <c r="AC429" s="213"/>
    </row>
    <row r="430" spans="1:29" ht="12.75" customHeight="1" x14ac:dyDescent="0.2">
      <c r="A430" s="6">
        <v>6</v>
      </c>
      <c r="B430" s="9"/>
      <c r="C430" s="223">
        <v>3.9199999999999999E-2</v>
      </c>
      <c r="D430" s="220">
        <v>-15.39</v>
      </c>
      <c r="E430" s="223">
        <v>5.0799999999999998E-2</v>
      </c>
      <c r="F430" s="220">
        <v>149.77000000000001</v>
      </c>
      <c r="G430" s="223">
        <v>3.4799999999999998E-2</v>
      </c>
      <c r="H430" s="220">
        <v>-166.33</v>
      </c>
      <c r="I430" s="223">
        <v>0.1158</v>
      </c>
      <c r="J430" s="220">
        <v>132.5</v>
      </c>
      <c r="K430" s="223">
        <v>0.1202</v>
      </c>
      <c r="L430" s="220">
        <v>14.4</v>
      </c>
      <c r="M430" s="223">
        <v>1.2999999999999999E-2</v>
      </c>
      <c r="N430" s="220">
        <v>88.49</v>
      </c>
      <c r="AC430" s="213"/>
    </row>
    <row r="431" spans="1:29" ht="12.75" customHeight="1" x14ac:dyDescent="0.2">
      <c r="A431" s="6">
        <v>5</v>
      </c>
      <c r="B431" s="9"/>
      <c r="C431" s="223">
        <v>1.7500000000000002E-2</v>
      </c>
      <c r="D431" s="220">
        <v>128.36000000000001</v>
      </c>
      <c r="E431" s="223">
        <v>2.2599999999999999E-2</v>
      </c>
      <c r="F431" s="220">
        <v>-25.79</v>
      </c>
      <c r="G431" s="223">
        <v>1.1999999999999999E-3</v>
      </c>
      <c r="H431" s="220">
        <v>61.69</v>
      </c>
      <c r="I431" s="223">
        <v>8.5599999999999996E-2</v>
      </c>
      <c r="J431" s="220">
        <v>-52.21</v>
      </c>
      <c r="K431" s="223">
        <v>2.01E-2</v>
      </c>
      <c r="L431" s="220">
        <v>-162.94</v>
      </c>
      <c r="M431" s="223">
        <v>2.3300000000000001E-2</v>
      </c>
      <c r="N431" s="220">
        <v>103.03</v>
      </c>
      <c r="AC431" s="213"/>
    </row>
    <row r="432" spans="1:29" ht="12.75" customHeight="1" x14ac:dyDescent="0.2">
      <c r="A432" s="6">
        <v>4.5</v>
      </c>
      <c r="B432" s="9"/>
      <c r="C432" s="223">
        <v>1.06E-2</v>
      </c>
      <c r="D432" s="220">
        <v>-137.01</v>
      </c>
      <c r="E432" s="223">
        <v>1.8700000000000001E-2</v>
      </c>
      <c r="F432" s="220">
        <v>20.88</v>
      </c>
      <c r="G432" s="223">
        <v>3.5000000000000001E-3</v>
      </c>
      <c r="H432" s="220">
        <v>115.67</v>
      </c>
      <c r="I432" s="223">
        <v>4.2900000000000001E-2</v>
      </c>
      <c r="J432" s="220">
        <v>-33.6</v>
      </c>
      <c r="K432" s="223">
        <v>1.84E-2</v>
      </c>
      <c r="L432" s="220">
        <v>14.12</v>
      </c>
      <c r="M432" s="223">
        <v>2.0299999999999999E-2</v>
      </c>
      <c r="N432" s="220">
        <v>172.7</v>
      </c>
      <c r="AC432" s="213"/>
    </row>
    <row r="433" spans="1:29" ht="12.75" customHeight="1" x14ac:dyDescent="0.2">
      <c r="A433" s="6">
        <v>4</v>
      </c>
      <c r="B433" s="9"/>
      <c r="C433" s="223">
        <v>5.3E-3</v>
      </c>
      <c r="D433" s="220">
        <v>96.09</v>
      </c>
      <c r="E433" s="223">
        <v>8.6E-3</v>
      </c>
      <c r="F433" s="220">
        <v>-70.959999999999994</v>
      </c>
      <c r="G433" s="223">
        <v>1E-3</v>
      </c>
      <c r="H433" s="220">
        <v>111.51</v>
      </c>
      <c r="I433" s="223">
        <v>1.9900000000000001E-2</v>
      </c>
      <c r="J433" s="220">
        <v>-83.78</v>
      </c>
      <c r="K433" s="223">
        <v>9.9000000000000008E-3</v>
      </c>
      <c r="L433" s="220">
        <v>166.22</v>
      </c>
      <c r="M433" s="223">
        <v>1.61E-2</v>
      </c>
      <c r="N433" s="220">
        <v>-55.52</v>
      </c>
      <c r="AC433" s="213"/>
    </row>
    <row r="434" spans="1:29" ht="12.75" customHeight="1" x14ac:dyDescent="0.2">
      <c r="A434" s="6">
        <v>3.5</v>
      </c>
      <c r="B434" s="9"/>
      <c r="C434" s="223">
        <v>6.8999999999999999E-3</v>
      </c>
      <c r="D434" s="220">
        <v>-111.75</v>
      </c>
      <c r="E434" s="223">
        <v>7.3000000000000001E-3</v>
      </c>
      <c r="F434" s="220">
        <v>102.21</v>
      </c>
      <c r="G434" s="223">
        <v>1.1999999999999999E-3</v>
      </c>
      <c r="H434" s="220">
        <v>132.88</v>
      </c>
      <c r="I434" s="223">
        <v>1.2E-2</v>
      </c>
      <c r="J434" s="220">
        <v>66.09</v>
      </c>
      <c r="K434" s="223">
        <v>1.1000000000000001E-3</v>
      </c>
      <c r="L434" s="220">
        <v>126.97</v>
      </c>
      <c r="M434" s="223">
        <v>9.4999999999999998E-3</v>
      </c>
      <c r="N434" s="220">
        <v>-4.47</v>
      </c>
      <c r="AC434" s="213"/>
    </row>
    <row r="435" spans="1:29" ht="12.75" customHeight="1" x14ac:dyDescent="0.2">
      <c r="A435" s="6">
        <v>3</v>
      </c>
      <c r="B435" s="9"/>
      <c r="C435" s="223">
        <v>3.5000000000000001E-3</v>
      </c>
      <c r="D435" s="220">
        <v>-57.65</v>
      </c>
      <c r="E435" s="223">
        <v>2.2000000000000001E-3</v>
      </c>
      <c r="F435" s="220">
        <v>173.05</v>
      </c>
      <c r="G435" s="223">
        <v>5.0000000000000001E-4</v>
      </c>
      <c r="H435" s="220">
        <v>39.44</v>
      </c>
      <c r="I435" s="223">
        <v>5.1999999999999998E-3</v>
      </c>
      <c r="J435" s="220">
        <v>179.82</v>
      </c>
      <c r="K435" s="223">
        <v>1.1000000000000001E-3</v>
      </c>
      <c r="L435" s="220">
        <v>102.33</v>
      </c>
      <c r="M435" s="223">
        <v>1.9E-3</v>
      </c>
      <c r="N435" s="220">
        <v>-46.25</v>
      </c>
      <c r="AC435" s="213"/>
    </row>
    <row r="436" spans="1:29" ht="12.75" customHeight="1" x14ac:dyDescent="0.2">
      <c r="A436" s="6">
        <v>0</v>
      </c>
      <c r="B436" s="9"/>
      <c r="C436" s="223">
        <v>0</v>
      </c>
      <c r="D436" s="220">
        <v>0</v>
      </c>
      <c r="E436" s="223">
        <v>0</v>
      </c>
      <c r="F436" s="220">
        <v>0</v>
      </c>
      <c r="G436" s="223">
        <v>0</v>
      </c>
      <c r="H436" s="220">
        <v>0</v>
      </c>
      <c r="I436" s="223">
        <v>0</v>
      </c>
      <c r="J436" s="220">
        <v>0</v>
      </c>
      <c r="K436" s="223">
        <v>0</v>
      </c>
      <c r="L436" s="220">
        <v>0</v>
      </c>
      <c r="M436" s="223">
        <v>0</v>
      </c>
      <c r="N436" s="220">
        <v>0</v>
      </c>
    </row>
    <row r="437" spans="1:29" ht="12.75" customHeight="1" x14ac:dyDescent="0.2">
      <c r="A437" s="6">
        <v>0</v>
      </c>
      <c r="B437" s="9"/>
      <c r="C437" s="223">
        <v>0</v>
      </c>
      <c r="D437" s="220">
        <v>0</v>
      </c>
      <c r="E437" s="223">
        <v>0</v>
      </c>
      <c r="F437" s="220">
        <v>0</v>
      </c>
      <c r="G437" s="223">
        <v>0</v>
      </c>
      <c r="H437" s="220">
        <v>0</v>
      </c>
      <c r="I437" s="223">
        <v>0</v>
      </c>
      <c r="J437" s="220">
        <v>0</v>
      </c>
      <c r="K437" s="223">
        <v>0</v>
      </c>
      <c r="L437" s="220">
        <v>0</v>
      </c>
      <c r="M437" s="223">
        <v>0</v>
      </c>
      <c r="N437" s="220">
        <v>0</v>
      </c>
    </row>
    <row r="438" spans="1:29" ht="12.75" customHeight="1" x14ac:dyDescent="0.2">
      <c r="A438" s="6">
        <v>0</v>
      </c>
      <c r="B438" s="9"/>
      <c r="C438" s="223">
        <v>0</v>
      </c>
      <c r="D438" s="220">
        <v>0</v>
      </c>
      <c r="E438" s="223">
        <v>0</v>
      </c>
      <c r="F438" s="220">
        <v>0</v>
      </c>
      <c r="G438" s="223">
        <v>0</v>
      </c>
      <c r="H438" s="220">
        <v>0</v>
      </c>
      <c r="I438" s="223">
        <v>0</v>
      </c>
      <c r="J438" s="220">
        <v>0</v>
      </c>
      <c r="K438" s="223">
        <v>0</v>
      </c>
      <c r="L438" s="220">
        <v>0</v>
      </c>
      <c r="M438" s="223">
        <v>0</v>
      </c>
      <c r="N438" s="220">
        <v>0</v>
      </c>
    </row>
    <row r="439" spans="1:29" ht="12.75" customHeight="1" x14ac:dyDescent="0.2">
      <c r="A439" s="6">
        <v>0</v>
      </c>
      <c r="B439" s="9"/>
      <c r="C439" s="223">
        <v>0</v>
      </c>
      <c r="D439" s="220">
        <v>0</v>
      </c>
      <c r="E439" s="223">
        <v>0</v>
      </c>
      <c r="F439" s="220">
        <v>0</v>
      </c>
      <c r="G439" s="223">
        <v>0</v>
      </c>
      <c r="H439" s="220">
        <v>0</v>
      </c>
      <c r="I439" s="223">
        <v>0</v>
      </c>
      <c r="J439" s="220">
        <v>0</v>
      </c>
      <c r="K439" s="223">
        <v>0</v>
      </c>
      <c r="L439" s="220">
        <v>0</v>
      </c>
      <c r="M439" s="223">
        <v>0</v>
      </c>
      <c r="N439" s="220">
        <v>0</v>
      </c>
    </row>
    <row r="440" spans="1:29" ht="12.75" customHeight="1" thickBot="1" x14ac:dyDescent="0.25">
      <c r="A440" s="10">
        <v>0</v>
      </c>
      <c r="B440" s="11"/>
      <c r="C440" s="12">
        <v>0</v>
      </c>
      <c r="D440" s="13">
        <v>0</v>
      </c>
      <c r="E440" s="12">
        <v>0</v>
      </c>
      <c r="F440" s="13">
        <v>0</v>
      </c>
      <c r="G440" s="12">
        <v>0</v>
      </c>
      <c r="H440" s="13">
        <v>0</v>
      </c>
      <c r="I440" s="12">
        <v>0</v>
      </c>
      <c r="J440" s="13">
        <v>0</v>
      </c>
      <c r="K440" s="12">
        <v>0</v>
      </c>
      <c r="L440" s="13">
        <v>0</v>
      </c>
      <c r="M440" s="12">
        <v>0</v>
      </c>
      <c r="N440" s="13">
        <v>0</v>
      </c>
    </row>
    <row r="441" spans="1:29" ht="20.100000000000001" customHeight="1" x14ac:dyDescent="0.25">
      <c r="A441" s="395" t="str">
        <f>A401</f>
        <v>Paragon DPDS3</v>
      </c>
      <c r="B441" s="395"/>
      <c r="C441" s="395"/>
      <c r="D441" s="395"/>
      <c r="E441" s="395"/>
      <c r="F441" s="395"/>
      <c r="G441" s="395"/>
      <c r="H441" s="395"/>
      <c r="I441" s="395"/>
      <c r="J441" s="395"/>
      <c r="K441" s="395"/>
      <c r="L441" s="395"/>
      <c r="M441" s="395"/>
      <c r="N441" s="395"/>
    </row>
    <row r="442" spans="1:29" ht="20.100000000000001" customHeight="1" thickBot="1" x14ac:dyDescent="0.3">
      <c r="A442" s="396" t="s">
        <v>5</v>
      </c>
      <c r="B442" s="396"/>
      <c r="C442" s="396"/>
      <c r="D442" s="396"/>
      <c r="E442" s="396"/>
      <c r="F442" s="396"/>
      <c r="G442" s="396"/>
      <c r="H442" s="396"/>
      <c r="I442" s="396"/>
      <c r="J442" s="396"/>
      <c r="K442" s="396"/>
      <c r="L442" s="396"/>
      <c r="M442" s="396"/>
      <c r="N442" s="396"/>
    </row>
    <row r="443" spans="1:29" ht="12.75" customHeight="1" x14ac:dyDescent="0.2">
      <c r="A443" s="397" t="s">
        <v>12</v>
      </c>
      <c r="B443" s="399" t="s">
        <v>13</v>
      </c>
      <c r="C443" s="401" t="s">
        <v>6</v>
      </c>
      <c r="D443" s="402"/>
      <c r="E443" s="401" t="s">
        <v>7</v>
      </c>
      <c r="F443" s="402"/>
      <c r="G443" s="401" t="s">
        <v>8</v>
      </c>
      <c r="H443" s="402"/>
      <c r="I443" s="401" t="s">
        <v>9</v>
      </c>
      <c r="J443" s="402"/>
      <c r="K443" s="401" t="s">
        <v>10</v>
      </c>
      <c r="L443" s="402"/>
      <c r="M443" s="401" t="s">
        <v>11</v>
      </c>
      <c r="N443" s="402"/>
    </row>
    <row r="444" spans="1:29" ht="12.75" customHeight="1" x14ac:dyDescent="0.2">
      <c r="A444" s="398"/>
      <c r="B444" s="400"/>
      <c r="C444" s="222" t="s">
        <v>0</v>
      </c>
      <c r="D444" s="217" t="s">
        <v>1</v>
      </c>
      <c r="E444" s="222" t="s">
        <v>0</v>
      </c>
      <c r="F444" s="217" t="s">
        <v>1</v>
      </c>
      <c r="G444" s="222" t="s">
        <v>0</v>
      </c>
      <c r="H444" s="217" t="s">
        <v>1</v>
      </c>
      <c r="I444" s="222" t="s">
        <v>0</v>
      </c>
      <c r="J444" s="217" t="s">
        <v>1</v>
      </c>
      <c r="K444" s="222" t="s">
        <v>0</v>
      </c>
      <c r="L444" s="217" t="s">
        <v>1</v>
      </c>
      <c r="M444" s="222" t="s">
        <v>0</v>
      </c>
      <c r="N444" s="217" t="s">
        <v>1</v>
      </c>
    </row>
    <row r="445" spans="1:29" ht="12.75" customHeight="1" thickBot="1" x14ac:dyDescent="0.25">
      <c r="A445" s="2" t="s">
        <v>14</v>
      </c>
      <c r="B445" s="3" t="s">
        <v>15</v>
      </c>
      <c r="C445" s="2" t="s">
        <v>19</v>
      </c>
      <c r="D445" s="3" t="s">
        <v>15</v>
      </c>
      <c r="E445" s="2" t="s">
        <v>19</v>
      </c>
      <c r="F445" s="3" t="s">
        <v>15</v>
      </c>
      <c r="G445" s="2" t="s">
        <v>19</v>
      </c>
      <c r="H445" s="3" t="s">
        <v>15</v>
      </c>
      <c r="I445" s="2" t="s">
        <v>20</v>
      </c>
      <c r="J445" s="3" t="s">
        <v>15</v>
      </c>
      <c r="K445" s="2" t="s">
        <v>20</v>
      </c>
      <c r="L445" s="3" t="s">
        <v>15</v>
      </c>
      <c r="M445" s="2" t="s">
        <v>20</v>
      </c>
      <c r="N445" s="3" t="s">
        <v>15</v>
      </c>
    </row>
    <row r="446" spans="1:29" ht="12.75" customHeight="1" x14ac:dyDescent="0.2">
      <c r="A446" s="4">
        <v>30</v>
      </c>
      <c r="B446" s="5">
        <v>165</v>
      </c>
      <c r="C446" s="223">
        <v>0.93459999999999999</v>
      </c>
      <c r="D446" s="220">
        <v>-89.94</v>
      </c>
      <c r="E446" s="223">
        <v>0.248</v>
      </c>
      <c r="F446" s="220">
        <v>89.84</v>
      </c>
      <c r="G446" s="223">
        <v>0.98650000000000004</v>
      </c>
      <c r="H446" s="220">
        <v>-0.01</v>
      </c>
      <c r="I446" s="223">
        <v>9.4399999999999998E-2</v>
      </c>
      <c r="J446" s="220">
        <v>103.07</v>
      </c>
      <c r="K446" s="223">
        <v>0.24740000000000001</v>
      </c>
      <c r="L446" s="220">
        <v>90.79</v>
      </c>
      <c r="M446" s="223">
        <v>5.4100000000000002E-2</v>
      </c>
      <c r="N446" s="220">
        <v>-0.73</v>
      </c>
      <c r="AC446" s="213"/>
    </row>
    <row r="447" spans="1:29" ht="12.75" customHeight="1" x14ac:dyDescent="0.2">
      <c r="A447" s="6">
        <v>28</v>
      </c>
      <c r="B447" s="7"/>
      <c r="C447" s="223">
        <v>0.92789999999999995</v>
      </c>
      <c r="D447" s="220">
        <v>-89.93</v>
      </c>
      <c r="E447" s="223">
        <v>0.2457</v>
      </c>
      <c r="F447" s="220">
        <v>89.79</v>
      </c>
      <c r="G447" s="223">
        <v>0.98229999999999995</v>
      </c>
      <c r="H447" s="220">
        <v>-0.02</v>
      </c>
      <c r="I447" s="223">
        <v>0.11749999999999999</v>
      </c>
      <c r="J447" s="220">
        <v>105.66</v>
      </c>
      <c r="K447" s="223">
        <v>0.28360000000000002</v>
      </c>
      <c r="L447" s="220">
        <v>90.91</v>
      </c>
      <c r="M447" s="223">
        <v>6.1800000000000001E-2</v>
      </c>
      <c r="N447" s="220">
        <v>-0.81</v>
      </c>
      <c r="AC447" s="213"/>
    </row>
    <row r="448" spans="1:29" ht="12.75" customHeight="1" x14ac:dyDescent="0.2">
      <c r="A448" s="6">
        <v>26</v>
      </c>
      <c r="B448" s="7"/>
      <c r="C448" s="223">
        <v>0.91900000000000004</v>
      </c>
      <c r="D448" s="220">
        <v>-89.92</v>
      </c>
      <c r="E448" s="223">
        <v>0.24260000000000001</v>
      </c>
      <c r="F448" s="220">
        <v>89.7</v>
      </c>
      <c r="G448" s="223">
        <v>0.97619999999999996</v>
      </c>
      <c r="H448" s="220">
        <v>-0.02</v>
      </c>
      <c r="I448" s="223">
        <v>0.15329999999999999</v>
      </c>
      <c r="J448" s="220">
        <v>109.63</v>
      </c>
      <c r="K448" s="223">
        <v>0.3281</v>
      </c>
      <c r="L448" s="220">
        <v>91.06</v>
      </c>
      <c r="M448" s="223">
        <v>7.1199999999999999E-2</v>
      </c>
      <c r="N448" s="220">
        <v>-0.91</v>
      </c>
      <c r="AC448" s="213"/>
    </row>
    <row r="449" spans="1:29" ht="12.75" customHeight="1" x14ac:dyDescent="0.2">
      <c r="A449" s="6">
        <v>24</v>
      </c>
      <c r="B449" s="7"/>
      <c r="C449" s="223">
        <v>0.90669999999999995</v>
      </c>
      <c r="D449" s="220">
        <v>-89.9</v>
      </c>
      <c r="E449" s="223">
        <v>0.2382</v>
      </c>
      <c r="F449" s="220">
        <v>89.51</v>
      </c>
      <c r="G449" s="223">
        <v>0.96719999999999995</v>
      </c>
      <c r="H449" s="220">
        <v>-0.03</v>
      </c>
      <c r="I449" s="223">
        <v>0.21640000000000001</v>
      </c>
      <c r="J449" s="220">
        <v>116.58</v>
      </c>
      <c r="K449" s="223">
        <v>0.38369999999999999</v>
      </c>
      <c r="L449" s="220">
        <v>91.25</v>
      </c>
      <c r="M449" s="223">
        <v>8.2900000000000001E-2</v>
      </c>
      <c r="N449" s="220">
        <v>-1.07</v>
      </c>
      <c r="AC449" s="213"/>
    </row>
    <row r="450" spans="1:29" ht="12.75" customHeight="1" x14ac:dyDescent="0.2">
      <c r="A450" s="6">
        <v>23</v>
      </c>
      <c r="B450" s="7"/>
      <c r="C450" s="223">
        <v>0.89880000000000004</v>
      </c>
      <c r="D450" s="220">
        <v>-89.89</v>
      </c>
      <c r="E450" s="223">
        <v>0.2354</v>
      </c>
      <c r="F450" s="220">
        <v>89.3</v>
      </c>
      <c r="G450" s="223">
        <v>0.96109999999999995</v>
      </c>
      <c r="H450" s="220">
        <v>-0.04</v>
      </c>
      <c r="I450" s="223">
        <v>0.26989999999999997</v>
      </c>
      <c r="J450" s="220">
        <v>122.53</v>
      </c>
      <c r="K450" s="223">
        <v>0.41670000000000001</v>
      </c>
      <c r="L450" s="220">
        <v>91.36</v>
      </c>
      <c r="M450" s="223">
        <v>0.09</v>
      </c>
      <c r="N450" s="220">
        <v>-1.17</v>
      </c>
      <c r="AC450" s="213"/>
    </row>
    <row r="451" spans="1:29" ht="12.75" customHeight="1" x14ac:dyDescent="0.2">
      <c r="A451" s="6">
        <v>22</v>
      </c>
      <c r="B451" s="7"/>
      <c r="C451" s="223">
        <v>0.88929999999999998</v>
      </c>
      <c r="D451" s="220">
        <v>-89.88</v>
      </c>
      <c r="E451" s="223">
        <v>0.2321</v>
      </c>
      <c r="F451" s="220">
        <v>88.92</v>
      </c>
      <c r="G451" s="223">
        <v>0.95350000000000001</v>
      </c>
      <c r="H451" s="220">
        <v>-0.05</v>
      </c>
      <c r="I451" s="223">
        <v>0.3533</v>
      </c>
      <c r="J451" s="220">
        <v>132.22</v>
      </c>
      <c r="K451" s="223">
        <v>0.45400000000000001</v>
      </c>
      <c r="L451" s="220">
        <v>91.5</v>
      </c>
      <c r="M451" s="223">
        <v>9.8100000000000007E-2</v>
      </c>
      <c r="N451" s="220">
        <v>-1.25</v>
      </c>
      <c r="AC451" s="213"/>
    </row>
    <row r="452" spans="1:29" ht="12.75" customHeight="1" x14ac:dyDescent="0.2">
      <c r="A452" s="6">
        <v>21</v>
      </c>
      <c r="B452" s="7"/>
      <c r="C452" s="223">
        <v>0.87780000000000002</v>
      </c>
      <c r="D452" s="220">
        <v>-89.86</v>
      </c>
      <c r="E452" s="223">
        <v>0.2291</v>
      </c>
      <c r="F452" s="220">
        <v>88.16</v>
      </c>
      <c r="G452" s="223">
        <v>0.94399999999999995</v>
      </c>
      <c r="H452" s="220">
        <v>-7.0000000000000007E-2</v>
      </c>
      <c r="I452" s="223">
        <v>0.48459999999999998</v>
      </c>
      <c r="J452" s="220">
        <v>150.05000000000001</v>
      </c>
      <c r="K452" s="223">
        <v>0.49619999999999997</v>
      </c>
      <c r="L452" s="220">
        <v>91.65</v>
      </c>
      <c r="M452" s="223">
        <v>0.1076</v>
      </c>
      <c r="N452" s="220">
        <v>-1.1100000000000001</v>
      </c>
      <c r="AC452" s="213"/>
    </row>
    <row r="453" spans="1:29" ht="12.75" customHeight="1" x14ac:dyDescent="0.2">
      <c r="A453" s="6">
        <v>20.5</v>
      </c>
      <c r="B453" s="7"/>
      <c r="C453" s="223">
        <v>0.87109999999999999</v>
      </c>
      <c r="D453" s="220">
        <v>-89.85</v>
      </c>
      <c r="E453" s="223">
        <v>0.2286</v>
      </c>
      <c r="F453" s="220">
        <v>87.65</v>
      </c>
      <c r="G453" s="223">
        <v>0.93830000000000002</v>
      </c>
      <c r="H453" s="220">
        <v>-7.0000000000000007E-2</v>
      </c>
      <c r="I453" s="223">
        <v>0.5615</v>
      </c>
      <c r="J453" s="220">
        <v>164.57</v>
      </c>
      <c r="K453" s="223">
        <v>0.51929999999999998</v>
      </c>
      <c r="L453" s="220">
        <v>91.74</v>
      </c>
      <c r="M453" s="223">
        <v>0.113</v>
      </c>
      <c r="N453" s="220">
        <v>-0.75</v>
      </c>
      <c r="AC453" s="213"/>
    </row>
    <row r="454" spans="1:29" ht="12.75" customHeight="1" x14ac:dyDescent="0.2">
      <c r="A454" s="6">
        <v>20</v>
      </c>
      <c r="B454" s="7"/>
      <c r="C454" s="223">
        <v>0.86370000000000002</v>
      </c>
      <c r="D454" s="220">
        <v>-89.84</v>
      </c>
      <c r="E454" s="223">
        <v>0.22950000000000001</v>
      </c>
      <c r="F454" s="220">
        <v>87.35</v>
      </c>
      <c r="G454" s="223">
        <v>0.93189999999999995</v>
      </c>
      <c r="H454" s="220">
        <v>-0.08</v>
      </c>
      <c r="I454" s="223">
        <v>0.61129999999999995</v>
      </c>
      <c r="J454" s="220">
        <v>-176.35</v>
      </c>
      <c r="K454" s="223">
        <v>0.54400000000000004</v>
      </c>
      <c r="L454" s="220">
        <v>91.83</v>
      </c>
      <c r="M454" s="223">
        <v>0.1182</v>
      </c>
      <c r="N454" s="220">
        <v>-0.1</v>
      </c>
      <c r="AC454" s="213"/>
    </row>
    <row r="455" spans="1:29" ht="12.75" customHeight="1" x14ac:dyDescent="0.2">
      <c r="A455" s="6">
        <v>19.5</v>
      </c>
      <c r="B455" s="7"/>
      <c r="C455" s="223">
        <v>0.85560000000000003</v>
      </c>
      <c r="D455" s="220">
        <v>-89.83</v>
      </c>
      <c r="E455" s="223">
        <v>0.23050000000000001</v>
      </c>
      <c r="F455" s="220">
        <v>87.62</v>
      </c>
      <c r="G455" s="223">
        <v>0.92469999999999997</v>
      </c>
      <c r="H455" s="220">
        <v>-0.1</v>
      </c>
      <c r="I455" s="223">
        <v>0.59260000000000002</v>
      </c>
      <c r="J455" s="220">
        <v>-155.08000000000001</v>
      </c>
      <c r="K455" s="223">
        <v>0.57030000000000003</v>
      </c>
      <c r="L455" s="220">
        <v>91.93</v>
      </c>
      <c r="M455" s="223">
        <v>0.12280000000000001</v>
      </c>
      <c r="N455" s="220">
        <v>0.56999999999999995</v>
      </c>
      <c r="AC455" s="213"/>
    </row>
    <row r="456" spans="1:29" ht="12.75" customHeight="1" x14ac:dyDescent="0.2">
      <c r="A456" s="6">
        <v>19</v>
      </c>
      <c r="B456" s="7"/>
      <c r="C456" s="223">
        <v>0.84650000000000003</v>
      </c>
      <c r="D456" s="220">
        <v>-89.82</v>
      </c>
      <c r="E456" s="223">
        <v>0.22950000000000001</v>
      </c>
      <c r="F456" s="220">
        <v>88.25</v>
      </c>
      <c r="G456" s="223">
        <v>0.91639999999999999</v>
      </c>
      <c r="H456" s="220">
        <v>-0.11</v>
      </c>
      <c r="I456" s="223">
        <v>0.51259999999999994</v>
      </c>
      <c r="J456" s="220">
        <v>-136.03</v>
      </c>
      <c r="K456" s="223">
        <v>0.59840000000000004</v>
      </c>
      <c r="L456" s="220">
        <v>92.03</v>
      </c>
      <c r="M456" s="223">
        <v>0.12690000000000001</v>
      </c>
      <c r="N456" s="220">
        <v>0.86</v>
      </c>
      <c r="AC456" s="213"/>
    </row>
    <row r="457" spans="1:29" ht="12.75" customHeight="1" x14ac:dyDescent="0.2">
      <c r="A457" s="6">
        <v>18.5</v>
      </c>
      <c r="B457" s="7"/>
      <c r="C457" s="223">
        <v>0.83630000000000004</v>
      </c>
      <c r="D457" s="220">
        <v>-89.8</v>
      </c>
      <c r="E457" s="223">
        <v>0.2266</v>
      </c>
      <c r="F457" s="220">
        <v>88.82</v>
      </c>
      <c r="G457" s="223">
        <v>0.90700000000000003</v>
      </c>
      <c r="H457" s="220">
        <v>-0.13</v>
      </c>
      <c r="I457" s="223">
        <v>0.41760000000000003</v>
      </c>
      <c r="J457" s="220">
        <v>-121.27</v>
      </c>
      <c r="K457" s="223">
        <v>0.62839999999999996</v>
      </c>
      <c r="L457" s="220">
        <v>92.15</v>
      </c>
      <c r="M457" s="223">
        <v>0.13139999999999999</v>
      </c>
      <c r="N457" s="220">
        <v>0.81</v>
      </c>
      <c r="AC457" s="213"/>
    </row>
    <row r="458" spans="1:29" ht="12.75" customHeight="1" x14ac:dyDescent="0.2">
      <c r="A458" s="6">
        <v>18</v>
      </c>
      <c r="B458" s="7"/>
      <c r="C458" s="223">
        <v>0.82499999999999996</v>
      </c>
      <c r="D458" s="220">
        <v>-89.79</v>
      </c>
      <c r="E458" s="223">
        <v>0.22270000000000001</v>
      </c>
      <c r="F458" s="220">
        <v>89.2</v>
      </c>
      <c r="G458" s="223">
        <v>0.89629999999999999</v>
      </c>
      <c r="H458" s="220">
        <v>-0.15</v>
      </c>
      <c r="I458" s="223">
        <v>0.33489999999999998</v>
      </c>
      <c r="J458" s="220">
        <v>-110.25</v>
      </c>
      <c r="K458" s="223">
        <v>0.66039999999999999</v>
      </c>
      <c r="L458" s="220">
        <v>92.27</v>
      </c>
      <c r="M458" s="223">
        <v>0.13650000000000001</v>
      </c>
      <c r="N458" s="220">
        <v>0.62</v>
      </c>
      <c r="AC458" s="213"/>
    </row>
    <row r="459" spans="1:29" ht="12.75" customHeight="1" x14ac:dyDescent="0.2">
      <c r="A459" s="6">
        <v>17</v>
      </c>
      <c r="B459" s="8"/>
      <c r="C459" s="223">
        <v>0.79800000000000004</v>
      </c>
      <c r="D459" s="220">
        <v>-89.74</v>
      </c>
      <c r="E459" s="223">
        <v>0.21340000000000001</v>
      </c>
      <c r="F459" s="220">
        <v>89.55</v>
      </c>
      <c r="G459" s="223">
        <v>0.86960000000000004</v>
      </c>
      <c r="H459" s="220">
        <v>-0.22</v>
      </c>
      <c r="I459" s="223">
        <v>0.2177</v>
      </c>
      <c r="J459" s="220">
        <v>-94.47</v>
      </c>
      <c r="K459" s="223">
        <v>0.73089999999999999</v>
      </c>
      <c r="L459" s="220">
        <v>92.58</v>
      </c>
      <c r="M459" s="223">
        <v>0.1484</v>
      </c>
      <c r="N459" s="220">
        <v>0.24</v>
      </c>
      <c r="AC459" s="213"/>
    </row>
    <row r="460" spans="1:29" ht="12.75" customHeight="1" x14ac:dyDescent="0.2">
      <c r="A460" s="6">
        <v>16</v>
      </c>
      <c r="B460" s="8"/>
      <c r="C460" s="223">
        <v>0.76370000000000005</v>
      </c>
      <c r="D460" s="220">
        <v>-89.66</v>
      </c>
      <c r="E460" s="223">
        <v>0.20250000000000001</v>
      </c>
      <c r="F460" s="220">
        <v>89.64</v>
      </c>
      <c r="G460" s="223">
        <v>0.83389999999999997</v>
      </c>
      <c r="H460" s="220">
        <v>-0.35</v>
      </c>
      <c r="I460" s="223">
        <v>0.14330000000000001</v>
      </c>
      <c r="J460" s="220">
        <v>-81.239999999999995</v>
      </c>
      <c r="K460" s="223">
        <v>0.81079999999999997</v>
      </c>
      <c r="L460" s="220">
        <v>92.96</v>
      </c>
      <c r="M460" s="223">
        <v>0.16159999999999999</v>
      </c>
      <c r="N460" s="220">
        <v>-0.06</v>
      </c>
      <c r="AC460" s="213"/>
    </row>
    <row r="461" spans="1:29" ht="12.75" customHeight="1" x14ac:dyDescent="0.2">
      <c r="A461" s="6">
        <v>15</v>
      </c>
      <c r="B461" s="8"/>
      <c r="C461" s="223">
        <v>0.71970000000000001</v>
      </c>
      <c r="D461" s="220">
        <v>-89.53</v>
      </c>
      <c r="E461" s="223">
        <v>0.18920000000000001</v>
      </c>
      <c r="F461" s="220">
        <v>89.64</v>
      </c>
      <c r="G461" s="223">
        <v>0.78539999999999999</v>
      </c>
      <c r="H461" s="220">
        <v>-0.61</v>
      </c>
      <c r="I461" s="223">
        <v>9.2399999999999996E-2</v>
      </c>
      <c r="J461" s="220">
        <v>-64.83</v>
      </c>
      <c r="K461" s="223">
        <v>0.90010000000000001</v>
      </c>
      <c r="L461" s="220">
        <v>93.47</v>
      </c>
      <c r="M461" s="223">
        <v>0.1757</v>
      </c>
      <c r="N461" s="220">
        <v>-0.28000000000000003</v>
      </c>
      <c r="AC461" s="213"/>
    </row>
    <row r="462" spans="1:29" ht="12.75" customHeight="1" x14ac:dyDescent="0.2">
      <c r="A462" s="6">
        <v>14</v>
      </c>
      <c r="B462" s="8"/>
      <c r="C462" s="223">
        <v>0.66239999999999999</v>
      </c>
      <c r="D462" s="220">
        <v>-89.28</v>
      </c>
      <c r="E462" s="223">
        <v>0.17269999999999999</v>
      </c>
      <c r="F462" s="220">
        <v>89.58</v>
      </c>
      <c r="G462" s="223">
        <v>0.71879999999999999</v>
      </c>
      <c r="H462" s="220">
        <v>-1.18</v>
      </c>
      <c r="I462" s="223">
        <v>5.96E-2</v>
      </c>
      <c r="J462" s="220">
        <v>-35.96</v>
      </c>
      <c r="K462" s="223">
        <v>0.99739999999999995</v>
      </c>
      <c r="L462" s="220">
        <v>94.18</v>
      </c>
      <c r="M462" s="223">
        <v>0.1895</v>
      </c>
      <c r="N462" s="220">
        <v>-0.48</v>
      </c>
      <c r="AC462" s="213"/>
    </row>
    <row r="463" spans="1:29" ht="12.75" customHeight="1" x14ac:dyDescent="0.2">
      <c r="A463" s="6">
        <v>13</v>
      </c>
      <c r="B463" s="8"/>
      <c r="C463" s="223">
        <v>0.58699999999999997</v>
      </c>
      <c r="D463" s="220">
        <v>-88.79</v>
      </c>
      <c r="E463" s="223">
        <v>0.152</v>
      </c>
      <c r="F463" s="220">
        <v>89.54</v>
      </c>
      <c r="G463" s="223">
        <v>0.62729999999999997</v>
      </c>
      <c r="H463" s="220">
        <v>-2.56</v>
      </c>
      <c r="I463" s="223">
        <v>5.4100000000000002E-2</v>
      </c>
      <c r="J463" s="220">
        <v>11</v>
      </c>
      <c r="K463" s="223">
        <v>1.0969</v>
      </c>
      <c r="L463" s="220">
        <v>95.24</v>
      </c>
      <c r="M463" s="223">
        <v>0.2014</v>
      </c>
      <c r="N463" s="220">
        <v>-0.67</v>
      </c>
      <c r="AC463" s="213"/>
    </row>
    <row r="464" spans="1:29" ht="12.75" customHeight="1" x14ac:dyDescent="0.2">
      <c r="A464" s="6">
        <v>12</v>
      </c>
      <c r="B464" s="8"/>
      <c r="C464" s="223">
        <v>0.48659999999999998</v>
      </c>
      <c r="D464" s="220">
        <v>-87.86</v>
      </c>
      <c r="E464" s="223">
        <v>0.12620000000000001</v>
      </c>
      <c r="F464" s="220">
        <v>89.72</v>
      </c>
      <c r="G464" s="223">
        <v>0.50439999999999996</v>
      </c>
      <c r="H464" s="220">
        <v>-6.08</v>
      </c>
      <c r="I464" s="223">
        <v>7.9299999999999995E-2</v>
      </c>
      <c r="J464" s="220">
        <v>46.11</v>
      </c>
      <c r="K464" s="223">
        <v>1.1820999999999999</v>
      </c>
      <c r="L464" s="220">
        <v>96.91</v>
      </c>
      <c r="M464" s="223">
        <v>0.2079</v>
      </c>
      <c r="N464" s="220">
        <v>-0.88</v>
      </c>
      <c r="AC464" s="213"/>
    </row>
    <row r="465" spans="1:29" ht="12.75" customHeight="1" x14ac:dyDescent="0.2">
      <c r="A465" s="6">
        <v>11</v>
      </c>
      <c r="B465" s="8"/>
      <c r="C465" s="223">
        <v>0.35370000000000001</v>
      </c>
      <c r="D465" s="220">
        <v>-86.39</v>
      </c>
      <c r="E465" s="223">
        <v>9.4799999999999995E-2</v>
      </c>
      <c r="F465" s="220">
        <v>91.05</v>
      </c>
      <c r="G465" s="223">
        <v>0.34910000000000002</v>
      </c>
      <c r="H465" s="220">
        <v>-16.36</v>
      </c>
      <c r="I465" s="223">
        <v>0.1225</v>
      </c>
      <c r="J465" s="220">
        <v>64.459999999999994</v>
      </c>
      <c r="K465" s="223">
        <v>1.2103999999999999</v>
      </c>
      <c r="L465" s="220">
        <v>99.47</v>
      </c>
      <c r="M465" s="223">
        <v>0.2034</v>
      </c>
      <c r="N465" s="220">
        <v>-1.1100000000000001</v>
      </c>
      <c r="AC465" s="213"/>
    </row>
    <row r="466" spans="1:29" ht="12.75" customHeight="1" x14ac:dyDescent="0.2">
      <c r="A466" s="6">
        <v>10</v>
      </c>
      <c r="B466" s="8"/>
      <c r="C466" s="223">
        <v>0.19089999999999999</v>
      </c>
      <c r="D466" s="220">
        <v>-85.61</v>
      </c>
      <c r="E466" s="223">
        <v>5.8400000000000001E-2</v>
      </c>
      <c r="F466" s="220">
        <v>97.92</v>
      </c>
      <c r="G466" s="223">
        <v>0.20749999999999999</v>
      </c>
      <c r="H466" s="220">
        <v>-57.28</v>
      </c>
      <c r="I466" s="223">
        <v>0.18079999999999999</v>
      </c>
      <c r="J466" s="220">
        <v>77.23</v>
      </c>
      <c r="K466" s="223">
        <v>1.0961000000000001</v>
      </c>
      <c r="L466" s="220">
        <v>102.19</v>
      </c>
      <c r="M466" s="223">
        <v>0.17910000000000001</v>
      </c>
      <c r="N466" s="220">
        <v>-1.25</v>
      </c>
      <c r="AC466" s="213"/>
    </row>
    <row r="467" spans="1:29" ht="12.75" customHeight="1" x14ac:dyDescent="0.2">
      <c r="A467" s="6">
        <v>9</v>
      </c>
      <c r="B467" s="8"/>
      <c r="C467" s="223">
        <v>3.7600000000000001E-2</v>
      </c>
      <c r="D467" s="220">
        <v>-99.48</v>
      </c>
      <c r="E467" s="223">
        <v>2.5999999999999999E-2</v>
      </c>
      <c r="F467" s="220">
        <v>140.29</v>
      </c>
      <c r="G467" s="223">
        <v>0.43230000000000002</v>
      </c>
      <c r="H467" s="220">
        <v>-111.78</v>
      </c>
      <c r="I467" s="223">
        <v>0.25030000000000002</v>
      </c>
      <c r="J467" s="220">
        <v>91.24</v>
      </c>
      <c r="K467" s="223">
        <v>0.77880000000000005</v>
      </c>
      <c r="L467" s="220">
        <v>98.9</v>
      </c>
      <c r="M467" s="223">
        <v>0.1244</v>
      </c>
      <c r="N467" s="220">
        <v>0.09</v>
      </c>
      <c r="AC467" s="213"/>
    </row>
    <row r="468" spans="1:29" ht="12.75" customHeight="1" x14ac:dyDescent="0.2">
      <c r="A468" s="6">
        <v>8</v>
      </c>
      <c r="B468" s="9"/>
      <c r="C468" s="223">
        <v>5.5399999999999998E-2</v>
      </c>
      <c r="D468" s="220">
        <v>103.36</v>
      </c>
      <c r="E468" s="223">
        <v>3.2599999999999997E-2</v>
      </c>
      <c r="F468" s="220">
        <v>-144.44999999999999</v>
      </c>
      <c r="G468" s="223">
        <v>0.52610000000000001</v>
      </c>
      <c r="H468" s="220">
        <v>-79.180000000000007</v>
      </c>
      <c r="I468" s="223">
        <v>0.28120000000000001</v>
      </c>
      <c r="J468" s="220">
        <v>109.77</v>
      </c>
      <c r="K468" s="223">
        <v>0.30199999999999999</v>
      </c>
      <c r="L468" s="220">
        <v>65.489999999999995</v>
      </c>
      <c r="M468" s="223">
        <v>3.6299999999999999E-2</v>
      </c>
      <c r="N468" s="220">
        <v>22.72</v>
      </c>
      <c r="AC468" s="213"/>
    </row>
    <row r="469" spans="1:29" ht="12.75" customHeight="1" x14ac:dyDescent="0.2">
      <c r="A469" s="6">
        <v>7</v>
      </c>
      <c r="B469" s="9"/>
      <c r="C469" s="223">
        <v>4.1300000000000003E-2</v>
      </c>
      <c r="D469" s="220">
        <v>40.729999999999997</v>
      </c>
      <c r="E469" s="223">
        <v>1.8599999999999998E-2</v>
      </c>
      <c r="F469" s="220">
        <v>-163.15</v>
      </c>
      <c r="G469" s="223">
        <v>0.11559999999999999</v>
      </c>
      <c r="H469" s="220">
        <v>-73.430000000000007</v>
      </c>
      <c r="I469" s="223">
        <v>0.18440000000000001</v>
      </c>
      <c r="J469" s="220">
        <v>123.2</v>
      </c>
      <c r="K469" s="223">
        <v>0.46139999999999998</v>
      </c>
      <c r="L469" s="220">
        <v>21.66</v>
      </c>
      <c r="M469" s="223">
        <v>5.0799999999999998E-2</v>
      </c>
      <c r="N469" s="220">
        <v>170.91</v>
      </c>
      <c r="AC469" s="213"/>
    </row>
    <row r="470" spans="1:29" ht="12.75" customHeight="1" x14ac:dyDescent="0.2">
      <c r="A470" s="6">
        <v>6</v>
      </c>
      <c r="B470" s="9"/>
      <c r="C470" s="223">
        <v>2.3E-2</v>
      </c>
      <c r="D470" s="220">
        <v>11.91</v>
      </c>
      <c r="E470" s="223">
        <v>2.9899999999999999E-2</v>
      </c>
      <c r="F470" s="220">
        <v>154.13</v>
      </c>
      <c r="G470" s="223">
        <v>3.6600000000000001E-2</v>
      </c>
      <c r="H470" s="220">
        <v>168.82</v>
      </c>
      <c r="I470" s="223">
        <v>4.3799999999999999E-2</v>
      </c>
      <c r="J470" s="220">
        <v>156.93</v>
      </c>
      <c r="K470" s="223">
        <v>3.6700000000000003E-2</v>
      </c>
      <c r="L470" s="220">
        <v>-69.64</v>
      </c>
      <c r="M470" s="223">
        <v>3.5999999999999997E-2</v>
      </c>
      <c r="N470" s="220">
        <v>14.03</v>
      </c>
      <c r="AC470" s="213"/>
    </row>
    <row r="471" spans="1:29" ht="12.75" customHeight="1" x14ac:dyDescent="0.2">
      <c r="A471" s="6">
        <v>5</v>
      </c>
      <c r="B471" s="9"/>
      <c r="C471" s="223">
        <v>1.0999999999999999E-2</v>
      </c>
      <c r="D471" s="220">
        <v>-114.5</v>
      </c>
      <c r="E471" s="223">
        <v>3.3300000000000003E-2</v>
      </c>
      <c r="F471" s="220">
        <v>-8.25</v>
      </c>
      <c r="G471" s="223">
        <v>4.3E-3</v>
      </c>
      <c r="H471" s="220">
        <v>-162.38</v>
      </c>
      <c r="I471" s="223">
        <v>8.8700000000000001E-2</v>
      </c>
      <c r="J471" s="220">
        <v>-48.67</v>
      </c>
      <c r="K471" s="223">
        <v>2.5999999999999999E-2</v>
      </c>
      <c r="L471" s="220">
        <v>51.02</v>
      </c>
      <c r="M471" s="223">
        <v>4.9799999999999997E-2</v>
      </c>
      <c r="N471" s="220">
        <v>160.29</v>
      </c>
      <c r="AC471" s="213"/>
    </row>
    <row r="472" spans="1:29" ht="12.75" customHeight="1" x14ac:dyDescent="0.2">
      <c r="A472" s="6">
        <v>4.5</v>
      </c>
      <c r="B472" s="9"/>
      <c r="C472" s="223">
        <v>1.5800000000000002E-2</v>
      </c>
      <c r="D472" s="220">
        <v>-109.14</v>
      </c>
      <c r="E472" s="223">
        <v>1.77E-2</v>
      </c>
      <c r="F472" s="220">
        <v>47.7</v>
      </c>
      <c r="G472" s="223">
        <v>8.9999999999999993E-3</v>
      </c>
      <c r="H472" s="220">
        <v>131.88</v>
      </c>
      <c r="I472" s="223">
        <v>4.2500000000000003E-2</v>
      </c>
      <c r="J472" s="220">
        <v>-16.95</v>
      </c>
      <c r="K472" s="223">
        <v>5.4999999999999997E-3</v>
      </c>
      <c r="L472" s="220">
        <v>-105.17</v>
      </c>
      <c r="M472" s="223">
        <v>2.69E-2</v>
      </c>
      <c r="N472" s="220">
        <v>-58.75</v>
      </c>
      <c r="AC472" s="213"/>
    </row>
    <row r="473" spans="1:29" ht="12.75" customHeight="1" x14ac:dyDescent="0.2">
      <c r="A473" s="6">
        <v>4</v>
      </c>
      <c r="B473" s="9"/>
      <c r="C473" s="223">
        <v>7.7000000000000002E-3</v>
      </c>
      <c r="D473" s="220">
        <v>43.45</v>
      </c>
      <c r="E473" s="223">
        <v>1.43E-2</v>
      </c>
      <c r="F473" s="220">
        <v>-167.95</v>
      </c>
      <c r="G473" s="223">
        <v>2.2000000000000001E-3</v>
      </c>
      <c r="H473" s="220">
        <v>-119.94</v>
      </c>
      <c r="I473" s="223">
        <v>2.6200000000000001E-2</v>
      </c>
      <c r="J473" s="220">
        <v>150.07</v>
      </c>
      <c r="K473" s="223">
        <v>1.1000000000000001E-3</v>
      </c>
      <c r="L473" s="220">
        <v>73.290000000000006</v>
      </c>
      <c r="M473" s="223">
        <v>1.32E-2</v>
      </c>
      <c r="N473" s="220">
        <v>-110.96</v>
      </c>
      <c r="AC473" s="213"/>
    </row>
    <row r="474" spans="1:29" ht="12.75" customHeight="1" x14ac:dyDescent="0.2">
      <c r="A474" s="6">
        <v>3.5</v>
      </c>
      <c r="B474" s="9"/>
      <c r="C474" s="223">
        <v>8.0000000000000004E-4</v>
      </c>
      <c r="D474" s="220">
        <v>-155.44</v>
      </c>
      <c r="E474" s="223">
        <v>1.4E-3</v>
      </c>
      <c r="F474" s="220">
        <v>41.82</v>
      </c>
      <c r="G474" s="223">
        <v>1E-3</v>
      </c>
      <c r="H474" s="220">
        <v>-78.28</v>
      </c>
      <c r="I474" s="223">
        <v>1.1299999999999999E-2</v>
      </c>
      <c r="J474" s="220">
        <v>115.07</v>
      </c>
      <c r="K474" s="223">
        <v>1.4E-3</v>
      </c>
      <c r="L474" s="220">
        <v>12.77</v>
      </c>
      <c r="M474" s="223">
        <v>5.4999999999999997E-3</v>
      </c>
      <c r="N474" s="220">
        <v>173.59</v>
      </c>
      <c r="AC474" s="213"/>
    </row>
    <row r="475" spans="1:29" ht="12.75" customHeight="1" x14ac:dyDescent="0.2">
      <c r="A475" s="6">
        <v>3</v>
      </c>
      <c r="B475" s="9"/>
      <c r="C475" s="223">
        <v>3.5000000000000001E-3</v>
      </c>
      <c r="D475" s="220">
        <v>-131.13</v>
      </c>
      <c r="E475" s="223">
        <v>1.5E-3</v>
      </c>
      <c r="F475" s="220">
        <v>44.26</v>
      </c>
      <c r="G475" s="223">
        <v>6.9999999999999999E-4</v>
      </c>
      <c r="H475" s="220">
        <v>56.56</v>
      </c>
      <c r="I475" s="223">
        <v>1.6999999999999999E-3</v>
      </c>
      <c r="J475" s="220">
        <v>-58.06</v>
      </c>
      <c r="K475" s="223">
        <v>5.0000000000000001E-4</v>
      </c>
      <c r="L475" s="220">
        <v>-38.229999999999997</v>
      </c>
      <c r="M475" s="223">
        <v>1E-3</v>
      </c>
      <c r="N475" s="220">
        <v>147.44</v>
      </c>
      <c r="AC475" s="213"/>
    </row>
    <row r="476" spans="1:29" ht="12.75" customHeight="1" x14ac:dyDescent="0.2">
      <c r="A476" s="6">
        <v>0</v>
      </c>
      <c r="B476" s="9"/>
      <c r="C476" s="223">
        <v>0</v>
      </c>
      <c r="D476" s="220">
        <v>0</v>
      </c>
      <c r="E476" s="223">
        <v>0</v>
      </c>
      <c r="F476" s="220">
        <v>0</v>
      </c>
      <c r="G476" s="223">
        <v>0</v>
      </c>
      <c r="H476" s="220">
        <v>0</v>
      </c>
      <c r="I476" s="223">
        <v>0</v>
      </c>
      <c r="J476" s="220">
        <v>0</v>
      </c>
      <c r="K476" s="223">
        <v>0</v>
      </c>
      <c r="L476" s="220">
        <v>0</v>
      </c>
      <c r="M476" s="223">
        <v>0</v>
      </c>
      <c r="N476" s="220">
        <v>0</v>
      </c>
    </row>
    <row r="477" spans="1:29" ht="12.75" customHeight="1" x14ac:dyDescent="0.2">
      <c r="A477" s="6">
        <v>0</v>
      </c>
      <c r="B477" s="9"/>
      <c r="C477" s="223">
        <v>0</v>
      </c>
      <c r="D477" s="220">
        <v>0</v>
      </c>
      <c r="E477" s="223">
        <v>0</v>
      </c>
      <c r="F477" s="220">
        <v>0</v>
      </c>
      <c r="G477" s="223">
        <v>0</v>
      </c>
      <c r="H477" s="220">
        <v>0</v>
      </c>
      <c r="I477" s="223">
        <v>0</v>
      </c>
      <c r="J477" s="220">
        <v>0</v>
      </c>
      <c r="K477" s="223">
        <v>0</v>
      </c>
      <c r="L477" s="220">
        <v>0</v>
      </c>
      <c r="M477" s="223">
        <v>0</v>
      </c>
      <c r="N477" s="220">
        <v>0</v>
      </c>
    </row>
    <row r="478" spans="1:29" ht="12.75" customHeight="1" x14ac:dyDescent="0.2">
      <c r="A478" s="6">
        <v>0</v>
      </c>
      <c r="B478" s="9"/>
      <c r="C478" s="223">
        <v>0</v>
      </c>
      <c r="D478" s="220">
        <v>0</v>
      </c>
      <c r="E478" s="223">
        <v>0</v>
      </c>
      <c r="F478" s="220">
        <v>0</v>
      </c>
      <c r="G478" s="223">
        <v>0</v>
      </c>
      <c r="H478" s="220">
        <v>0</v>
      </c>
      <c r="I478" s="223">
        <v>0</v>
      </c>
      <c r="J478" s="220">
        <v>0</v>
      </c>
      <c r="K478" s="223">
        <v>0</v>
      </c>
      <c r="L478" s="220">
        <v>0</v>
      </c>
      <c r="M478" s="223">
        <v>0</v>
      </c>
      <c r="N478" s="220">
        <v>0</v>
      </c>
    </row>
    <row r="479" spans="1:29" ht="12.75" customHeight="1" x14ac:dyDescent="0.2">
      <c r="A479" s="6">
        <v>0</v>
      </c>
      <c r="B479" s="9"/>
      <c r="C479" s="223">
        <v>0</v>
      </c>
      <c r="D479" s="220">
        <v>0</v>
      </c>
      <c r="E479" s="223">
        <v>0</v>
      </c>
      <c r="F479" s="220">
        <v>0</v>
      </c>
      <c r="G479" s="223">
        <v>0</v>
      </c>
      <c r="H479" s="220">
        <v>0</v>
      </c>
      <c r="I479" s="223">
        <v>0</v>
      </c>
      <c r="J479" s="220">
        <v>0</v>
      </c>
      <c r="K479" s="223">
        <v>0</v>
      </c>
      <c r="L479" s="220">
        <v>0</v>
      </c>
      <c r="M479" s="223">
        <v>0</v>
      </c>
      <c r="N479" s="220">
        <v>0</v>
      </c>
    </row>
    <row r="480" spans="1:29" ht="12.75" customHeight="1" thickBot="1" x14ac:dyDescent="0.25">
      <c r="A480" s="10">
        <v>0</v>
      </c>
      <c r="B480" s="11"/>
      <c r="C480" s="12">
        <v>0</v>
      </c>
      <c r="D480" s="13">
        <v>0</v>
      </c>
      <c r="E480" s="12">
        <v>0</v>
      </c>
      <c r="F480" s="13">
        <v>0</v>
      </c>
      <c r="G480" s="12">
        <v>0</v>
      </c>
      <c r="H480" s="13">
        <v>0</v>
      </c>
      <c r="I480" s="12">
        <v>0</v>
      </c>
      <c r="J480" s="13">
        <v>0</v>
      </c>
      <c r="K480" s="12">
        <v>0</v>
      </c>
      <c r="L480" s="13">
        <v>0</v>
      </c>
      <c r="M480" s="12">
        <v>0</v>
      </c>
      <c r="N480" s="13">
        <v>0</v>
      </c>
    </row>
    <row r="481" spans="1:29" ht="20.100000000000001" customHeight="1" x14ac:dyDescent="0.25">
      <c r="A481" s="395" t="str">
        <f>A441</f>
        <v>Paragon DPDS3</v>
      </c>
      <c r="B481" s="395"/>
      <c r="C481" s="395"/>
      <c r="D481" s="395"/>
      <c r="E481" s="395"/>
      <c r="F481" s="395"/>
      <c r="G481" s="395"/>
      <c r="H481" s="395"/>
      <c r="I481" s="395"/>
      <c r="J481" s="395"/>
      <c r="K481" s="395"/>
      <c r="L481" s="395"/>
      <c r="M481" s="395"/>
      <c r="N481" s="395"/>
    </row>
    <row r="482" spans="1:29" ht="20.100000000000001" customHeight="1" thickBot="1" x14ac:dyDescent="0.3">
      <c r="A482" s="396" t="s">
        <v>5</v>
      </c>
      <c r="B482" s="396"/>
      <c r="C482" s="396"/>
      <c r="D482" s="396"/>
      <c r="E482" s="396"/>
      <c r="F482" s="396"/>
      <c r="G482" s="396"/>
      <c r="H482" s="396"/>
      <c r="I482" s="396"/>
      <c r="J482" s="396"/>
      <c r="K482" s="396"/>
      <c r="L482" s="396"/>
      <c r="M482" s="396"/>
      <c r="N482" s="396"/>
    </row>
    <row r="483" spans="1:29" ht="12.75" customHeight="1" x14ac:dyDescent="0.2">
      <c r="A483" s="397" t="s">
        <v>12</v>
      </c>
      <c r="B483" s="399" t="s">
        <v>13</v>
      </c>
      <c r="C483" s="401" t="s">
        <v>6</v>
      </c>
      <c r="D483" s="402"/>
      <c r="E483" s="401" t="s">
        <v>7</v>
      </c>
      <c r="F483" s="402"/>
      <c r="G483" s="401" t="s">
        <v>8</v>
      </c>
      <c r="H483" s="402"/>
      <c r="I483" s="401" t="s">
        <v>9</v>
      </c>
      <c r="J483" s="402"/>
      <c r="K483" s="401" t="s">
        <v>10</v>
      </c>
      <c r="L483" s="402"/>
      <c r="M483" s="401" t="s">
        <v>11</v>
      </c>
      <c r="N483" s="402"/>
    </row>
    <row r="484" spans="1:29" ht="12.75" customHeight="1" x14ac:dyDescent="0.2">
      <c r="A484" s="398"/>
      <c r="B484" s="400"/>
      <c r="C484" s="222" t="s">
        <v>0</v>
      </c>
      <c r="D484" s="217" t="s">
        <v>1</v>
      </c>
      <c r="E484" s="222" t="s">
        <v>0</v>
      </c>
      <c r="F484" s="217" t="s">
        <v>1</v>
      </c>
      <c r="G484" s="222" t="s">
        <v>0</v>
      </c>
      <c r="H484" s="217" t="s">
        <v>1</v>
      </c>
      <c r="I484" s="222" t="s">
        <v>0</v>
      </c>
      <c r="J484" s="217" t="s">
        <v>1</v>
      </c>
      <c r="K484" s="222" t="s">
        <v>0</v>
      </c>
      <c r="L484" s="217" t="s">
        <v>1</v>
      </c>
      <c r="M484" s="222" t="s">
        <v>0</v>
      </c>
      <c r="N484" s="217" t="s">
        <v>1</v>
      </c>
    </row>
    <row r="485" spans="1:29" ht="12.75" customHeight="1" thickBot="1" x14ac:dyDescent="0.25">
      <c r="A485" s="2" t="s">
        <v>14</v>
      </c>
      <c r="B485" s="3" t="s">
        <v>15</v>
      </c>
      <c r="C485" s="2" t="s">
        <v>19</v>
      </c>
      <c r="D485" s="3" t="s">
        <v>15</v>
      </c>
      <c r="E485" s="2" t="s">
        <v>19</v>
      </c>
      <c r="F485" s="3" t="s">
        <v>15</v>
      </c>
      <c r="G485" s="2" t="s">
        <v>19</v>
      </c>
      <c r="H485" s="3" t="s">
        <v>15</v>
      </c>
      <c r="I485" s="2" t="s">
        <v>20</v>
      </c>
      <c r="J485" s="3" t="s">
        <v>15</v>
      </c>
      <c r="K485" s="2" t="s">
        <v>20</v>
      </c>
      <c r="L485" s="3" t="s">
        <v>15</v>
      </c>
      <c r="M485" s="2" t="s">
        <v>20</v>
      </c>
      <c r="N485" s="3" t="s">
        <v>15</v>
      </c>
    </row>
    <row r="486" spans="1:29" ht="12.75" customHeight="1" x14ac:dyDescent="0.2">
      <c r="A486" s="4">
        <v>30</v>
      </c>
      <c r="B486" s="5">
        <v>180</v>
      </c>
      <c r="C486" s="223">
        <v>0.9667</v>
      </c>
      <c r="D486" s="220">
        <v>-89.94</v>
      </c>
      <c r="E486" s="223">
        <v>0</v>
      </c>
      <c r="F486" s="220">
        <v>-79.2</v>
      </c>
      <c r="G486" s="223">
        <v>0.98550000000000004</v>
      </c>
      <c r="H486" s="220">
        <v>-0.01</v>
      </c>
      <c r="I486" s="223">
        <v>2.8E-3</v>
      </c>
      <c r="J486" s="220">
        <v>100.97</v>
      </c>
      <c r="K486" s="223">
        <v>0.25590000000000002</v>
      </c>
      <c r="L486" s="220">
        <v>90.82</v>
      </c>
      <c r="M486" s="223">
        <v>0</v>
      </c>
      <c r="N486" s="220">
        <v>-41.98</v>
      </c>
      <c r="AC486" s="213"/>
    </row>
    <row r="487" spans="1:29" ht="12.75" customHeight="1" x14ac:dyDescent="0.2">
      <c r="A487" s="6">
        <v>28</v>
      </c>
      <c r="B487" s="7"/>
      <c r="C487" s="223">
        <v>0.95950000000000002</v>
      </c>
      <c r="D487" s="220">
        <v>-89.93</v>
      </c>
      <c r="E487" s="223">
        <v>1E-4</v>
      </c>
      <c r="F487" s="220">
        <v>-78.77</v>
      </c>
      <c r="G487" s="223">
        <v>0.98089999999999999</v>
      </c>
      <c r="H487" s="220">
        <v>-0.02</v>
      </c>
      <c r="I487" s="223">
        <v>4.1000000000000003E-3</v>
      </c>
      <c r="J487" s="220">
        <v>102.76</v>
      </c>
      <c r="K487" s="223">
        <v>0.29330000000000001</v>
      </c>
      <c r="L487" s="220">
        <v>90.94</v>
      </c>
      <c r="M487" s="223">
        <v>0</v>
      </c>
      <c r="N487" s="220">
        <v>-79.2</v>
      </c>
      <c r="AC487" s="213"/>
    </row>
    <row r="488" spans="1:29" ht="12.75" customHeight="1" x14ac:dyDescent="0.2">
      <c r="A488" s="6">
        <v>26</v>
      </c>
      <c r="B488" s="7"/>
      <c r="C488" s="223">
        <v>0.94989999999999997</v>
      </c>
      <c r="D488" s="220">
        <v>-89.91</v>
      </c>
      <c r="E488" s="223">
        <v>1E-4</v>
      </c>
      <c r="F488" s="220">
        <v>-74.06</v>
      </c>
      <c r="G488" s="223">
        <v>0.97430000000000005</v>
      </c>
      <c r="H488" s="220">
        <v>-0.02</v>
      </c>
      <c r="I488" s="223">
        <v>6.4999999999999997E-3</v>
      </c>
      <c r="J488" s="220">
        <v>105.91</v>
      </c>
      <c r="K488" s="223">
        <v>0.33929999999999999</v>
      </c>
      <c r="L488" s="220">
        <v>91.09</v>
      </c>
      <c r="M488" s="223">
        <v>0</v>
      </c>
      <c r="N488" s="220">
        <v>-65.03</v>
      </c>
      <c r="AC488" s="213"/>
    </row>
    <row r="489" spans="1:29" ht="12.75" customHeight="1" x14ac:dyDescent="0.2">
      <c r="A489" s="6">
        <v>24</v>
      </c>
      <c r="B489" s="7"/>
      <c r="C489" s="223">
        <v>0.93659999999999999</v>
      </c>
      <c r="D489" s="220">
        <v>-89.89</v>
      </c>
      <c r="E489" s="223">
        <v>2.0000000000000001E-4</v>
      </c>
      <c r="F489" s="220">
        <v>-68.650000000000006</v>
      </c>
      <c r="G489" s="223">
        <v>0.96460000000000001</v>
      </c>
      <c r="H489" s="220">
        <v>-0.04</v>
      </c>
      <c r="I489" s="223">
        <v>1.15E-2</v>
      </c>
      <c r="J489" s="220">
        <v>111.68</v>
      </c>
      <c r="K489" s="223">
        <v>0.39660000000000001</v>
      </c>
      <c r="L489" s="220">
        <v>91.28</v>
      </c>
      <c r="M489" s="223">
        <v>1E-4</v>
      </c>
      <c r="N489" s="220">
        <v>-57.19</v>
      </c>
      <c r="AC489" s="213"/>
    </row>
    <row r="490" spans="1:29" ht="12.75" customHeight="1" x14ac:dyDescent="0.2">
      <c r="A490" s="6">
        <v>23</v>
      </c>
      <c r="B490" s="7"/>
      <c r="C490" s="223">
        <v>0.92800000000000005</v>
      </c>
      <c r="D490" s="220">
        <v>-89.88</v>
      </c>
      <c r="E490" s="223">
        <v>2.0000000000000001E-4</v>
      </c>
      <c r="F490" s="220">
        <v>-64.319999999999993</v>
      </c>
      <c r="G490" s="223">
        <v>0.95799999999999996</v>
      </c>
      <c r="H490" s="220">
        <v>-0.04</v>
      </c>
      <c r="I490" s="223">
        <v>1.61E-2</v>
      </c>
      <c r="J490" s="220">
        <v>117.01</v>
      </c>
      <c r="K490" s="223">
        <v>0.43059999999999998</v>
      </c>
      <c r="L490" s="220">
        <v>91.4</v>
      </c>
      <c r="M490" s="223">
        <v>1E-4</v>
      </c>
      <c r="N490" s="220">
        <v>-55.93</v>
      </c>
      <c r="AC490" s="213"/>
    </row>
    <row r="491" spans="1:29" ht="12.75" customHeight="1" x14ac:dyDescent="0.2">
      <c r="A491" s="6">
        <v>22</v>
      </c>
      <c r="B491" s="7"/>
      <c r="C491" s="223">
        <v>0.91769999999999996</v>
      </c>
      <c r="D491" s="220">
        <v>-89.87</v>
      </c>
      <c r="E491" s="223">
        <v>4.0000000000000002E-4</v>
      </c>
      <c r="F491" s="220">
        <v>-54.39</v>
      </c>
      <c r="G491" s="223">
        <v>0.94979999999999998</v>
      </c>
      <c r="H491" s="220">
        <v>-0.06</v>
      </c>
      <c r="I491" s="223">
        <v>2.4E-2</v>
      </c>
      <c r="J491" s="220">
        <v>125.67</v>
      </c>
      <c r="K491" s="223">
        <v>0.46889999999999998</v>
      </c>
      <c r="L491" s="220">
        <v>91.53</v>
      </c>
      <c r="M491" s="223">
        <v>1E-4</v>
      </c>
      <c r="N491" s="220">
        <v>-47.83</v>
      </c>
      <c r="AC491" s="213"/>
    </row>
    <row r="492" spans="1:29" ht="12.75" customHeight="1" x14ac:dyDescent="0.2">
      <c r="A492" s="6">
        <v>21</v>
      </c>
      <c r="B492" s="7"/>
      <c r="C492" s="223">
        <v>0.9052</v>
      </c>
      <c r="D492" s="220">
        <v>-89.85</v>
      </c>
      <c r="E492" s="223">
        <v>5.9999999999999995E-4</v>
      </c>
      <c r="F492" s="220">
        <v>-38.19</v>
      </c>
      <c r="G492" s="223">
        <v>0.93959999999999999</v>
      </c>
      <c r="H492" s="220">
        <v>-7.0000000000000007E-2</v>
      </c>
      <c r="I492" s="223">
        <v>3.7999999999999999E-2</v>
      </c>
      <c r="J492" s="220">
        <v>142.47</v>
      </c>
      <c r="K492" s="223">
        <v>0.51219999999999999</v>
      </c>
      <c r="L492" s="220">
        <v>91.69</v>
      </c>
      <c r="M492" s="223">
        <v>2.0000000000000001E-4</v>
      </c>
      <c r="N492" s="220">
        <v>-31.83</v>
      </c>
      <c r="AC492" s="213"/>
    </row>
    <row r="493" spans="1:29" ht="12.75" customHeight="1" x14ac:dyDescent="0.2">
      <c r="A493" s="6">
        <v>20.5</v>
      </c>
      <c r="B493" s="7"/>
      <c r="C493" s="223">
        <v>0.89800000000000002</v>
      </c>
      <c r="D493" s="220">
        <v>-89.84</v>
      </c>
      <c r="E493" s="223">
        <v>8.0000000000000004E-4</v>
      </c>
      <c r="F493" s="220">
        <v>-24.07</v>
      </c>
      <c r="G493" s="223">
        <v>0.9335</v>
      </c>
      <c r="H493" s="220">
        <v>-0.08</v>
      </c>
      <c r="I493" s="223">
        <v>4.7500000000000001E-2</v>
      </c>
      <c r="J493" s="220">
        <v>156.38999999999999</v>
      </c>
      <c r="K493" s="223">
        <v>0.53600000000000003</v>
      </c>
      <c r="L493" s="220">
        <v>91.78</v>
      </c>
      <c r="M493" s="223">
        <v>2.9999999999999997E-4</v>
      </c>
      <c r="N493" s="220">
        <v>-18.03</v>
      </c>
      <c r="AC493" s="213"/>
    </row>
    <row r="494" spans="1:29" ht="12.75" customHeight="1" x14ac:dyDescent="0.2">
      <c r="A494" s="6">
        <v>20</v>
      </c>
      <c r="B494" s="7"/>
      <c r="C494" s="223">
        <v>0.89</v>
      </c>
      <c r="D494" s="220">
        <v>-89.83</v>
      </c>
      <c r="E494" s="223">
        <v>8.9999999999999998E-4</v>
      </c>
      <c r="F494" s="220">
        <v>-5.92</v>
      </c>
      <c r="G494" s="223">
        <v>0.92659999999999998</v>
      </c>
      <c r="H494" s="220">
        <v>-0.09</v>
      </c>
      <c r="I494" s="223">
        <v>5.6000000000000001E-2</v>
      </c>
      <c r="J494" s="220">
        <v>174.65</v>
      </c>
      <c r="K494" s="223">
        <v>0.56130000000000002</v>
      </c>
      <c r="L494" s="220">
        <v>91.87</v>
      </c>
      <c r="M494" s="223">
        <v>4.0000000000000002E-4</v>
      </c>
      <c r="N494" s="220">
        <v>0.36</v>
      </c>
      <c r="AC494" s="213"/>
    </row>
    <row r="495" spans="1:29" ht="12.75" customHeight="1" x14ac:dyDescent="0.2">
      <c r="A495" s="6">
        <v>19.5</v>
      </c>
      <c r="B495" s="7"/>
      <c r="C495" s="223">
        <v>0.88109999999999999</v>
      </c>
      <c r="D495" s="220">
        <v>-89.82</v>
      </c>
      <c r="E495" s="223">
        <v>8.9999999999999998E-4</v>
      </c>
      <c r="F495" s="220">
        <v>14.43</v>
      </c>
      <c r="G495" s="223">
        <v>0.91869999999999996</v>
      </c>
      <c r="H495" s="220">
        <v>-0.1</v>
      </c>
      <c r="I495" s="223">
        <v>5.9200000000000003E-2</v>
      </c>
      <c r="J495" s="220">
        <v>-164.92</v>
      </c>
      <c r="K495" s="223">
        <v>0.58819999999999995</v>
      </c>
      <c r="L495" s="220">
        <v>91.97</v>
      </c>
      <c r="M495" s="223">
        <v>4.0000000000000002E-4</v>
      </c>
      <c r="N495" s="220">
        <v>20.309999999999999</v>
      </c>
      <c r="AC495" s="213"/>
    </row>
    <row r="496" spans="1:29" ht="12.75" customHeight="1" x14ac:dyDescent="0.2">
      <c r="A496" s="6">
        <v>19</v>
      </c>
      <c r="B496" s="7"/>
      <c r="C496" s="223">
        <v>0.87129999999999996</v>
      </c>
      <c r="D496" s="220">
        <v>-89.81</v>
      </c>
      <c r="E496" s="223">
        <v>8.9999999999999998E-4</v>
      </c>
      <c r="F496" s="220">
        <v>32.39</v>
      </c>
      <c r="G496" s="223">
        <v>0.90980000000000005</v>
      </c>
      <c r="H496" s="220">
        <v>-0.12</v>
      </c>
      <c r="I496" s="223">
        <v>5.6099999999999997E-2</v>
      </c>
      <c r="J496" s="220">
        <v>-146.91</v>
      </c>
      <c r="K496" s="223">
        <v>0.6169</v>
      </c>
      <c r="L496" s="220">
        <v>92.08</v>
      </c>
      <c r="M496" s="223">
        <v>4.0000000000000002E-4</v>
      </c>
      <c r="N496" s="220">
        <v>37.86</v>
      </c>
      <c r="AC496" s="213"/>
    </row>
    <row r="497" spans="1:29" ht="12.75" customHeight="1" x14ac:dyDescent="0.2">
      <c r="A497" s="6">
        <v>18.5</v>
      </c>
      <c r="B497" s="7"/>
      <c r="C497" s="223">
        <v>0.86019999999999996</v>
      </c>
      <c r="D497" s="220">
        <v>-89.8</v>
      </c>
      <c r="E497" s="223">
        <v>8.0000000000000004E-4</v>
      </c>
      <c r="F497" s="220">
        <v>45.89</v>
      </c>
      <c r="G497" s="223">
        <v>0.89970000000000006</v>
      </c>
      <c r="H497" s="220">
        <v>-0.14000000000000001</v>
      </c>
      <c r="I497" s="223">
        <v>5.04E-2</v>
      </c>
      <c r="J497" s="220">
        <v>-133.31</v>
      </c>
      <c r="K497" s="223">
        <v>0.64749999999999996</v>
      </c>
      <c r="L497" s="220">
        <v>92.2</v>
      </c>
      <c r="M497" s="223">
        <v>4.0000000000000002E-4</v>
      </c>
      <c r="N497" s="220">
        <v>51.04</v>
      </c>
      <c r="AC497" s="213"/>
    </row>
    <row r="498" spans="1:29" ht="12.75" customHeight="1" x14ac:dyDescent="0.2">
      <c r="A498" s="6">
        <v>18</v>
      </c>
      <c r="B498" s="7"/>
      <c r="C498" s="223">
        <v>0.84789999999999999</v>
      </c>
      <c r="D498" s="220">
        <v>-89.78</v>
      </c>
      <c r="E498" s="223">
        <v>6.9999999999999999E-4</v>
      </c>
      <c r="F498" s="220">
        <v>55.6</v>
      </c>
      <c r="G498" s="223">
        <v>0.8881</v>
      </c>
      <c r="H498" s="220">
        <v>-0.17</v>
      </c>
      <c r="I498" s="223">
        <v>4.4900000000000002E-2</v>
      </c>
      <c r="J498" s="220">
        <v>-123.71</v>
      </c>
      <c r="K498" s="223">
        <v>0.68010000000000004</v>
      </c>
      <c r="L498" s="220">
        <v>92.34</v>
      </c>
      <c r="M498" s="223">
        <v>4.0000000000000002E-4</v>
      </c>
      <c r="N498" s="220">
        <v>60.62</v>
      </c>
      <c r="AC498" s="213"/>
    </row>
    <row r="499" spans="1:29" ht="12.75" customHeight="1" x14ac:dyDescent="0.2">
      <c r="A499" s="6">
        <v>17</v>
      </c>
      <c r="B499" s="8"/>
      <c r="C499" s="223">
        <v>0.81859999999999999</v>
      </c>
      <c r="D499" s="220">
        <v>-89.73</v>
      </c>
      <c r="E499" s="223">
        <v>5.9999999999999995E-4</v>
      </c>
      <c r="F499" s="220">
        <v>67.09</v>
      </c>
      <c r="G499" s="223">
        <v>0.85940000000000005</v>
      </c>
      <c r="H499" s="220">
        <v>-0.24</v>
      </c>
      <c r="I499" s="223">
        <v>3.6999999999999998E-2</v>
      </c>
      <c r="J499" s="220">
        <v>-111.83</v>
      </c>
      <c r="K499" s="223">
        <v>0.75160000000000005</v>
      </c>
      <c r="L499" s="220">
        <v>92.65</v>
      </c>
      <c r="M499" s="223">
        <v>2.9999999999999997E-4</v>
      </c>
      <c r="N499" s="220">
        <v>71.930000000000007</v>
      </c>
      <c r="AC499" s="213"/>
    </row>
    <row r="500" spans="1:29" ht="12.75" customHeight="1" x14ac:dyDescent="0.2">
      <c r="A500" s="6">
        <v>16</v>
      </c>
      <c r="B500" s="8"/>
      <c r="C500" s="223">
        <v>0.78129999999999999</v>
      </c>
      <c r="D500" s="220">
        <v>-89.65</v>
      </c>
      <c r="E500" s="223">
        <v>5.9999999999999995E-4</v>
      </c>
      <c r="F500" s="220">
        <v>73.81</v>
      </c>
      <c r="G500" s="223">
        <v>0.82099999999999995</v>
      </c>
      <c r="H500" s="220">
        <v>-0.39</v>
      </c>
      <c r="I500" s="223">
        <v>3.2500000000000001E-2</v>
      </c>
      <c r="J500" s="220">
        <v>-104.96</v>
      </c>
      <c r="K500" s="223">
        <v>0.83209999999999995</v>
      </c>
      <c r="L500" s="220">
        <v>93.04</v>
      </c>
      <c r="M500" s="223">
        <v>2.9999999999999997E-4</v>
      </c>
      <c r="N500" s="220">
        <v>78.44</v>
      </c>
      <c r="AC500" s="213"/>
    </row>
    <row r="501" spans="1:29" ht="12.75" customHeight="1" x14ac:dyDescent="0.2">
      <c r="A501" s="6">
        <v>15</v>
      </c>
      <c r="B501" s="8"/>
      <c r="C501" s="223">
        <v>0.73350000000000004</v>
      </c>
      <c r="D501" s="220">
        <v>-89.52</v>
      </c>
      <c r="E501" s="223">
        <v>5.0000000000000001E-4</v>
      </c>
      <c r="F501" s="220">
        <v>78.319999999999993</v>
      </c>
      <c r="G501" s="223">
        <v>0.76890000000000003</v>
      </c>
      <c r="H501" s="220">
        <v>-0.68</v>
      </c>
      <c r="I501" s="223">
        <v>2.9899999999999999E-2</v>
      </c>
      <c r="J501" s="220">
        <v>-100.38</v>
      </c>
      <c r="K501" s="223">
        <v>0.92120000000000002</v>
      </c>
      <c r="L501" s="220">
        <v>93.56</v>
      </c>
      <c r="M501" s="223">
        <v>2.9999999999999997E-4</v>
      </c>
      <c r="N501" s="220">
        <v>82.73</v>
      </c>
      <c r="AC501" s="213"/>
    </row>
    <row r="502" spans="1:29" ht="12.75" customHeight="1" x14ac:dyDescent="0.2">
      <c r="A502" s="6">
        <v>14</v>
      </c>
      <c r="B502" s="8"/>
      <c r="C502" s="223">
        <v>0.6714</v>
      </c>
      <c r="D502" s="220">
        <v>-89.27</v>
      </c>
      <c r="E502" s="223">
        <v>5.0000000000000001E-4</v>
      </c>
      <c r="F502" s="220">
        <v>81.89</v>
      </c>
      <c r="G502" s="223">
        <v>0.6976</v>
      </c>
      <c r="H502" s="220">
        <v>-1.33</v>
      </c>
      <c r="I502" s="223">
        <v>2.8400000000000002E-2</v>
      </c>
      <c r="J502" s="220">
        <v>-96.86</v>
      </c>
      <c r="K502" s="223">
        <v>1.0166999999999999</v>
      </c>
      <c r="L502" s="220">
        <v>94.29</v>
      </c>
      <c r="M502" s="223">
        <v>2.9999999999999997E-4</v>
      </c>
      <c r="N502" s="220">
        <v>86.09</v>
      </c>
      <c r="AC502" s="213"/>
    </row>
    <row r="503" spans="1:29" ht="12.75" customHeight="1" x14ac:dyDescent="0.2">
      <c r="A503" s="6">
        <v>13</v>
      </c>
      <c r="B503" s="8"/>
      <c r="C503" s="223">
        <v>0.58979999999999999</v>
      </c>
      <c r="D503" s="220">
        <v>-88.8</v>
      </c>
      <c r="E503" s="223">
        <v>5.0000000000000001E-4</v>
      </c>
      <c r="F503" s="220">
        <v>85.44</v>
      </c>
      <c r="G503" s="223">
        <v>0.6</v>
      </c>
      <c r="H503" s="220">
        <v>-2.9</v>
      </c>
      <c r="I503" s="223">
        <v>2.7400000000000001E-2</v>
      </c>
      <c r="J503" s="220">
        <v>-93.76</v>
      </c>
      <c r="K503" s="223">
        <v>1.1112</v>
      </c>
      <c r="L503" s="220">
        <v>95.37</v>
      </c>
      <c r="M503" s="223">
        <v>2.9999999999999997E-4</v>
      </c>
      <c r="N503" s="220">
        <v>89.16</v>
      </c>
      <c r="AC503" s="213"/>
    </row>
    <row r="504" spans="1:29" ht="12.75" customHeight="1" x14ac:dyDescent="0.2">
      <c r="A504" s="6">
        <v>12</v>
      </c>
      <c r="B504" s="8"/>
      <c r="C504" s="223">
        <v>0.48180000000000001</v>
      </c>
      <c r="D504" s="220">
        <v>-87.9</v>
      </c>
      <c r="E504" s="223">
        <v>5.0000000000000001E-4</v>
      </c>
      <c r="F504" s="220">
        <v>89.88</v>
      </c>
      <c r="G504" s="223">
        <v>0.46970000000000001</v>
      </c>
      <c r="H504" s="220">
        <v>-7.04</v>
      </c>
      <c r="I504" s="223">
        <v>2.63E-2</v>
      </c>
      <c r="J504" s="220">
        <v>-90.53</v>
      </c>
      <c r="K504" s="223">
        <v>1.1853</v>
      </c>
      <c r="L504" s="220">
        <v>97.06</v>
      </c>
      <c r="M504" s="223">
        <v>2.9999999999999997E-4</v>
      </c>
      <c r="N504" s="220">
        <v>92.68</v>
      </c>
      <c r="AC504" s="213"/>
    </row>
    <row r="505" spans="1:29" ht="12.75" customHeight="1" x14ac:dyDescent="0.2">
      <c r="A505" s="6">
        <v>11</v>
      </c>
      <c r="B505" s="8"/>
      <c r="C505" s="223">
        <v>0.34039999999999998</v>
      </c>
      <c r="D505" s="220">
        <v>-86.56</v>
      </c>
      <c r="E505" s="223">
        <v>5.9999999999999995E-4</v>
      </c>
      <c r="F505" s="220">
        <v>96.27</v>
      </c>
      <c r="G505" s="223">
        <v>0.30859999999999999</v>
      </c>
      <c r="H505" s="220">
        <v>-19.89</v>
      </c>
      <c r="I505" s="223">
        <v>2.41E-2</v>
      </c>
      <c r="J505" s="220">
        <v>-86.79</v>
      </c>
      <c r="K505" s="223">
        <v>1.1917</v>
      </c>
      <c r="L505" s="220">
        <v>99.59</v>
      </c>
      <c r="M505" s="223">
        <v>2.9999999999999997E-4</v>
      </c>
      <c r="N505" s="220">
        <v>97.09</v>
      </c>
      <c r="AC505" s="213"/>
    </row>
    <row r="506" spans="1:29" ht="12.75" customHeight="1" x14ac:dyDescent="0.2">
      <c r="A506" s="6">
        <v>10</v>
      </c>
      <c r="B506" s="8"/>
      <c r="C506" s="223">
        <v>0.1709</v>
      </c>
      <c r="D506" s="220">
        <v>-86.69</v>
      </c>
      <c r="E506" s="223">
        <v>5.0000000000000001E-4</v>
      </c>
      <c r="F506" s="220">
        <v>104.9</v>
      </c>
      <c r="G506" s="223">
        <v>0.19409999999999999</v>
      </c>
      <c r="H506" s="220">
        <v>-73.069999999999993</v>
      </c>
      <c r="I506" s="223">
        <v>1.9400000000000001E-2</v>
      </c>
      <c r="J506" s="220">
        <v>-83.63</v>
      </c>
      <c r="K506" s="223">
        <v>1.0382</v>
      </c>
      <c r="L506" s="220">
        <v>101.9</v>
      </c>
      <c r="M506" s="223">
        <v>2.0000000000000001E-4</v>
      </c>
      <c r="N506" s="220">
        <v>101.58</v>
      </c>
      <c r="AC506" s="213"/>
    </row>
    <row r="507" spans="1:29" ht="12.75" customHeight="1" x14ac:dyDescent="0.2">
      <c r="A507" s="6">
        <v>9</v>
      </c>
      <c r="B507" s="8"/>
      <c r="C507" s="223">
        <v>2.35E-2</v>
      </c>
      <c r="D507" s="220">
        <v>-125.41</v>
      </c>
      <c r="E507" s="223">
        <v>2.9999999999999997E-4</v>
      </c>
      <c r="F507" s="220">
        <v>108.44</v>
      </c>
      <c r="G507" s="223">
        <v>0.48430000000000001</v>
      </c>
      <c r="H507" s="220">
        <v>-117.21</v>
      </c>
      <c r="I507" s="223">
        <v>1.17E-2</v>
      </c>
      <c r="J507" s="220">
        <v>-90.39</v>
      </c>
      <c r="K507" s="223">
        <v>0.67849999999999999</v>
      </c>
      <c r="L507" s="220">
        <v>94.92</v>
      </c>
      <c r="M507" s="223">
        <v>1E-4</v>
      </c>
      <c r="N507" s="220">
        <v>96.86</v>
      </c>
      <c r="AC507" s="213"/>
    </row>
    <row r="508" spans="1:29" ht="12.75" customHeight="1" x14ac:dyDescent="0.2">
      <c r="A508" s="6">
        <v>8</v>
      </c>
      <c r="B508" s="9"/>
      <c r="C508" s="223">
        <v>6.0199999999999997E-2</v>
      </c>
      <c r="D508" s="220">
        <v>106.44</v>
      </c>
      <c r="E508" s="223">
        <v>2.0000000000000001E-4</v>
      </c>
      <c r="F508" s="220">
        <v>67.27</v>
      </c>
      <c r="G508" s="223">
        <v>0.53949999999999998</v>
      </c>
      <c r="H508" s="220">
        <v>-80.2</v>
      </c>
      <c r="I508" s="223">
        <v>5.3E-3</v>
      </c>
      <c r="J508" s="220">
        <v>-146.97</v>
      </c>
      <c r="K508" s="223">
        <v>0.32279999999999998</v>
      </c>
      <c r="L508" s="220">
        <v>39.479999999999997</v>
      </c>
      <c r="M508" s="223">
        <v>1E-4</v>
      </c>
      <c r="N508" s="220">
        <v>42.75</v>
      </c>
      <c r="AC508" s="213"/>
    </row>
    <row r="509" spans="1:29" ht="12.75" customHeight="1" x14ac:dyDescent="0.2">
      <c r="A509" s="6">
        <v>7</v>
      </c>
      <c r="B509" s="9"/>
      <c r="C509" s="223">
        <v>4.4299999999999999E-2</v>
      </c>
      <c r="D509" s="220">
        <v>34.86</v>
      </c>
      <c r="E509" s="223">
        <v>2.0000000000000001E-4</v>
      </c>
      <c r="F509" s="220">
        <v>63.85</v>
      </c>
      <c r="G509" s="223">
        <v>9.0999999999999998E-2</v>
      </c>
      <c r="H509" s="220">
        <v>-77.069999999999993</v>
      </c>
      <c r="I509" s="223">
        <v>7.4999999999999997E-3</v>
      </c>
      <c r="J509" s="220">
        <v>-163.41</v>
      </c>
      <c r="K509" s="223">
        <v>0.46729999999999999</v>
      </c>
      <c r="L509" s="220">
        <v>24.1</v>
      </c>
      <c r="M509" s="223">
        <v>1E-4</v>
      </c>
      <c r="N509" s="220">
        <v>28.46</v>
      </c>
      <c r="AC509" s="213"/>
    </row>
    <row r="510" spans="1:29" ht="12.75" customHeight="1" x14ac:dyDescent="0.2">
      <c r="A510" s="6">
        <v>6</v>
      </c>
      <c r="B510" s="9"/>
      <c r="C510" s="223">
        <v>2.0500000000000001E-2</v>
      </c>
      <c r="D510" s="220">
        <v>44.8</v>
      </c>
      <c r="E510" s="223">
        <v>0</v>
      </c>
      <c r="F510" s="220">
        <v>-46.82</v>
      </c>
      <c r="G510" s="223">
        <v>3.49E-2</v>
      </c>
      <c r="H510" s="220">
        <v>169.24</v>
      </c>
      <c r="I510" s="223">
        <v>8.9999999999999998E-4</v>
      </c>
      <c r="J510" s="220">
        <v>68.11</v>
      </c>
      <c r="K510" s="223">
        <v>5.6000000000000001E-2</v>
      </c>
      <c r="L510" s="220">
        <v>-104.78</v>
      </c>
      <c r="M510" s="223">
        <v>0</v>
      </c>
      <c r="N510" s="220">
        <v>-95.5</v>
      </c>
      <c r="AC510" s="213"/>
    </row>
    <row r="511" spans="1:29" ht="12.75" customHeight="1" x14ac:dyDescent="0.2">
      <c r="A511" s="6">
        <v>5</v>
      </c>
      <c r="B511" s="9"/>
      <c r="C511" s="223">
        <v>2.69E-2</v>
      </c>
      <c r="D511" s="220">
        <v>-87.25</v>
      </c>
      <c r="E511" s="223">
        <v>0</v>
      </c>
      <c r="F511" s="220">
        <v>140.27000000000001</v>
      </c>
      <c r="G511" s="223">
        <v>8.3999999999999995E-3</v>
      </c>
      <c r="H511" s="220">
        <v>165.28</v>
      </c>
      <c r="I511" s="223">
        <v>5.9999999999999995E-4</v>
      </c>
      <c r="J511" s="220">
        <v>-135.44999999999999</v>
      </c>
      <c r="K511" s="223">
        <v>3.9300000000000002E-2</v>
      </c>
      <c r="L511" s="220">
        <v>51.61</v>
      </c>
      <c r="M511" s="223">
        <v>0</v>
      </c>
      <c r="N511" s="220">
        <v>65.569999999999993</v>
      </c>
      <c r="AC511" s="213"/>
    </row>
    <row r="512" spans="1:29" ht="12.75" customHeight="1" x14ac:dyDescent="0.2">
      <c r="A512" s="6">
        <v>4.5</v>
      </c>
      <c r="B512" s="9"/>
      <c r="C512" s="223">
        <v>1.2800000000000001E-2</v>
      </c>
      <c r="D512" s="220">
        <v>-105.27</v>
      </c>
      <c r="E512" s="223">
        <v>0</v>
      </c>
      <c r="F512" s="220">
        <v>-34.119999999999997</v>
      </c>
      <c r="G512" s="223">
        <v>0.01</v>
      </c>
      <c r="H512" s="220">
        <v>152.80000000000001</v>
      </c>
      <c r="I512" s="223">
        <v>2.9999999999999997E-4</v>
      </c>
      <c r="J512" s="220">
        <v>42.85</v>
      </c>
      <c r="K512" s="223">
        <v>1.8599999999999998E-2</v>
      </c>
      <c r="L512" s="220">
        <v>-131.32</v>
      </c>
      <c r="M512" s="223">
        <v>0</v>
      </c>
      <c r="N512" s="220">
        <v>-111.72</v>
      </c>
      <c r="AC512" s="213"/>
    </row>
    <row r="513" spans="1:29" ht="12.75" customHeight="1" x14ac:dyDescent="0.2">
      <c r="A513" s="6">
        <v>4</v>
      </c>
      <c r="B513" s="9"/>
      <c r="C513" s="223">
        <v>1.1599999999999999E-2</v>
      </c>
      <c r="D513" s="220">
        <v>41.37</v>
      </c>
      <c r="E513" s="223">
        <v>0</v>
      </c>
      <c r="F513" s="220">
        <v>87.7</v>
      </c>
      <c r="G513" s="223">
        <v>2.2000000000000001E-3</v>
      </c>
      <c r="H513" s="220">
        <v>-75.17</v>
      </c>
      <c r="I513" s="223">
        <v>0</v>
      </c>
      <c r="J513" s="220">
        <v>148.81</v>
      </c>
      <c r="K513" s="223">
        <v>1.8E-3</v>
      </c>
      <c r="L513" s="220">
        <v>-26.41</v>
      </c>
      <c r="M513" s="223">
        <v>0</v>
      </c>
      <c r="N513" s="220">
        <v>-15.39</v>
      </c>
      <c r="AC513" s="213"/>
    </row>
    <row r="514" spans="1:29" ht="12.75" customHeight="1" x14ac:dyDescent="0.2">
      <c r="A514" s="6">
        <v>3.5</v>
      </c>
      <c r="B514" s="9"/>
      <c r="C514" s="223">
        <v>3.8999999999999998E-3</v>
      </c>
      <c r="D514" s="220">
        <v>-121.99</v>
      </c>
      <c r="E514" s="223">
        <v>0</v>
      </c>
      <c r="F514" s="220">
        <v>-164.25</v>
      </c>
      <c r="G514" s="223">
        <v>1.8E-3</v>
      </c>
      <c r="H514" s="220">
        <v>51.17</v>
      </c>
      <c r="I514" s="223">
        <v>1E-4</v>
      </c>
      <c r="J514" s="220">
        <v>-109.91</v>
      </c>
      <c r="K514" s="223">
        <v>5.1000000000000004E-3</v>
      </c>
      <c r="L514" s="220">
        <v>73.459999999999994</v>
      </c>
      <c r="M514" s="223">
        <v>0</v>
      </c>
      <c r="N514" s="220">
        <v>79.260000000000005</v>
      </c>
      <c r="AC514" s="213"/>
    </row>
    <row r="515" spans="1:29" ht="12.75" customHeight="1" x14ac:dyDescent="0.2">
      <c r="A515" s="6">
        <v>3</v>
      </c>
      <c r="B515" s="9"/>
      <c r="C515" s="223">
        <v>5.4000000000000003E-3</v>
      </c>
      <c r="D515" s="220">
        <v>-102.42</v>
      </c>
      <c r="E515" s="223">
        <v>0</v>
      </c>
      <c r="F515" s="220">
        <v>-73.67</v>
      </c>
      <c r="G515" s="223">
        <v>8.0000000000000004E-4</v>
      </c>
      <c r="H515" s="220">
        <v>111.72</v>
      </c>
      <c r="I515" s="223">
        <v>0</v>
      </c>
      <c r="J515" s="220">
        <v>-34.92</v>
      </c>
      <c r="K515" s="223">
        <v>6.9999999999999999E-4</v>
      </c>
      <c r="L515" s="220">
        <v>147.33000000000001</v>
      </c>
      <c r="M515" s="223">
        <v>0</v>
      </c>
      <c r="N515" s="220">
        <v>152.52000000000001</v>
      </c>
      <c r="AC515" s="213"/>
    </row>
    <row r="516" spans="1:29" ht="12.75" customHeight="1" x14ac:dyDescent="0.2">
      <c r="A516" s="6">
        <v>0</v>
      </c>
      <c r="B516" s="9"/>
      <c r="C516" s="223">
        <v>0</v>
      </c>
      <c r="D516" s="220">
        <v>0</v>
      </c>
      <c r="E516" s="223">
        <v>0</v>
      </c>
      <c r="F516" s="220">
        <v>0</v>
      </c>
      <c r="G516" s="223">
        <v>0</v>
      </c>
      <c r="H516" s="220">
        <v>0</v>
      </c>
      <c r="I516" s="223">
        <v>0</v>
      </c>
      <c r="J516" s="220">
        <v>0</v>
      </c>
      <c r="K516" s="223">
        <v>0</v>
      </c>
      <c r="L516" s="220">
        <v>0</v>
      </c>
      <c r="M516" s="223">
        <v>0</v>
      </c>
      <c r="N516" s="220">
        <v>0</v>
      </c>
    </row>
    <row r="517" spans="1:29" ht="12.75" customHeight="1" x14ac:dyDescent="0.2">
      <c r="A517" s="6">
        <v>0</v>
      </c>
      <c r="B517" s="9"/>
      <c r="C517" s="223">
        <v>0</v>
      </c>
      <c r="D517" s="220">
        <v>0</v>
      </c>
      <c r="E517" s="223">
        <v>0</v>
      </c>
      <c r="F517" s="220">
        <v>0</v>
      </c>
      <c r="G517" s="223">
        <v>0</v>
      </c>
      <c r="H517" s="220">
        <v>0</v>
      </c>
      <c r="I517" s="223">
        <v>0</v>
      </c>
      <c r="J517" s="220">
        <v>0</v>
      </c>
      <c r="K517" s="223">
        <v>0</v>
      </c>
      <c r="L517" s="220">
        <v>0</v>
      </c>
      <c r="M517" s="223">
        <v>0</v>
      </c>
      <c r="N517" s="220">
        <v>0</v>
      </c>
    </row>
    <row r="518" spans="1:29" ht="12.75" customHeight="1" x14ac:dyDescent="0.2">
      <c r="A518" s="6">
        <v>0</v>
      </c>
      <c r="B518" s="9"/>
      <c r="C518" s="223">
        <v>0</v>
      </c>
      <c r="D518" s="220">
        <v>0</v>
      </c>
      <c r="E518" s="223">
        <v>0</v>
      </c>
      <c r="F518" s="220">
        <v>0</v>
      </c>
      <c r="G518" s="223">
        <v>0</v>
      </c>
      <c r="H518" s="220">
        <v>0</v>
      </c>
      <c r="I518" s="223">
        <v>0</v>
      </c>
      <c r="J518" s="220">
        <v>0</v>
      </c>
      <c r="K518" s="223">
        <v>0</v>
      </c>
      <c r="L518" s="220">
        <v>0</v>
      </c>
      <c r="M518" s="223">
        <v>0</v>
      </c>
      <c r="N518" s="220">
        <v>0</v>
      </c>
    </row>
    <row r="519" spans="1:29" ht="12.75" customHeight="1" x14ac:dyDescent="0.2">
      <c r="A519" s="6">
        <v>0</v>
      </c>
      <c r="B519" s="9"/>
      <c r="C519" s="223">
        <v>0</v>
      </c>
      <c r="D519" s="220">
        <v>0</v>
      </c>
      <c r="E519" s="223">
        <v>0</v>
      </c>
      <c r="F519" s="220">
        <v>0</v>
      </c>
      <c r="G519" s="223">
        <v>0</v>
      </c>
      <c r="H519" s="220">
        <v>0</v>
      </c>
      <c r="I519" s="223">
        <v>0</v>
      </c>
      <c r="J519" s="220">
        <v>0</v>
      </c>
      <c r="K519" s="223">
        <v>0</v>
      </c>
      <c r="L519" s="220">
        <v>0</v>
      </c>
      <c r="M519" s="223">
        <v>0</v>
      </c>
      <c r="N519" s="220">
        <v>0</v>
      </c>
    </row>
    <row r="520" spans="1:29" ht="12.75" customHeight="1" thickBot="1" x14ac:dyDescent="0.25">
      <c r="A520" s="10">
        <v>0</v>
      </c>
      <c r="B520" s="11"/>
      <c r="C520" s="12">
        <v>0</v>
      </c>
      <c r="D520" s="13">
        <v>0</v>
      </c>
      <c r="E520" s="12">
        <v>0</v>
      </c>
      <c r="F520" s="13">
        <v>0</v>
      </c>
      <c r="G520" s="12">
        <v>0</v>
      </c>
      <c r="H520" s="13">
        <v>0</v>
      </c>
      <c r="I520" s="12">
        <v>0</v>
      </c>
      <c r="J520" s="13">
        <v>0</v>
      </c>
      <c r="K520" s="12">
        <v>0</v>
      </c>
      <c r="L520" s="13">
        <v>0</v>
      </c>
      <c r="M520" s="12">
        <v>0</v>
      </c>
      <c r="N520" s="13">
        <v>0</v>
      </c>
    </row>
  </sheetData>
  <sheetProtection password="F3C4" sheet="1" objects="1" scenarios="1"/>
  <mergeCells count="130">
    <mergeCell ref="A481:N481"/>
    <mergeCell ref="A482:N482"/>
    <mergeCell ref="A483:A484"/>
    <mergeCell ref="B483:B484"/>
    <mergeCell ref="C483:D483"/>
    <mergeCell ref="E483:F483"/>
    <mergeCell ref="G483:H483"/>
    <mergeCell ref="I483:J483"/>
    <mergeCell ref="K483:L483"/>
    <mergeCell ref="M483:N483"/>
    <mergeCell ref="A441:N441"/>
    <mergeCell ref="A442:N442"/>
    <mergeCell ref="A443:A444"/>
    <mergeCell ref="B443:B444"/>
    <mergeCell ref="C443:D443"/>
    <mergeCell ref="E443:F443"/>
    <mergeCell ref="G443:H443"/>
    <mergeCell ref="I443:J443"/>
    <mergeCell ref="K443:L443"/>
    <mergeCell ref="M443:N443"/>
    <mergeCell ref="A401:N401"/>
    <mergeCell ref="A402:N402"/>
    <mergeCell ref="A403:A404"/>
    <mergeCell ref="B403:B404"/>
    <mergeCell ref="C403:D403"/>
    <mergeCell ref="E403:F403"/>
    <mergeCell ref="G403:H403"/>
    <mergeCell ref="I403:J403"/>
    <mergeCell ref="K403:L403"/>
    <mergeCell ref="M403:N403"/>
    <mergeCell ref="A361:N361"/>
    <mergeCell ref="A362:N362"/>
    <mergeCell ref="A363:A364"/>
    <mergeCell ref="B363:B364"/>
    <mergeCell ref="C363:D363"/>
    <mergeCell ref="E363:F363"/>
    <mergeCell ref="G363:H363"/>
    <mergeCell ref="I363:J363"/>
    <mergeCell ref="K363:L363"/>
    <mergeCell ref="M363:N363"/>
    <mergeCell ref="A321:N321"/>
    <mergeCell ref="A322:N322"/>
    <mergeCell ref="A323:A324"/>
    <mergeCell ref="B323:B324"/>
    <mergeCell ref="C323:D323"/>
    <mergeCell ref="E323:F323"/>
    <mergeCell ref="G323:H323"/>
    <mergeCell ref="I323:J323"/>
    <mergeCell ref="K323:L323"/>
    <mergeCell ref="M323:N323"/>
    <mergeCell ref="A281:N281"/>
    <mergeCell ref="A282:N282"/>
    <mergeCell ref="A283:A284"/>
    <mergeCell ref="B283:B284"/>
    <mergeCell ref="C283:D283"/>
    <mergeCell ref="E283:F283"/>
    <mergeCell ref="G283:H283"/>
    <mergeCell ref="I283:J283"/>
    <mergeCell ref="K283:L283"/>
    <mergeCell ref="M283:N283"/>
    <mergeCell ref="A241:N241"/>
    <mergeCell ref="A242:N242"/>
    <mergeCell ref="A243:A244"/>
    <mergeCell ref="B243:B244"/>
    <mergeCell ref="C243:D243"/>
    <mergeCell ref="E243:F243"/>
    <mergeCell ref="G243:H243"/>
    <mergeCell ref="I243:J243"/>
    <mergeCell ref="K243:L243"/>
    <mergeCell ref="M243:N243"/>
    <mergeCell ref="A201:N201"/>
    <mergeCell ref="A202:N202"/>
    <mergeCell ref="A203:A204"/>
    <mergeCell ref="B203:B204"/>
    <mergeCell ref="C203:D203"/>
    <mergeCell ref="E203:F203"/>
    <mergeCell ref="G203:H203"/>
    <mergeCell ref="I203:J203"/>
    <mergeCell ref="K203:L203"/>
    <mergeCell ref="M203:N203"/>
    <mergeCell ref="A161:N161"/>
    <mergeCell ref="A162:N162"/>
    <mergeCell ref="A163:A164"/>
    <mergeCell ref="B163:B164"/>
    <mergeCell ref="C163:D163"/>
    <mergeCell ref="E163:F163"/>
    <mergeCell ref="G163:H163"/>
    <mergeCell ref="I163:J163"/>
    <mergeCell ref="K163:L163"/>
    <mergeCell ref="M163:N163"/>
    <mergeCell ref="A121:N121"/>
    <mergeCell ref="A122:N122"/>
    <mergeCell ref="A123:A124"/>
    <mergeCell ref="B123:B124"/>
    <mergeCell ref="C123:D123"/>
    <mergeCell ref="E123:F123"/>
    <mergeCell ref="G123:H123"/>
    <mergeCell ref="I123:J123"/>
    <mergeCell ref="K123:L123"/>
    <mergeCell ref="M123:N123"/>
    <mergeCell ref="A81:N81"/>
    <mergeCell ref="A82:N82"/>
    <mergeCell ref="A83:A84"/>
    <mergeCell ref="B83:B84"/>
    <mergeCell ref="C83:D83"/>
    <mergeCell ref="E83:F83"/>
    <mergeCell ref="G83:H83"/>
    <mergeCell ref="I83:J83"/>
    <mergeCell ref="K83:L83"/>
    <mergeCell ref="M83:N83"/>
    <mergeCell ref="A41:N41"/>
    <mergeCell ref="A42:N42"/>
    <mergeCell ref="A43:A44"/>
    <mergeCell ref="B43:B44"/>
    <mergeCell ref="C43:D43"/>
    <mergeCell ref="E43:F43"/>
    <mergeCell ref="G43:H43"/>
    <mergeCell ref="I43:J43"/>
    <mergeCell ref="K43:L43"/>
    <mergeCell ref="M43:N43"/>
    <mergeCell ref="A1:N1"/>
    <mergeCell ref="A2:N2"/>
    <mergeCell ref="A3:A4"/>
    <mergeCell ref="B3:B4"/>
    <mergeCell ref="C3:D3"/>
    <mergeCell ref="E3:F3"/>
    <mergeCell ref="G3:H3"/>
    <mergeCell ref="I3:J3"/>
    <mergeCell ref="K3:L3"/>
    <mergeCell ref="M3:N3"/>
  </mergeCells>
  <printOptions horizontalCentered="1"/>
  <pageMargins left="0.75" right="0.75" top="1" bottom="1" header="0.5" footer="0.5"/>
  <pageSetup scale="70" orientation="portrait" r:id="rId1"/>
  <headerFooter alignWithMargins="0">
    <oddHeader>&amp;L&amp;"Arial,Bold"DTCEL Motion RAOs&amp;R&amp;"Arial,Bold"&amp;D</oddHeader>
  </headerFooter>
  <rowBreaks count="4" manualBreakCount="4">
    <brk id="80" max="28" man="1"/>
    <brk id="160" max="28" man="1"/>
    <brk id="240" max="28" man="1"/>
    <brk id="320" max="28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60"/>
  <sheetViews>
    <sheetView workbookViewId="0">
      <selection activeCell="J19" sqref="J19"/>
    </sheetView>
  </sheetViews>
  <sheetFormatPr defaultRowHeight="12.75" x14ac:dyDescent="0.2"/>
  <cols>
    <col min="8" max="8" width="9.6640625" bestFit="1" customWidth="1"/>
  </cols>
  <sheetData>
    <row r="1" spans="1:31" x14ac:dyDescent="0.2">
      <c r="A1" s="215" t="s">
        <v>13</v>
      </c>
      <c r="B1" s="403" t="s">
        <v>23</v>
      </c>
      <c r="C1" s="403"/>
      <c r="D1" s="403"/>
      <c r="E1" s="403" t="s">
        <v>24</v>
      </c>
      <c r="F1" s="403"/>
      <c r="G1" s="403"/>
      <c r="H1" t="s">
        <v>212</v>
      </c>
      <c r="K1" s="403" t="s">
        <v>23</v>
      </c>
      <c r="L1" s="403"/>
      <c r="M1" s="403"/>
      <c r="N1" s="403" t="s">
        <v>24</v>
      </c>
      <c r="O1" s="403"/>
      <c r="P1" s="403"/>
      <c r="S1">
        <v>1844.1</v>
      </c>
      <c r="T1">
        <v>1943</v>
      </c>
      <c r="U1">
        <v>1921.8</v>
      </c>
      <c r="V1">
        <v>1466.1</v>
      </c>
      <c r="W1">
        <v>763.1</v>
      </c>
      <c r="X1">
        <v>10.6</v>
      </c>
      <c r="Y1">
        <v>-568.79999999999995</v>
      </c>
      <c r="Z1">
        <v>-1059.8</v>
      </c>
      <c r="AA1">
        <v>-1176.4000000000001</v>
      </c>
      <c r="AB1">
        <v>-1414.9</v>
      </c>
      <c r="AC1">
        <v>-1784.1</v>
      </c>
      <c r="AD1">
        <v>-1789.4</v>
      </c>
      <c r="AE1">
        <v>-1716.9</v>
      </c>
    </row>
    <row r="2" spans="1:31" x14ac:dyDescent="0.2">
      <c r="A2" s="215" t="s">
        <v>25</v>
      </c>
      <c r="B2" s="215" t="s">
        <v>26</v>
      </c>
      <c r="C2" s="215" t="s">
        <v>27</v>
      </c>
      <c r="D2" s="215" t="s">
        <v>28</v>
      </c>
      <c r="E2" s="215" t="s">
        <v>26</v>
      </c>
      <c r="F2" s="215" t="s">
        <v>27</v>
      </c>
      <c r="G2" s="215" t="s">
        <v>28</v>
      </c>
      <c r="I2" s="218" t="s">
        <v>131</v>
      </c>
      <c r="J2" s="218">
        <v>13</v>
      </c>
      <c r="K2" s="215" t="s">
        <v>26</v>
      </c>
      <c r="L2" s="215" t="s">
        <v>27</v>
      </c>
      <c r="M2" s="215" t="s">
        <v>28</v>
      </c>
      <c r="N2" s="215" t="s">
        <v>26</v>
      </c>
      <c r="O2" s="215" t="s">
        <v>27</v>
      </c>
      <c r="P2" s="215" t="s">
        <v>28</v>
      </c>
      <c r="S2">
        <v>-203.3</v>
      </c>
      <c r="T2">
        <v>1858.4</v>
      </c>
      <c r="U2">
        <v>4079.8</v>
      </c>
      <c r="V2">
        <v>6330.2</v>
      </c>
      <c r="W2">
        <v>7912.8</v>
      </c>
      <c r="X2">
        <v>8725.7999999999993</v>
      </c>
      <c r="Y2">
        <v>9277.6</v>
      </c>
      <c r="Z2">
        <v>8747.6</v>
      </c>
      <c r="AA2">
        <v>7883.7</v>
      </c>
      <c r="AB2">
        <v>6460.9</v>
      </c>
      <c r="AC2">
        <v>4268.5</v>
      </c>
      <c r="AD2">
        <v>1981.8</v>
      </c>
      <c r="AE2">
        <v>217.8</v>
      </c>
    </row>
    <row r="3" spans="1:31" x14ac:dyDescent="0.2">
      <c r="A3" s="215" t="s">
        <v>29</v>
      </c>
      <c r="B3" s="215" t="s">
        <v>30</v>
      </c>
      <c r="C3" s="215" t="s">
        <v>30</v>
      </c>
      <c r="D3" s="215" t="s">
        <v>31</v>
      </c>
      <c r="E3" s="215" t="s">
        <v>30</v>
      </c>
      <c r="F3" s="215" t="s">
        <v>30</v>
      </c>
      <c r="G3" s="215" t="s">
        <v>31</v>
      </c>
      <c r="K3" s="215" t="s">
        <v>132</v>
      </c>
      <c r="L3" s="215" t="s">
        <v>132</v>
      </c>
      <c r="M3" s="215" t="s">
        <v>133</v>
      </c>
      <c r="N3" s="215" t="s">
        <v>132</v>
      </c>
      <c r="O3" s="215" t="s">
        <v>132</v>
      </c>
      <c r="P3" s="215" t="s">
        <v>133</v>
      </c>
      <c r="S3">
        <v>-24622</v>
      </c>
      <c r="T3">
        <v>-192873</v>
      </c>
      <c r="U3">
        <v>-369331</v>
      </c>
      <c r="V3">
        <v>-443197</v>
      </c>
      <c r="W3">
        <v>-426782</v>
      </c>
      <c r="X3">
        <v>-340605</v>
      </c>
      <c r="Y3">
        <v>-147732</v>
      </c>
      <c r="Z3">
        <v>49244</v>
      </c>
      <c r="AA3">
        <v>213391</v>
      </c>
      <c r="AB3">
        <v>287257</v>
      </c>
      <c r="AC3">
        <v>221599</v>
      </c>
      <c r="AD3">
        <v>119007</v>
      </c>
      <c r="AE3">
        <v>16415</v>
      </c>
    </row>
    <row r="4" spans="1:31" x14ac:dyDescent="0.2">
      <c r="A4" s="214">
        <v>0</v>
      </c>
      <c r="B4">
        <f>K4*$J$4/$J$5^2</f>
        <v>0.59625286303655933</v>
      </c>
      <c r="C4">
        <f>L4*$J$4/$J$5^2</f>
        <v>1.4364077644821954E-2</v>
      </c>
      <c r="D4">
        <f>M4*$J$4/$J$5</f>
        <v>0.92875597973753266</v>
      </c>
      <c r="E4">
        <f>N4*$J$4/$J$5^2</f>
        <v>88.295985282720551</v>
      </c>
      <c r="F4">
        <v>0</v>
      </c>
      <c r="G4">
        <f>P4*$J$4/$J$5</f>
        <v>-359.33107688713909</v>
      </c>
      <c r="H4">
        <f t="shared" ref="H4:H16" si="0">IF(H18&lt;0,H18+2*PI(),H18)</f>
        <v>0</v>
      </c>
      <c r="I4" s="219" t="s">
        <v>134</v>
      </c>
      <c r="J4" s="219">
        <v>4.4482215999999998E-3</v>
      </c>
      <c r="K4">
        <v>12.452999999999999</v>
      </c>
      <c r="L4">
        <v>0.3</v>
      </c>
      <c r="M4">
        <v>63.64</v>
      </c>
      <c r="N4">
        <v>1844.1</v>
      </c>
      <c r="O4">
        <v>-203.3</v>
      </c>
      <c r="P4">
        <v>-24622</v>
      </c>
    </row>
    <row r="5" spans="1:31" x14ac:dyDescent="0.2">
      <c r="A5" s="214">
        <v>15</v>
      </c>
      <c r="B5">
        <f t="shared" ref="B5:C16" si="1">K5*$J$4/$J$5^2</f>
        <v>0.69043333212777525</v>
      </c>
      <c r="C5">
        <f t="shared" si="1"/>
        <v>0.35488847834473441</v>
      </c>
      <c r="D5">
        <f t="shared" ref="D5:D16" si="2">M5*$J$4/$J$5</f>
        <v>-7.7401682742519684</v>
      </c>
      <c r="E5">
        <f t="shared" ref="E5:F16" si="3">N5*$J$4/$J$5^2</f>
        <v>93.031342879630188</v>
      </c>
      <c r="F5">
        <f t="shared" si="3"/>
        <v>88.980672983790399</v>
      </c>
      <c r="G5">
        <f t="shared" ref="G5:G16" si="4">P5*$J$4/$J$5</f>
        <v>-2814.7698315511807</v>
      </c>
      <c r="H5">
        <f t="shared" si="0"/>
        <v>0.76314687777551038</v>
      </c>
      <c r="I5" s="219" t="s">
        <v>130</v>
      </c>
      <c r="J5" s="219">
        <v>0.30480000000000002</v>
      </c>
      <c r="K5">
        <v>14.42</v>
      </c>
      <c r="L5">
        <v>7.4119999999999999</v>
      </c>
      <c r="M5">
        <v>-530.37</v>
      </c>
      <c r="N5">
        <v>1943</v>
      </c>
      <c r="O5">
        <v>1858.4</v>
      </c>
      <c r="P5">
        <v>-192873</v>
      </c>
      <c r="S5">
        <v>12.452999999999999</v>
      </c>
      <c r="T5">
        <v>14.42</v>
      </c>
      <c r="U5">
        <v>15.938000000000001</v>
      </c>
      <c r="V5">
        <v>14.119</v>
      </c>
      <c r="W5">
        <v>9.5709999999999997</v>
      </c>
      <c r="X5">
        <v>3.831</v>
      </c>
      <c r="Y5">
        <v>-1.909</v>
      </c>
      <c r="Z5">
        <v>-6.1369999999999996</v>
      </c>
      <c r="AA5">
        <v>-11.031000000000001</v>
      </c>
      <c r="AB5">
        <v>-13.798</v>
      </c>
      <c r="AC5">
        <v>-14.888</v>
      </c>
      <c r="AD5">
        <v>-13.843</v>
      </c>
      <c r="AE5">
        <v>-12.991</v>
      </c>
    </row>
    <row r="6" spans="1:31" x14ac:dyDescent="0.2">
      <c r="A6" s="214">
        <v>30</v>
      </c>
      <c r="B6">
        <f t="shared" si="1"/>
        <v>0.76311556501057443</v>
      </c>
      <c r="C6">
        <f t="shared" si="1"/>
        <v>0.83732996617548783</v>
      </c>
      <c r="D6">
        <f t="shared" si="2"/>
        <v>-13.312996030734908</v>
      </c>
      <c r="E6">
        <f t="shared" si="3"/>
        <v>92.016281392729425</v>
      </c>
      <c r="F6">
        <f t="shared" si="3"/>
        <v>195.34187991781536</v>
      </c>
      <c r="G6">
        <f t="shared" si="4"/>
        <v>-5389.9807472099728</v>
      </c>
      <c r="H6">
        <f t="shared" si="0"/>
        <v>1.1305737177968909</v>
      </c>
      <c r="K6">
        <v>15.938000000000001</v>
      </c>
      <c r="L6">
        <v>17.488</v>
      </c>
      <c r="M6">
        <v>-912.23</v>
      </c>
      <c r="N6">
        <v>1921.8</v>
      </c>
      <c r="O6">
        <v>4079.8</v>
      </c>
      <c r="P6">
        <v>-369331</v>
      </c>
      <c r="S6">
        <v>0.3</v>
      </c>
      <c r="T6">
        <v>7.4119999999999999</v>
      </c>
      <c r="U6">
        <v>17.488</v>
      </c>
      <c r="V6">
        <v>27.658999999999999</v>
      </c>
      <c r="W6">
        <v>35.24</v>
      </c>
      <c r="X6">
        <v>39.274000000000001</v>
      </c>
      <c r="Y6">
        <v>40.305999999999997</v>
      </c>
      <c r="Z6">
        <v>40.832000000000001</v>
      </c>
      <c r="AA6">
        <v>38.091999999999999</v>
      </c>
      <c r="AB6">
        <v>30.699000000000002</v>
      </c>
      <c r="AC6">
        <v>20.678000000000001</v>
      </c>
      <c r="AD6">
        <v>9.0820000000000007</v>
      </c>
      <c r="AE6">
        <v>-0.113</v>
      </c>
    </row>
    <row r="7" spans="1:31" x14ac:dyDescent="0.2">
      <c r="A7" s="214">
        <v>45</v>
      </c>
      <c r="B7">
        <f t="shared" si="1"/>
        <v>0.67602137422413722</v>
      </c>
      <c r="C7">
        <f t="shared" si="1"/>
        <v>1.3243200785937681</v>
      </c>
      <c r="D7">
        <f t="shared" si="2"/>
        <v>-16.563933837874014</v>
      </c>
      <c r="E7">
        <f t="shared" si="3"/>
        <v>70.197247450244888</v>
      </c>
      <c r="F7">
        <f t="shared" si="3"/>
        <v>303.09161435750644</v>
      </c>
      <c r="G7">
        <f t="shared" si="4"/>
        <v>-6467.9739778713902</v>
      </c>
      <c r="H7">
        <f t="shared" si="0"/>
        <v>1.3432050081862168</v>
      </c>
      <c r="K7">
        <v>14.119</v>
      </c>
      <c r="L7">
        <v>27.658999999999999</v>
      </c>
      <c r="M7">
        <v>-1134.99</v>
      </c>
      <c r="N7">
        <v>1466.1</v>
      </c>
      <c r="O7">
        <v>6330.2</v>
      </c>
      <c r="P7">
        <v>-443197</v>
      </c>
      <c r="S7">
        <v>63.64</v>
      </c>
      <c r="T7">
        <v>-530.37</v>
      </c>
      <c r="U7">
        <v>-912.23</v>
      </c>
      <c r="V7">
        <v>-1134.99</v>
      </c>
      <c r="W7">
        <v>-1145.5899999999999</v>
      </c>
      <c r="X7">
        <v>-700.09</v>
      </c>
      <c r="Y7">
        <v>-275.79000000000002</v>
      </c>
      <c r="Z7">
        <v>63.64</v>
      </c>
      <c r="AA7">
        <v>169.72</v>
      </c>
      <c r="AB7">
        <v>360.65</v>
      </c>
      <c r="AC7">
        <v>424.29</v>
      </c>
      <c r="AD7">
        <v>381.86</v>
      </c>
      <c r="AE7">
        <v>106.07</v>
      </c>
    </row>
    <row r="8" spans="1:31" x14ac:dyDescent="0.2">
      <c r="A8" s="214">
        <v>60</v>
      </c>
      <c r="B8">
        <f t="shared" si="1"/>
        <v>0.45826195712863643</v>
      </c>
      <c r="C8">
        <f t="shared" si="1"/>
        <v>1.6873003206784192</v>
      </c>
      <c r="D8">
        <f t="shared" si="2"/>
        <v>-16.718629208477687</v>
      </c>
      <c r="E8">
        <f t="shared" si="3"/>
        <v>36.537425502545446</v>
      </c>
      <c r="F8">
        <f t="shared" si="3"/>
        <v>378.86691195982382</v>
      </c>
      <c r="G8">
        <f t="shared" si="4"/>
        <v>-6228.4150619790016</v>
      </c>
      <c r="H8">
        <f t="shared" si="0"/>
        <v>1.474654961214338</v>
      </c>
      <c r="K8">
        <v>9.5709999999999997</v>
      </c>
      <c r="L8">
        <v>35.24</v>
      </c>
      <c r="M8">
        <v>-1145.5899999999999</v>
      </c>
      <c r="N8">
        <v>763.1</v>
      </c>
      <c r="O8">
        <v>7912.8</v>
      </c>
      <c r="P8">
        <v>-426782</v>
      </c>
    </row>
    <row r="9" spans="1:31" x14ac:dyDescent="0.2">
      <c r="A9" s="214">
        <v>75</v>
      </c>
      <c r="B9">
        <f t="shared" si="1"/>
        <v>0.18342927152437635</v>
      </c>
      <c r="C9">
        <f t="shared" si="1"/>
        <v>1.8804492847424581</v>
      </c>
      <c r="D9">
        <f t="shared" si="2"/>
        <v>-10.217045472257217</v>
      </c>
      <c r="E9">
        <f t="shared" si="3"/>
        <v>0.50753074345037563</v>
      </c>
      <c r="F9">
        <f t="shared" si="3"/>
        <v>417.79356237729138</v>
      </c>
      <c r="G9">
        <f t="shared" si="4"/>
        <v>-4970.7562928740153</v>
      </c>
      <c r="H9">
        <f t="shared" si="0"/>
        <v>1.569581539063591</v>
      </c>
      <c r="K9">
        <v>3.831</v>
      </c>
      <c r="L9">
        <v>39.274000000000001</v>
      </c>
      <c r="M9">
        <v>-700.09</v>
      </c>
      <c r="N9">
        <v>10.6</v>
      </c>
      <c r="O9">
        <v>8725.7999999999993</v>
      </c>
      <c r="P9">
        <v>-340605</v>
      </c>
    </row>
    <row r="10" spans="1:31" x14ac:dyDescent="0.2">
      <c r="A10" s="214">
        <v>90</v>
      </c>
      <c r="B10">
        <f t="shared" si="1"/>
        <v>-9.1403414079883699E-2</v>
      </c>
      <c r="C10">
        <f t="shared" si="1"/>
        <v>1.9298617118406458</v>
      </c>
      <c r="D10">
        <f t="shared" si="2"/>
        <v>-4.024852477244095</v>
      </c>
      <c r="E10">
        <f t="shared" si="3"/>
        <v>-27.234291214582424</v>
      </c>
      <c r="F10">
        <f t="shared" si="3"/>
        <v>444.21388919200058</v>
      </c>
      <c r="G10">
        <f t="shared" si="4"/>
        <v>-2155.9864613228342</v>
      </c>
      <c r="H10">
        <f t="shared" si="0"/>
        <v>1.6320286429821294</v>
      </c>
      <c r="K10">
        <v>-1.909</v>
      </c>
      <c r="L10">
        <v>40.305999999999997</v>
      </c>
      <c r="M10">
        <v>-275.79000000000002</v>
      </c>
      <c r="N10">
        <v>-568.79999999999995</v>
      </c>
      <c r="O10">
        <v>9277.6</v>
      </c>
      <c r="P10">
        <v>-147732</v>
      </c>
    </row>
    <row r="11" spans="1:31" x14ac:dyDescent="0.2">
      <c r="A11" s="214">
        <v>105</v>
      </c>
      <c r="B11">
        <f t="shared" si="1"/>
        <v>-0.29384114835424113</v>
      </c>
      <c r="C11">
        <f t="shared" si="1"/>
        <v>1.9550467279779002</v>
      </c>
      <c r="D11">
        <f t="shared" si="2"/>
        <v>0.92875597973753266</v>
      </c>
      <c r="E11">
        <f t="shared" si="3"/>
        <v>-50.743498293274357</v>
      </c>
      <c r="F11">
        <f t="shared" si="3"/>
        <v>418.83735201948178</v>
      </c>
      <c r="G11">
        <f t="shared" si="4"/>
        <v>718.66215377427818</v>
      </c>
      <c r="H11">
        <f t="shared" si="0"/>
        <v>1.6913619570697829</v>
      </c>
      <c r="K11">
        <v>-6.1369999999999996</v>
      </c>
      <c r="L11">
        <v>40.832000000000001</v>
      </c>
      <c r="M11">
        <v>63.64</v>
      </c>
      <c r="N11">
        <v>-1059.8</v>
      </c>
      <c r="O11">
        <v>8747.6</v>
      </c>
      <c r="P11">
        <v>49244</v>
      </c>
    </row>
    <row r="12" spans="1:31" x14ac:dyDescent="0.2">
      <c r="A12" s="214">
        <v>120</v>
      </c>
      <c r="B12">
        <f t="shared" si="1"/>
        <v>-0.52816713500010326</v>
      </c>
      <c r="C12">
        <f t="shared" si="1"/>
        <v>1.8238548188218595</v>
      </c>
      <c r="D12">
        <f t="shared" si="2"/>
        <v>2.4768771980052491</v>
      </c>
      <c r="E12">
        <f t="shared" si="3"/>
        <v>-56.326336471228494</v>
      </c>
      <c r="F12">
        <f t="shared" si="3"/>
        <v>377.4735964282761</v>
      </c>
      <c r="G12">
        <f t="shared" si="4"/>
        <v>3114.2075309895008</v>
      </c>
      <c r="H12">
        <f t="shared" si="0"/>
        <v>1.7189226420691048</v>
      </c>
      <c r="K12">
        <v>-11.031000000000001</v>
      </c>
      <c r="L12">
        <v>38.091999999999999</v>
      </c>
      <c r="M12">
        <v>169.72</v>
      </c>
      <c r="N12">
        <v>-1176.4000000000001</v>
      </c>
      <c r="O12">
        <v>7883.7</v>
      </c>
      <c r="P12">
        <v>213391</v>
      </c>
    </row>
    <row r="13" spans="1:31" x14ac:dyDescent="0.2">
      <c r="A13" s="214">
        <v>135</v>
      </c>
      <c r="B13">
        <f t="shared" si="1"/>
        <v>-0.66065181114417781</v>
      </c>
      <c r="C13">
        <f t="shared" si="1"/>
        <v>1.4698760653946308</v>
      </c>
      <c r="D13">
        <f t="shared" si="2"/>
        <v>5.263291076246718</v>
      </c>
      <c r="E13">
        <f t="shared" si="3"/>
        <v>-67.745778198861956</v>
      </c>
      <c r="F13">
        <f t="shared" si="3"/>
        <v>309.34956418476719</v>
      </c>
      <c r="G13">
        <f t="shared" si="4"/>
        <v>4192.200761650919</v>
      </c>
      <c r="H13">
        <f t="shared" si="0"/>
        <v>1.7863871180066051</v>
      </c>
      <c r="K13">
        <v>-13.798</v>
      </c>
      <c r="L13">
        <v>30.699000000000002</v>
      </c>
      <c r="M13">
        <v>360.65</v>
      </c>
      <c r="N13">
        <v>-1414.9</v>
      </c>
      <c r="O13">
        <v>6460.9</v>
      </c>
      <c r="P13">
        <v>287257</v>
      </c>
    </row>
    <row r="14" spans="1:31" x14ac:dyDescent="0.2">
      <c r="A14" s="214">
        <v>150</v>
      </c>
      <c r="B14">
        <f t="shared" si="1"/>
        <v>-0.71284129325369749</v>
      </c>
      <c r="C14">
        <f t="shared" si="1"/>
        <v>0.99006799179876137</v>
      </c>
      <c r="D14">
        <f t="shared" si="2"/>
        <v>6.1920470559842515</v>
      </c>
      <c r="E14">
        <f t="shared" si="3"/>
        <v>-85.423169753756156</v>
      </c>
      <c r="F14">
        <f t="shared" si="3"/>
        <v>204.37688475640837</v>
      </c>
      <c r="G14">
        <f t="shared" si="4"/>
        <v>3233.9942858871391</v>
      </c>
      <c r="H14">
        <f t="shared" si="0"/>
        <v>1.9666964787539432</v>
      </c>
      <c r="K14">
        <v>-14.888</v>
      </c>
      <c r="L14">
        <v>20.678000000000001</v>
      </c>
      <c r="M14">
        <v>424.29</v>
      </c>
      <c r="N14">
        <v>-1784.1</v>
      </c>
      <c r="O14">
        <v>4268.5</v>
      </c>
      <c r="P14">
        <v>221599</v>
      </c>
    </row>
    <row r="15" spans="1:31" x14ac:dyDescent="0.2">
      <c r="A15" s="214">
        <v>165</v>
      </c>
      <c r="B15">
        <f t="shared" si="1"/>
        <v>-0.66280642279090107</v>
      </c>
      <c r="C15">
        <f t="shared" si="1"/>
        <v>0.43484851056757667</v>
      </c>
      <c r="D15">
        <f t="shared" si="2"/>
        <v>5.5728277564829387</v>
      </c>
      <c r="E15">
        <f t="shared" si="3"/>
        <v>-85.676935125481364</v>
      </c>
      <c r="F15">
        <f t="shared" si="3"/>
        <v>94.889096921693834</v>
      </c>
      <c r="G15">
        <f t="shared" si="4"/>
        <v>1736.7766008897634</v>
      </c>
      <c r="H15">
        <f t="shared" si="0"/>
        <v>2.3052204421305351</v>
      </c>
      <c r="K15">
        <v>-13.843</v>
      </c>
      <c r="L15">
        <v>9.0820000000000007</v>
      </c>
      <c r="M15">
        <v>381.86</v>
      </c>
      <c r="N15">
        <v>-1789.4</v>
      </c>
      <c r="O15">
        <v>1981.8</v>
      </c>
      <c r="P15">
        <v>119007</v>
      </c>
    </row>
    <row r="16" spans="1:31" x14ac:dyDescent="0.2">
      <c r="A16" s="214">
        <v>180</v>
      </c>
      <c r="B16">
        <f t="shared" si="1"/>
        <v>-0.62201244227960673</v>
      </c>
      <c r="C16">
        <f t="shared" si="1"/>
        <v>-5.4104692462162698E-3</v>
      </c>
      <c r="D16">
        <f t="shared" si="2"/>
        <v>1.5479752792388448</v>
      </c>
      <c r="E16">
        <f t="shared" si="3"/>
        <v>-82.205616361316046</v>
      </c>
      <c r="F16">
        <v>0</v>
      </c>
      <c r="G16">
        <f t="shared" si="4"/>
        <v>239.55891589238843</v>
      </c>
      <c r="H16">
        <f t="shared" si="0"/>
        <v>3.1415926535897931</v>
      </c>
      <c r="K16">
        <v>-12.991</v>
      </c>
      <c r="L16">
        <v>-0.113</v>
      </c>
      <c r="M16">
        <v>106.07</v>
      </c>
      <c r="N16">
        <v>-1716.9</v>
      </c>
      <c r="O16">
        <v>217.8</v>
      </c>
      <c r="P16">
        <v>16415</v>
      </c>
    </row>
    <row r="17" spans="1:8" x14ac:dyDescent="0.2">
      <c r="A17" s="214"/>
    </row>
    <row r="18" spans="1:8" x14ac:dyDescent="0.2">
      <c r="A18" s="214"/>
      <c r="H18">
        <f t="shared" ref="H18:H30" si="5">IF(E4&gt;0,ATAN(F4/E4),ATAN(F4/E4)+PI())</f>
        <v>0</v>
      </c>
    </row>
    <row r="19" spans="1:8" x14ac:dyDescent="0.2">
      <c r="A19" s="214"/>
      <c r="H19">
        <f t="shared" si="5"/>
        <v>0.76314687777551038</v>
      </c>
    </row>
    <row r="20" spans="1:8" x14ac:dyDescent="0.2">
      <c r="A20" s="214"/>
      <c r="H20">
        <f t="shared" si="5"/>
        <v>1.1305737177968909</v>
      </c>
    </row>
    <row r="21" spans="1:8" x14ac:dyDescent="0.2">
      <c r="A21" s="214"/>
      <c r="H21">
        <f t="shared" si="5"/>
        <v>1.3432050081862168</v>
      </c>
    </row>
    <row r="22" spans="1:8" x14ac:dyDescent="0.2">
      <c r="A22" s="214"/>
      <c r="H22">
        <f t="shared" si="5"/>
        <v>1.474654961214338</v>
      </c>
    </row>
    <row r="23" spans="1:8" x14ac:dyDescent="0.2">
      <c r="H23">
        <f t="shared" si="5"/>
        <v>1.569581539063591</v>
      </c>
    </row>
    <row r="24" spans="1:8" x14ac:dyDescent="0.2">
      <c r="H24">
        <f t="shared" si="5"/>
        <v>1.6320286429821294</v>
      </c>
    </row>
    <row r="25" spans="1:8" x14ac:dyDescent="0.2">
      <c r="H25">
        <f t="shared" si="5"/>
        <v>1.6913619570697829</v>
      </c>
    </row>
    <row r="26" spans="1:8" x14ac:dyDescent="0.2">
      <c r="H26">
        <f t="shared" si="5"/>
        <v>1.7189226420691048</v>
      </c>
    </row>
    <row r="27" spans="1:8" x14ac:dyDescent="0.2">
      <c r="H27">
        <f t="shared" si="5"/>
        <v>1.7863871180066051</v>
      </c>
    </row>
    <row r="28" spans="1:8" x14ac:dyDescent="0.2">
      <c r="H28">
        <f t="shared" si="5"/>
        <v>1.9666964787539432</v>
      </c>
    </row>
    <row r="29" spans="1:8" x14ac:dyDescent="0.2">
      <c r="H29">
        <f t="shared" si="5"/>
        <v>2.3052204421305351</v>
      </c>
    </row>
    <row r="30" spans="1:8" x14ac:dyDescent="0.2">
      <c r="H30">
        <f t="shared" si="5"/>
        <v>3.1415926535897931</v>
      </c>
    </row>
    <row r="59" spans="7:11" x14ac:dyDescent="0.2">
      <c r="G59">
        <v>0</v>
      </c>
      <c r="I59">
        <v>0</v>
      </c>
      <c r="K59">
        <v>0</v>
      </c>
    </row>
    <row r="60" spans="7:11" x14ac:dyDescent="0.2">
      <c r="G60">
        <v>8.4636444281241161</v>
      </c>
      <c r="K60">
        <v>187</v>
      </c>
    </row>
  </sheetData>
  <sheetProtection password="F3C4" sheet="1" objects="1" scenarios="1"/>
  <mergeCells count="4">
    <mergeCell ref="B1:D1"/>
    <mergeCell ref="E1:G1"/>
    <mergeCell ref="K1:M1"/>
    <mergeCell ref="N1:P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120"/>
  <sheetViews>
    <sheetView topLeftCell="A43" zoomScale="75" zoomScaleNormal="50" zoomScaleSheetLayoutView="55" workbookViewId="0">
      <selection activeCell="A68" sqref="A68:O68"/>
    </sheetView>
  </sheetViews>
  <sheetFormatPr defaultRowHeight="12.75" customHeight="1" x14ac:dyDescent="0.2"/>
  <cols>
    <col min="1" max="2" width="10.83203125" style="14" customWidth="1"/>
    <col min="3" max="15" width="14" style="14" bestFit="1" customWidth="1"/>
    <col min="16" max="16" width="9.33203125" style="14"/>
    <col min="17" max="18" width="10.83203125" style="14" customWidth="1"/>
    <col min="19" max="19" width="13.6640625" style="14" bestFit="1" customWidth="1"/>
    <col min="20" max="31" width="10.83203125" style="14" customWidth="1"/>
    <col min="32" max="256" width="9.33203125" style="14"/>
    <col min="257" max="258" width="10.83203125" style="14" customWidth="1"/>
    <col min="259" max="271" width="12.83203125" style="14" customWidth="1"/>
    <col min="272" max="272" width="9.33203125" style="14"/>
    <col min="273" max="287" width="10.83203125" style="14" customWidth="1"/>
    <col min="288" max="512" width="9.33203125" style="14"/>
    <col min="513" max="514" width="10.83203125" style="14" customWidth="1"/>
    <col min="515" max="527" width="12.83203125" style="14" customWidth="1"/>
    <col min="528" max="528" width="9.33203125" style="14"/>
    <col min="529" max="543" width="10.83203125" style="14" customWidth="1"/>
    <col min="544" max="768" width="9.33203125" style="14"/>
    <col min="769" max="770" width="10.83203125" style="14" customWidth="1"/>
    <col min="771" max="783" width="12.83203125" style="14" customWidth="1"/>
    <col min="784" max="784" width="9.33203125" style="14"/>
    <col min="785" max="799" width="10.83203125" style="14" customWidth="1"/>
    <col min="800" max="1024" width="9.33203125" style="14"/>
    <col min="1025" max="1026" width="10.83203125" style="14" customWidth="1"/>
    <col min="1027" max="1039" width="12.83203125" style="14" customWidth="1"/>
    <col min="1040" max="1040" width="9.33203125" style="14"/>
    <col min="1041" max="1055" width="10.83203125" style="14" customWidth="1"/>
    <col min="1056" max="1280" width="9.33203125" style="14"/>
    <col min="1281" max="1282" width="10.83203125" style="14" customWidth="1"/>
    <col min="1283" max="1295" width="12.83203125" style="14" customWidth="1"/>
    <col min="1296" max="1296" width="9.33203125" style="14"/>
    <col min="1297" max="1311" width="10.83203125" style="14" customWidth="1"/>
    <col min="1312" max="1536" width="9.33203125" style="14"/>
    <col min="1537" max="1538" width="10.83203125" style="14" customWidth="1"/>
    <col min="1539" max="1551" width="12.83203125" style="14" customWidth="1"/>
    <col min="1552" max="1552" width="9.33203125" style="14"/>
    <col min="1553" max="1567" width="10.83203125" style="14" customWidth="1"/>
    <col min="1568" max="1792" width="9.33203125" style="14"/>
    <col min="1793" max="1794" width="10.83203125" style="14" customWidth="1"/>
    <col min="1795" max="1807" width="12.83203125" style="14" customWidth="1"/>
    <col min="1808" max="1808" width="9.33203125" style="14"/>
    <col min="1809" max="1823" width="10.83203125" style="14" customWidth="1"/>
    <col min="1824" max="2048" width="9.33203125" style="14"/>
    <col min="2049" max="2050" width="10.83203125" style="14" customWidth="1"/>
    <col min="2051" max="2063" width="12.83203125" style="14" customWidth="1"/>
    <col min="2064" max="2064" width="9.33203125" style="14"/>
    <col min="2065" max="2079" width="10.83203125" style="14" customWidth="1"/>
    <col min="2080" max="2304" width="9.33203125" style="14"/>
    <col min="2305" max="2306" width="10.83203125" style="14" customWidth="1"/>
    <col min="2307" max="2319" width="12.83203125" style="14" customWidth="1"/>
    <col min="2320" max="2320" width="9.33203125" style="14"/>
    <col min="2321" max="2335" width="10.83203125" style="14" customWidth="1"/>
    <col min="2336" max="2560" width="9.33203125" style="14"/>
    <col min="2561" max="2562" width="10.83203125" style="14" customWidth="1"/>
    <col min="2563" max="2575" width="12.83203125" style="14" customWidth="1"/>
    <col min="2576" max="2576" width="9.33203125" style="14"/>
    <col min="2577" max="2591" width="10.83203125" style="14" customWidth="1"/>
    <col min="2592" max="2816" width="9.33203125" style="14"/>
    <col min="2817" max="2818" width="10.83203125" style="14" customWidth="1"/>
    <col min="2819" max="2831" width="12.83203125" style="14" customWidth="1"/>
    <col min="2832" max="2832" width="9.33203125" style="14"/>
    <col min="2833" max="2847" width="10.83203125" style="14" customWidth="1"/>
    <col min="2848" max="3072" width="9.33203125" style="14"/>
    <col min="3073" max="3074" width="10.83203125" style="14" customWidth="1"/>
    <col min="3075" max="3087" width="12.83203125" style="14" customWidth="1"/>
    <col min="3088" max="3088" width="9.33203125" style="14"/>
    <col min="3089" max="3103" width="10.83203125" style="14" customWidth="1"/>
    <col min="3104" max="3328" width="9.33203125" style="14"/>
    <col min="3329" max="3330" width="10.83203125" style="14" customWidth="1"/>
    <col min="3331" max="3343" width="12.83203125" style="14" customWidth="1"/>
    <col min="3344" max="3344" width="9.33203125" style="14"/>
    <col min="3345" max="3359" width="10.83203125" style="14" customWidth="1"/>
    <col min="3360" max="3584" width="9.33203125" style="14"/>
    <col min="3585" max="3586" width="10.83203125" style="14" customWidth="1"/>
    <col min="3587" max="3599" width="12.83203125" style="14" customWidth="1"/>
    <col min="3600" max="3600" width="9.33203125" style="14"/>
    <col min="3601" max="3615" width="10.83203125" style="14" customWidth="1"/>
    <col min="3616" max="3840" width="9.33203125" style="14"/>
    <col min="3841" max="3842" width="10.83203125" style="14" customWidth="1"/>
    <col min="3843" max="3855" width="12.83203125" style="14" customWidth="1"/>
    <col min="3856" max="3856" width="9.33203125" style="14"/>
    <col min="3857" max="3871" width="10.83203125" style="14" customWidth="1"/>
    <col min="3872" max="4096" width="9.33203125" style="14"/>
    <col min="4097" max="4098" width="10.83203125" style="14" customWidth="1"/>
    <col min="4099" max="4111" width="12.83203125" style="14" customWidth="1"/>
    <col min="4112" max="4112" width="9.33203125" style="14"/>
    <col min="4113" max="4127" width="10.83203125" style="14" customWidth="1"/>
    <col min="4128" max="4352" width="9.33203125" style="14"/>
    <col min="4353" max="4354" width="10.83203125" style="14" customWidth="1"/>
    <col min="4355" max="4367" width="12.83203125" style="14" customWidth="1"/>
    <col min="4368" max="4368" width="9.33203125" style="14"/>
    <col min="4369" max="4383" width="10.83203125" style="14" customWidth="1"/>
    <col min="4384" max="4608" width="9.33203125" style="14"/>
    <col min="4609" max="4610" width="10.83203125" style="14" customWidth="1"/>
    <col min="4611" max="4623" width="12.83203125" style="14" customWidth="1"/>
    <col min="4624" max="4624" width="9.33203125" style="14"/>
    <col min="4625" max="4639" width="10.83203125" style="14" customWidth="1"/>
    <col min="4640" max="4864" width="9.33203125" style="14"/>
    <col min="4865" max="4866" width="10.83203125" style="14" customWidth="1"/>
    <col min="4867" max="4879" width="12.83203125" style="14" customWidth="1"/>
    <col min="4880" max="4880" width="9.33203125" style="14"/>
    <col min="4881" max="4895" width="10.83203125" style="14" customWidth="1"/>
    <col min="4896" max="5120" width="9.33203125" style="14"/>
    <col min="5121" max="5122" width="10.83203125" style="14" customWidth="1"/>
    <col min="5123" max="5135" width="12.83203125" style="14" customWidth="1"/>
    <col min="5136" max="5136" width="9.33203125" style="14"/>
    <col min="5137" max="5151" width="10.83203125" style="14" customWidth="1"/>
    <col min="5152" max="5376" width="9.33203125" style="14"/>
    <col min="5377" max="5378" width="10.83203125" style="14" customWidth="1"/>
    <col min="5379" max="5391" width="12.83203125" style="14" customWidth="1"/>
    <col min="5392" max="5392" width="9.33203125" style="14"/>
    <col min="5393" max="5407" width="10.83203125" style="14" customWidth="1"/>
    <col min="5408" max="5632" width="9.33203125" style="14"/>
    <col min="5633" max="5634" width="10.83203125" style="14" customWidth="1"/>
    <col min="5635" max="5647" width="12.83203125" style="14" customWidth="1"/>
    <col min="5648" max="5648" width="9.33203125" style="14"/>
    <col min="5649" max="5663" width="10.83203125" style="14" customWidth="1"/>
    <col min="5664" max="5888" width="9.33203125" style="14"/>
    <col min="5889" max="5890" width="10.83203125" style="14" customWidth="1"/>
    <col min="5891" max="5903" width="12.83203125" style="14" customWidth="1"/>
    <col min="5904" max="5904" width="9.33203125" style="14"/>
    <col min="5905" max="5919" width="10.83203125" style="14" customWidth="1"/>
    <col min="5920" max="6144" width="9.33203125" style="14"/>
    <col min="6145" max="6146" width="10.83203125" style="14" customWidth="1"/>
    <col min="6147" max="6159" width="12.83203125" style="14" customWidth="1"/>
    <col min="6160" max="6160" width="9.33203125" style="14"/>
    <col min="6161" max="6175" width="10.83203125" style="14" customWidth="1"/>
    <col min="6176" max="6400" width="9.33203125" style="14"/>
    <col min="6401" max="6402" width="10.83203125" style="14" customWidth="1"/>
    <col min="6403" max="6415" width="12.83203125" style="14" customWidth="1"/>
    <col min="6416" max="6416" width="9.33203125" style="14"/>
    <col min="6417" max="6431" width="10.83203125" style="14" customWidth="1"/>
    <col min="6432" max="6656" width="9.33203125" style="14"/>
    <col min="6657" max="6658" width="10.83203125" style="14" customWidth="1"/>
    <col min="6659" max="6671" width="12.83203125" style="14" customWidth="1"/>
    <col min="6672" max="6672" width="9.33203125" style="14"/>
    <col min="6673" max="6687" width="10.83203125" style="14" customWidth="1"/>
    <col min="6688" max="6912" width="9.33203125" style="14"/>
    <col min="6913" max="6914" width="10.83203125" style="14" customWidth="1"/>
    <col min="6915" max="6927" width="12.83203125" style="14" customWidth="1"/>
    <col min="6928" max="6928" width="9.33203125" style="14"/>
    <col min="6929" max="6943" width="10.83203125" style="14" customWidth="1"/>
    <col min="6944" max="7168" width="9.33203125" style="14"/>
    <col min="7169" max="7170" width="10.83203125" style="14" customWidth="1"/>
    <col min="7171" max="7183" width="12.83203125" style="14" customWidth="1"/>
    <col min="7184" max="7184" width="9.33203125" style="14"/>
    <col min="7185" max="7199" width="10.83203125" style="14" customWidth="1"/>
    <col min="7200" max="7424" width="9.33203125" style="14"/>
    <col min="7425" max="7426" width="10.83203125" style="14" customWidth="1"/>
    <col min="7427" max="7439" width="12.83203125" style="14" customWidth="1"/>
    <col min="7440" max="7440" width="9.33203125" style="14"/>
    <col min="7441" max="7455" width="10.83203125" style="14" customWidth="1"/>
    <col min="7456" max="7680" width="9.33203125" style="14"/>
    <col min="7681" max="7682" width="10.83203125" style="14" customWidth="1"/>
    <col min="7683" max="7695" width="12.83203125" style="14" customWidth="1"/>
    <col min="7696" max="7696" width="9.33203125" style="14"/>
    <col min="7697" max="7711" width="10.83203125" style="14" customWidth="1"/>
    <col min="7712" max="7936" width="9.33203125" style="14"/>
    <col min="7937" max="7938" width="10.83203125" style="14" customWidth="1"/>
    <col min="7939" max="7951" width="12.83203125" style="14" customWidth="1"/>
    <col min="7952" max="7952" width="9.33203125" style="14"/>
    <col min="7953" max="7967" width="10.83203125" style="14" customWidth="1"/>
    <col min="7968" max="8192" width="9.33203125" style="14"/>
    <col min="8193" max="8194" width="10.83203125" style="14" customWidth="1"/>
    <col min="8195" max="8207" width="12.83203125" style="14" customWidth="1"/>
    <col min="8208" max="8208" width="9.33203125" style="14"/>
    <col min="8209" max="8223" width="10.83203125" style="14" customWidth="1"/>
    <col min="8224" max="8448" width="9.33203125" style="14"/>
    <col min="8449" max="8450" width="10.83203125" style="14" customWidth="1"/>
    <col min="8451" max="8463" width="12.83203125" style="14" customWidth="1"/>
    <col min="8464" max="8464" width="9.33203125" style="14"/>
    <col min="8465" max="8479" width="10.83203125" style="14" customWidth="1"/>
    <col min="8480" max="8704" width="9.33203125" style="14"/>
    <col min="8705" max="8706" width="10.83203125" style="14" customWidth="1"/>
    <col min="8707" max="8719" width="12.83203125" style="14" customWidth="1"/>
    <col min="8720" max="8720" width="9.33203125" style="14"/>
    <col min="8721" max="8735" width="10.83203125" style="14" customWidth="1"/>
    <col min="8736" max="8960" width="9.33203125" style="14"/>
    <col min="8961" max="8962" width="10.83203125" style="14" customWidth="1"/>
    <col min="8963" max="8975" width="12.83203125" style="14" customWidth="1"/>
    <col min="8976" max="8976" width="9.33203125" style="14"/>
    <col min="8977" max="8991" width="10.83203125" style="14" customWidth="1"/>
    <col min="8992" max="9216" width="9.33203125" style="14"/>
    <col min="9217" max="9218" width="10.83203125" style="14" customWidth="1"/>
    <col min="9219" max="9231" width="12.83203125" style="14" customWidth="1"/>
    <col min="9232" max="9232" width="9.33203125" style="14"/>
    <col min="9233" max="9247" width="10.83203125" style="14" customWidth="1"/>
    <col min="9248" max="9472" width="9.33203125" style="14"/>
    <col min="9473" max="9474" width="10.83203125" style="14" customWidth="1"/>
    <col min="9475" max="9487" width="12.83203125" style="14" customWidth="1"/>
    <col min="9488" max="9488" width="9.33203125" style="14"/>
    <col min="9489" max="9503" width="10.83203125" style="14" customWidth="1"/>
    <col min="9504" max="9728" width="9.33203125" style="14"/>
    <col min="9729" max="9730" width="10.83203125" style="14" customWidth="1"/>
    <col min="9731" max="9743" width="12.83203125" style="14" customWidth="1"/>
    <col min="9744" max="9744" width="9.33203125" style="14"/>
    <col min="9745" max="9759" width="10.83203125" style="14" customWidth="1"/>
    <col min="9760" max="9984" width="9.33203125" style="14"/>
    <col min="9985" max="9986" width="10.83203125" style="14" customWidth="1"/>
    <col min="9987" max="9999" width="12.83203125" style="14" customWidth="1"/>
    <col min="10000" max="10000" width="9.33203125" style="14"/>
    <col min="10001" max="10015" width="10.83203125" style="14" customWidth="1"/>
    <col min="10016" max="10240" width="9.33203125" style="14"/>
    <col min="10241" max="10242" width="10.83203125" style="14" customWidth="1"/>
    <col min="10243" max="10255" width="12.83203125" style="14" customWidth="1"/>
    <col min="10256" max="10256" width="9.33203125" style="14"/>
    <col min="10257" max="10271" width="10.83203125" style="14" customWidth="1"/>
    <col min="10272" max="10496" width="9.33203125" style="14"/>
    <col min="10497" max="10498" width="10.83203125" style="14" customWidth="1"/>
    <col min="10499" max="10511" width="12.83203125" style="14" customWidth="1"/>
    <col min="10512" max="10512" width="9.33203125" style="14"/>
    <col min="10513" max="10527" width="10.83203125" style="14" customWidth="1"/>
    <col min="10528" max="10752" width="9.33203125" style="14"/>
    <col min="10753" max="10754" width="10.83203125" style="14" customWidth="1"/>
    <col min="10755" max="10767" width="12.83203125" style="14" customWidth="1"/>
    <col min="10768" max="10768" width="9.33203125" style="14"/>
    <col min="10769" max="10783" width="10.83203125" style="14" customWidth="1"/>
    <col min="10784" max="11008" width="9.33203125" style="14"/>
    <col min="11009" max="11010" width="10.83203125" style="14" customWidth="1"/>
    <col min="11011" max="11023" width="12.83203125" style="14" customWidth="1"/>
    <col min="11024" max="11024" width="9.33203125" style="14"/>
    <col min="11025" max="11039" width="10.83203125" style="14" customWidth="1"/>
    <col min="11040" max="11264" width="9.33203125" style="14"/>
    <col min="11265" max="11266" width="10.83203125" style="14" customWidth="1"/>
    <col min="11267" max="11279" width="12.83203125" style="14" customWidth="1"/>
    <col min="11280" max="11280" width="9.33203125" style="14"/>
    <col min="11281" max="11295" width="10.83203125" style="14" customWidth="1"/>
    <col min="11296" max="11520" width="9.33203125" style="14"/>
    <col min="11521" max="11522" width="10.83203125" style="14" customWidth="1"/>
    <col min="11523" max="11535" width="12.83203125" style="14" customWidth="1"/>
    <col min="11536" max="11536" width="9.33203125" style="14"/>
    <col min="11537" max="11551" width="10.83203125" style="14" customWidth="1"/>
    <col min="11552" max="11776" width="9.33203125" style="14"/>
    <col min="11777" max="11778" width="10.83203125" style="14" customWidth="1"/>
    <col min="11779" max="11791" width="12.83203125" style="14" customWidth="1"/>
    <col min="11792" max="11792" width="9.33203125" style="14"/>
    <col min="11793" max="11807" width="10.83203125" style="14" customWidth="1"/>
    <col min="11808" max="12032" width="9.33203125" style="14"/>
    <col min="12033" max="12034" width="10.83203125" style="14" customWidth="1"/>
    <col min="12035" max="12047" width="12.83203125" style="14" customWidth="1"/>
    <col min="12048" max="12048" width="9.33203125" style="14"/>
    <col min="12049" max="12063" width="10.83203125" style="14" customWidth="1"/>
    <col min="12064" max="12288" width="9.33203125" style="14"/>
    <col min="12289" max="12290" width="10.83203125" style="14" customWidth="1"/>
    <col min="12291" max="12303" width="12.83203125" style="14" customWidth="1"/>
    <col min="12304" max="12304" width="9.33203125" style="14"/>
    <col min="12305" max="12319" width="10.83203125" style="14" customWidth="1"/>
    <col min="12320" max="12544" width="9.33203125" style="14"/>
    <col min="12545" max="12546" width="10.83203125" style="14" customWidth="1"/>
    <col min="12547" max="12559" width="12.83203125" style="14" customWidth="1"/>
    <col min="12560" max="12560" width="9.33203125" style="14"/>
    <col min="12561" max="12575" width="10.83203125" style="14" customWidth="1"/>
    <col min="12576" max="12800" width="9.33203125" style="14"/>
    <col min="12801" max="12802" width="10.83203125" style="14" customWidth="1"/>
    <col min="12803" max="12815" width="12.83203125" style="14" customWidth="1"/>
    <col min="12816" max="12816" width="9.33203125" style="14"/>
    <col min="12817" max="12831" width="10.83203125" style="14" customWidth="1"/>
    <col min="12832" max="13056" width="9.33203125" style="14"/>
    <col min="13057" max="13058" width="10.83203125" style="14" customWidth="1"/>
    <col min="13059" max="13071" width="12.83203125" style="14" customWidth="1"/>
    <col min="13072" max="13072" width="9.33203125" style="14"/>
    <col min="13073" max="13087" width="10.83203125" style="14" customWidth="1"/>
    <col min="13088" max="13312" width="9.33203125" style="14"/>
    <col min="13313" max="13314" width="10.83203125" style="14" customWidth="1"/>
    <col min="13315" max="13327" width="12.83203125" style="14" customWidth="1"/>
    <col min="13328" max="13328" width="9.33203125" style="14"/>
    <col min="13329" max="13343" width="10.83203125" style="14" customWidth="1"/>
    <col min="13344" max="13568" width="9.33203125" style="14"/>
    <col min="13569" max="13570" width="10.83203125" style="14" customWidth="1"/>
    <col min="13571" max="13583" width="12.83203125" style="14" customWidth="1"/>
    <col min="13584" max="13584" width="9.33203125" style="14"/>
    <col min="13585" max="13599" width="10.83203125" style="14" customWidth="1"/>
    <col min="13600" max="13824" width="9.33203125" style="14"/>
    <col min="13825" max="13826" width="10.83203125" style="14" customWidth="1"/>
    <col min="13827" max="13839" width="12.83203125" style="14" customWidth="1"/>
    <col min="13840" max="13840" width="9.33203125" style="14"/>
    <col min="13841" max="13855" width="10.83203125" style="14" customWidth="1"/>
    <col min="13856" max="14080" width="9.33203125" style="14"/>
    <col min="14081" max="14082" width="10.83203125" style="14" customWidth="1"/>
    <col min="14083" max="14095" width="12.83203125" style="14" customWidth="1"/>
    <col min="14096" max="14096" width="9.33203125" style="14"/>
    <col min="14097" max="14111" width="10.83203125" style="14" customWidth="1"/>
    <col min="14112" max="14336" width="9.33203125" style="14"/>
    <col min="14337" max="14338" width="10.83203125" style="14" customWidth="1"/>
    <col min="14339" max="14351" width="12.83203125" style="14" customWidth="1"/>
    <col min="14352" max="14352" width="9.33203125" style="14"/>
    <col min="14353" max="14367" width="10.83203125" style="14" customWidth="1"/>
    <col min="14368" max="14592" width="9.33203125" style="14"/>
    <col min="14593" max="14594" width="10.83203125" style="14" customWidth="1"/>
    <col min="14595" max="14607" width="12.83203125" style="14" customWidth="1"/>
    <col min="14608" max="14608" width="9.33203125" style="14"/>
    <col min="14609" max="14623" width="10.83203125" style="14" customWidth="1"/>
    <col min="14624" max="14848" width="9.33203125" style="14"/>
    <col min="14849" max="14850" width="10.83203125" style="14" customWidth="1"/>
    <col min="14851" max="14863" width="12.83203125" style="14" customWidth="1"/>
    <col min="14864" max="14864" width="9.33203125" style="14"/>
    <col min="14865" max="14879" width="10.83203125" style="14" customWidth="1"/>
    <col min="14880" max="15104" width="9.33203125" style="14"/>
    <col min="15105" max="15106" width="10.83203125" style="14" customWidth="1"/>
    <col min="15107" max="15119" width="12.83203125" style="14" customWidth="1"/>
    <col min="15120" max="15120" width="9.33203125" style="14"/>
    <col min="15121" max="15135" width="10.83203125" style="14" customWidth="1"/>
    <col min="15136" max="15360" width="9.33203125" style="14"/>
    <col min="15361" max="15362" width="10.83203125" style="14" customWidth="1"/>
    <col min="15363" max="15375" width="12.83203125" style="14" customWidth="1"/>
    <col min="15376" max="15376" width="9.33203125" style="14"/>
    <col min="15377" max="15391" width="10.83203125" style="14" customWidth="1"/>
    <col min="15392" max="15616" width="9.33203125" style="14"/>
    <col min="15617" max="15618" width="10.83203125" style="14" customWidth="1"/>
    <col min="15619" max="15631" width="12.83203125" style="14" customWidth="1"/>
    <col min="15632" max="15632" width="9.33203125" style="14"/>
    <col min="15633" max="15647" width="10.83203125" style="14" customWidth="1"/>
    <col min="15648" max="15872" width="9.33203125" style="14"/>
    <col min="15873" max="15874" width="10.83203125" style="14" customWidth="1"/>
    <col min="15875" max="15887" width="12.83203125" style="14" customWidth="1"/>
    <col min="15888" max="15888" width="9.33203125" style="14"/>
    <col min="15889" max="15903" width="10.83203125" style="14" customWidth="1"/>
    <col min="15904" max="16128" width="9.33203125" style="14"/>
    <col min="16129" max="16130" width="10.83203125" style="14" customWidth="1"/>
    <col min="16131" max="16143" width="12.83203125" style="14" customWidth="1"/>
    <col min="16144" max="16144" width="9.33203125" style="14"/>
    <col min="16145" max="16159" width="10.83203125" style="14" customWidth="1"/>
    <col min="16160" max="16384" width="9.33203125" style="14"/>
  </cols>
  <sheetData>
    <row r="1" spans="1:31" ht="20.100000000000001" customHeight="1" x14ac:dyDescent="0.2">
      <c r="A1" s="404" t="s">
        <v>137</v>
      </c>
      <c r="B1" s="404"/>
      <c r="C1" s="404"/>
      <c r="D1" s="404"/>
      <c r="E1" s="404"/>
      <c r="F1" s="404"/>
      <c r="G1" s="404"/>
      <c r="H1" s="404"/>
      <c r="I1" s="404"/>
      <c r="J1" s="404"/>
      <c r="K1" s="404"/>
      <c r="L1" s="404"/>
      <c r="M1" s="404"/>
      <c r="N1" s="404"/>
      <c r="O1" s="404"/>
      <c r="P1" s="140" t="s">
        <v>135</v>
      </c>
      <c r="Q1" s="140">
        <v>30</v>
      </c>
    </row>
    <row r="2" spans="1:31" ht="18" customHeight="1" thickBot="1" x14ac:dyDescent="0.25">
      <c r="A2" s="405" t="s">
        <v>16</v>
      </c>
      <c r="B2" s="405"/>
      <c r="C2" s="405"/>
      <c r="D2" s="405"/>
      <c r="E2" s="405"/>
      <c r="F2" s="405"/>
      <c r="G2" s="405"/>
      <c r="H2" s="405"/>
      <c r="I2" s="405"/>
      <c r="J2" s="405"/>
      <c r="K2" s="405"/>
      <c r="L2" s="405"/>
      <c r="M2" s="405"/>
      <c r="N2" s="405"/>
      <c r="O2" s="405"/>
      <c r="P2" s="140" t="s">
        <v>136</v>
      </c>
      <c r="Q2" s="140">
        <v>13</v>
      </c>
    </row>
    <row r="3" spans="1:31" ht="12.75" customHeight="1" x14ac:dyDescent="0.2">
      <c r="A3" s="397" t="s">
        <v>12</v>
      </c>
      <c r="B3" s="399" t="s">
        <v>17</v>
      </c>
      <c r="C3" s="406" t="s">
        <v>2</v>
      </c>
      <c r="D3" s="407"/>
      <c r="E3" s="407"/>
      <c r="F3" s="407"/>
      <c r="G3" s="407"/>
      <c r="H3" s="407"/>
      <c r="I3" s="407"/>
      <c r="J3" s="407"/>
      <c r="K3" s="407"/>
      <c r="L3" s="407"/>
      <c r="M3" s="407"/>
      <c r="N3" s="407"/>
      <c r="O3" s="408"/>
    </row>
    <row r="4" spans="1:31" ht="12.75" customHeight="1" x14ac:dyDescent="0.2">
      <c r="A4" s="398"/>
      <c r="B4" s="400"/>
      <c r="C4" s="409" t="s">
        <v>21</v>
      </c>
      <c r="D4" s="410"/>
      <c r="E4" s="410"/>
      <c r="F4" s="410"/>
      <c r="G4" s="410"/>
      <c r="H4" s="410"/>
      <c r="I4" s="410"/>
      <c r="J4" s="410"/>
      <c r="K4" s="410"/>
      <c r="L4" s="410"/>
      <c r="M4" s="410"/>
      <c r="N4" s="410"/>
      <c r="O4" s="411"/>
    </row>
    <row r="5" spans="1:31" ht="12.75" customHeight="1" thickBot="1" x14ac:dyDescent="0.25">
      <c r="A5" s="2" t="s">
        <v>14</v>
      </c>
      <c r="B5" s="3" t="s">
        <v>18</v>
      </c>
      <c r="C5" s="15">
        <v>0</v>
      </c>
      <c r="D5" s="16">
        <v>15</v>
      </c>
      <c r="E5" s="16">
        <v>30</v>
      </c>
      <c r="F5" s="16">
        <v>45</v>
      </c>
      <c r="G5" s="16">
        <v>60</v>
      </c>
      <c r="H5" s="16">
        <v>75</v>
      </c>
      <c r="I5" s="16">
        <v>90</v>
      </c>
      <c r="J5" s="16">
        <v>105</v>
      </c>
      <c r="K5" s="16">
        <v>120</v>
      </c>
      <c r="L5" s="16">
        <v>135</v>
      </c>
      <c r="M5" s="16">
        <v>150</v>
      </c>
      <c r="N5" s="16">
        <v>165</v>
      </c>
      <c r="O5" s="17">
        <v>180</v>
      </c>
      <c r="S5" s="14">
        <f>C5</f>
        <v>0</v>
      </c>
      <c r="T5" s="14">
        <f t="shared" ref="T5:AE5" si="0">D5</f>
        <v>15</v>
      </c>
      <c r="U5" s="14">
        <f t="shared" si="0"/>
        <v>30</v>
      </c>
      <c r="V5" s="14">
        <f t="shared" si="0"/>
        <v>45</v>
      </c>
      <c r="W5" s="14">
        <f t="shared" si="0"/>
        <v>60</v>
      </c>
      <c r="X5" s="14">
        <f t="shared" si="0"/>
        <v>75</v>
      </c>
      <c r="Y5" s="14">
        <f t="shared" si="0"/>
        <v>90</v>
      </c>
      <c r="Z5" s="14">
        <f t="shared" si="0"/>
        <v>105</v>
      </c>
      <c r="AA5" s="14">
        <f t="shared" si="0"/>
        <v>120</v>
      </c>
      <c r="AB5" s="14">
        <f t="shared" si="0"/>
        <v>135</v>
      </c>
      <c r="AC5" s="14">
        <f t="shared" si="0"/>
        <v>150</v>
      </c>
      <c r="AD5" s="14">
        <f t="shared" si="0"/>
        <v>165</v>
      </c>
      <c r="AE5" s="14">
        <f t="shared" si="0"/>
        <v>180</v>
      </c>
    </row>
    <row r="6" spans="1:31" ht="12.75" customHeight="1" x14ac:dyDescent="0.2">
      <c r="A6" s="6">
        <v>30</v>
      </c>
      <c r="B6" s="224">
        <v>0.20899999999999999</v>
      </c>
      <c r="C6" s="18">
        <v>2.0199999999999999E-2</v>
      </c>
      <c r="D6" s="19">
        <v>1.7899999999999999E-2</v>
      </c>
      <c r="E6" s="19">
        <v>1.24E-2</v>
      </c>
      <c r="F6" s="19">
        <v>6.77E-3</v>
      </c>
      <c r="G6" s="19">
        <v>3.0899999999999999E-3</v>
      </c>
      <c r="H6" s="19">
        <v>1.24E-3</v>
      </c>
      <c r="I6" s="19">
        <v>-1.03E-4</v>
      </c>
      <c r="J6" s="19">
        <v>-1.2600000000000001E-3</v>
      </c>
      <c r="K6" s="19">
        <v>-7.67E-4</v>
      </c>
      <c r="L6" s="19">
        <v>3.15E-3</v>
      </c>
      <c r="M6" s="19">
        <v>1.0200000000000001E-2</v>
      </c>
      <c r="N6" s="19">
        <v>1.72E-2</v>
      </c>
      <c r="O6" s="20">
        <v>2.01E-2</v>
      </c>
      <c r="Q6" s="225">
        <f>A6</f>
        <v>30</v>
      </c>
      <c r="R6" s="226">
        <f>B6</f>
        <v>0.20899999999999999</v>
      </c>
      <c r="S6" s="227">
        <f>C6*1000/9.807/0.4536*0.3048^2</f>
        <v>0.42186361863327293</v>
      </c>
      <c r="T6" s="227">
        <f t="shared" ref="T6:AE21" si="1">D6*1000/9.807/0.4536*0.3048^2</f>
        <v>0.37382964225423687</v>
      </c>
      <c r="U6" s="227">
        <f t="shared" si="1"/>
        <v>0.25896578569567252</v>
      </c>
      <c r="V6" s="227">
        <f t="shared" si="1"/>
        <v>0.14138696525481473</v>
      </c>
      <c r="W6" s="227">
        <f t="shared" si="1"/>
        <v>6.4532603048357104E-2</v>
      </c>
      <c r="X6" s="227">
        <f t="shared" si="1"/>
        <v>2.5896578569567251E-2</v>
      </c>
      <c r="Y6" s="227">
        <f t="shared" si="1"/>
        <v>-2.1510867682785701E-3</v>
      </c>
      <c r="Z6" s="227">
        <f t="shared" si="1"/>
        <v>-2.6314265320689305E-2</v>
      </c>
      <c r="AA6" s="227">
        <f t="shared" si="1"/>
        <v>-1.6018286905530713E-2</v>
      </c>
      <c r="AB6" s="227">
        <f t="shared" si="1"/>
        <v>6.5785663301723252E-2</v>
      </c>
      <c r="AC6" s="227">
        <f t="shared" si="1"/>
        <v>0.21302024307224676</v>
      </c>
      <c r="AD6" s="227">
        <f t="shared" si="1"/>
        <v>0.35921060596496507</v>
      </c>
      <c r="AE6" s="227">
        <f t="shared" si="1"/>
        <v>0.41977518487766274</v>
      </c>
    </row>
    <row r="7" spans="1:31" ht="12.75" customHeight="1" x14ac:dyDescent="0.2">
      <c r="A7" s="6">
        <v>28</v>
      </c>
      <c r="B7" s="224">
        <v>0.224</v>
      </c>
      <c r="C7" s="18">
        <v>3.1E-2</v>
      </c>
      <c r="D7" s="19">
        <v>2.75E-2</v>
      </c>
      <c r="E7" s="19">
        <v>1.9300000000000001E-2</v>
      </c>
      <c r="F7" s="19">
        <v>1.0999999999999999E-2</v>
      </c>
      <c r="G7" s="19">
        <v>5.4000000000000003E-3</v>
      </c>
      <c r="H7" s="19">
        <v>2.31E-3</v>
      </c>
      <c r="I7" s="19">
        <v>-2.0100000000000001E-4</v>
      </c>
      <c r="J7" s="19">
        <v>-2.4599999999999999E-3</v>
      </c>
      <c r="K7" s="19">
        <v>-1.97E-3</v>
      </c>
      <c r="L7" s="19">
        <v>4.0899999999999999E-3</v>
      </c>
      <c r="M7" s="19">
        <v>1.52E-2</v>
      </c>
      <c r="N7" s="19">
        <v>2.63E-2</v>
      </c>
      <c r="O7" s="20">
        <v>3.1E-2</v>
      </c>
      <c r="Q7" s="225">
        <f t="shared" ref="Q7:R35" si="2">A7</f>
        <v>28</v>
      </c>
      <c r="R7" s="226">
        <f t="shared" si="2"/>
        <v>0.224</v>
      </c>
      <c r="S7" s="227">
        <f t="shared" ref="S7:AE35" si="3">C7*1000/9.807/0.4536*0.3048^2</f>
        <v>0.64741446423918125</v>
      </c>
      <c r="T7" s="227">
        <f t="shared" si="1"/>
        <v>0.57431928279282218</v>
      </c>
      <c r="U7" s="227">
        <f t="shared" si="1"/>
        <v>0.40306771483278064</v>
      </c>
      <c r="V7" s="227">
        <f t="shared" si="1"/>
        <v>0.22972771311712886</v>
      </c>
      <c r="W7" s="227">
        <f t="shared" si="1"/>
        <v>0.11277542280295418</v>
      </c>
      <c r="X7" s="227">
        <f t="shared" si="1"/>
        <v>4.8242819754597058E-2</v>
      </c>
      <c r="Y7" s="227">
        <f t="shared" si="1"/>
        <v>-4.1977518487766275E-3</v>
      </c>
      <c r="Z7" s="227">
        <f t="shared" si="1"/>
        <v>-5.1375470388012441E-2</v>
      </c>
      <c r="AA7" s="227">
        <f t="shared" si="1"/>
        <v>-4.1142144985522162E-2</v>
      </c>
      <c r="AB7" s="227">
        <f t="shared" si="1"/>
        <v>8.5416940604459729E-2</v>
      </c>
      <c r="AC7" s="227">
        <f t="shared" si="1"/>
        <v>0.31744193085275985</v>
      </c>
      <c r="AD7" s="227">
        <f t="shared" si="1"/>
        <v>0.54925807772549895</v>
      </c>
      <c r="AE7" s="227">
        <f t="shared" si="1"/>
        <v>0.64741446423918125</v>
      </c>
    </row>
    <row r="8" spans="1:31" ht="12.75" customHeight="1" x14ac:dyDescent="0.2">
      <c r="A8" s="6">
        <v>26</v>
      </c>
      <c r="B8" s="224">
        <v>0.24199999999999999</v>
      </c>
      <c r="C8" s="18">
        <v>4.9299999999999997E-2</v>
      </c>
      <c r="D8" s="19">
        <v>4.3999999999999997E-2</v>
      </c>
      <c r="E8" s="19">
        <v>3.1600000000000003E-2</v>
      </c>
      <c r="F8" s="19">
        <v>1.9E-2</v>
      </c>
      <c r="G8" s="19">
        <v>1.03E-2</v>
      </c>
      <c r="H8" s="19">
        <v>4.8300000000000001E-3</v>
      </c>
      <c r="I8" s="19">
        <v>-4.3399999999999998E-4</v>
      </c>
      <c r="J8" s="19">
        <v>-5.3699999999999998E-3</v>
      </c>
      <c r="K8" s="19">
        <v>-5.3499999999999997E-3</v>
      </c>
      <c r="L8" s="19">
        <v>4.3899999999999998E-3</v>
      </c>
      <c r="M8" s="19">
        <v>2.2800000000000001E-2</v>
      </c>
      <c r="N8" s="19">
        <v>4.1300000000000003E-2</v>
      </c>
      <c r="O8" s="20">
        <v>4.9200000000000001E-2</v>
      </c>
      <c r="Q8" s="225">
        <f t="shared" si="2"/>
        <v>26</v>
      </c>
      <c r="R8" s="226">
        <f t="shared" si="2"/>
        <v>0.24199999999999999</v>
      </c>
      <c r="S8" s="227">
        <f t="shared" si="3"/>
        <v>1.0295978415158593</v>
      </c>
      <c r="T8" s="227">
        <f t="shared" si="1"/>
        <v>0.91891085246851545</v>
      </c>
      <c r="U8" s="227">
        <f t="shared" si="1"/>
        <v>0.65994506677284293</v>
      </c>
      <c r="V8" s="227">
        <f t="shared" si="1"/>
        <v>0.39680241356594975</v>
      </c>
      <c r="W8" s="227">
        <f t="shared" si="1"/>
        <v>0.21510867682785703</v>
      </c>
      <c r="X8" s="227">
        <f t="shared" si="1"/>
        <v>0.10087135039597568</v>
      </c>
      <c r="Y8" s="227">
        <f t="shared" si="1"/>
        <v>-9.0638024993485375E-3</v>
      </c>
      <c r="Z8" s="227">
        <f t="shared" si="1"/>
        <v>-0.11214889267627108</v>
      </c>
      <c r="AA8" s="227">
        <f t="shared" si="1"/>
        <v>-0.11173120592514904</v>
      </c>
      <c r="AB8" s="227">
        <f t="shared" si="1"/>
        <v>9.1682241871290496E-2</v>
      </c>
      <c r="AC8" s="227">
        <f t="shared" si="1"/>
        <v>0.47616289627913982</v>
      </c>
      <c r="AD8" s="227">
        <f t="shared" si="1"/>
        <v>0.86252314106703831</v>
      </c>
      <c r="AE8" s="227">
        <f t="shared" si="1"/>
        <v>1.0275094077602491</v>
      </c>
    </row>
    <row r="9" spans="1:31" ht="12.75" customHeight="1" x14ac:dyDescent="0.2">
      <c r="A9" s="6">
        <v>24</v>
      </c>
      <c r="B9" s="224">
        <v>0.26200000000000001</v>
      </c>
      <c r="C9" s="18">
        <v>8.1299999999999997E-2</v>
      </c>
      <c r="D9" s="19">
        <v>7.3499999999999996E-2</v>
      </c>
      <c r="E9" s="19">
        <v>5.5399999999999998E-2</v>
      </c>
      <c r="F9" s="19">
        <v>3.6900000000000002E-2</v>
      </c>
      <c r="G9" s="19">
        <v>2.3300000000000001E-2</v>
      </c>
      <c r="H9" s="19">
        <v>1.21E-2</v>
      </c>
      <c r="I9" s="19">
        <v>-1.09E-3</v>
      </c>
      <c r="J9" s="19">
        <v>-1.4E-2</v>
      </c>
      <c r="K9" s="19">
        <v>-1.66E-2</v>
      </c>
      <c r="L9" s="19">
        <v>4.1699999999999997E-5</v>
      </c>
      <c r="M9" s="19">
        <v>3.32E-2</v>
      </c>
      <c r="N9" s="19">
        <v>6.6799999999999998E-2</v>
      </c>
      <c r="O9" s="20">
        <v>8.1199999999999994E-2</v>
      </c>
      <c r="Q9" s="225">
        <f t="shared" si="2"/>
        <v>24</v>
      </c>
      <c r="R9" s="226">
        <f t="shared" si="2"/>
        <v>0.26200000000000001</v>
      </c>
      <c r="S9" s="227">
        <f t="shared" si="3"/>
        <v>1.6978966433111433</v>
      </c>
      <c r="T9" s="227">
        <f t="shared" si="1"/>
        <v>1.5349988103735428</v>
      </c>
      <c r="U9" s="227">
        <f t="shared" si="1"/>
        <v>1.1569923006080853</v>
      </c>
      <c r="V9" s="227">
        <f t="shared" si="1"/>
        <v>0.7706320558201869</v>
      </c>
      <c r="W9" s="227">
        <f t="shared" si="1"/>
        <v>0.48660506505719114</v>
      </c>
      <c r="X9" s="227">
        <f t="shared" si="1"/>
        <v>0.25270048442884174</v>
      </c>
      <c r="Y9" s="227">
        <f t="shared" si="1"/>
        <v>-2.2763927936151861E-2</v>
      </c>
      <c r="Z9" s="227">
        <f t="shared" si="1"/>
        <v>-0.29238072578543672</v>
      </c>
      <c r="AA9" s="227">
        <f t="shared" si="1"/>
        <v>-0.34668000343130362</v>
      </c>
      <c r="AB9" s="227">
        <f t="shared" si="1"/>
        <v>8.7087687608947931E-4</v>
      </c>
      <c r="AC9" s="227">
        <f t="shared" si="1"/>
        <v>0.69336000686260724</v>
      </c>
      <c r="AD9" s="227">
        <f t="shared" si="1"/>
        <v>1.395073748747655</v>
      </c>
      <c r="AE9" s="227">
        <f t="shared" si="1"/>
        <v>1.6958082095555327</v>
      </c>
    </row>
    <row r="10" spans="1:31" ht="12.75" customHeight="1" x14ac:dyDescent="0.2">
      <c r="A10" s="6">
        <v>23</v>
      </c>
      <c r="B10" s="224">
        <v>0.27300000000000002</v>
      </c>
      <c r="C10" s="18">
        <v>0.106</v>
      </c>
      <c r="D10" s="19">
        <v>9.7000000000000003E-2</v>
      </c>
      <c r="E10" s="19">
        <v>7.6600000000000001E-2</v>
      </c>
      <c r="F10" s="19">
        <v>5.57E-2</v>
      </c>
      <c r="G10" s="19">
        <v>3.8899999999999997E-2</v>
      </c>
      <c r="H10" s="19">
        <v>2.1399999999999999E-2</v>
      </c>
      <c r="I10" s="19">
        <v>-1.89E-3</v>
      </c>
      <c r="J10" s="19">
        <v>-2.5000000000000001E-2</v>
      </c>
      <c r="K10" s="19">
        <v>-3.1800000000000002E-2</v>
      </c>
      <c r="L10" s="19">
        <v>-9.3799999999999994E-3</v>
      </c>
      <c r="M10" s="19">
        <v>3.7600000000000001E-2</v>
      </c>
      <c r="N10" s="19">
        <v>8.5400000000000004E-2</v>
      </c>
      <c r="O10" s="20">
        <v>0.106</v>
      </c>
      <c r="Q10" s="225">
        <f t="shared" si="2"/>
        <v>23</v>
      </c>
      <c r="R10" s="226">
        <f t="shared" si="2"/>
        <v>0.27300000000000002</v>
      </c>
      <c r="S10" s="227">
        <f t="shared" si="3"/>
        <v>2.2137397809468777</v>
      </c>
      <c r="T10" s="227">
        <f t="shared" si="1"/>
        <v>2.0257807429419548</v>
      </c>
      <c r="U10" s="227">
        <f t="shared" si="1"/>
        <v>1.5997402567974608</v>
      </c>
      <c r="V10" s="227">
        <f t="shared" si="1"/>
        <v>1.1632576018749163</v>
      </c>
      <c r="W10" s="227">
        <f t="shared" si="1"/>
        <v>0.81240073093239196</v>
      </c>
      <c r="X10" s="227">
        <f t="shared" si="1"/>
        <v>0.44692482370059616</v>
      </c>
      <c r="Y10" s="227">
        <f t="shared" si="1"/>
        <v>-3.9471397981033954E-2</v>
      </c>
      <c r="Z10" s="227">
        <f t="shared" si="1"/>
        <v>-0.52210843890256564</v>
      </c>
      <c r="AA10" s="227">
        <f t="shared" si="1"/>
        <v>-0.66412193428406341</v>
      </c>
      <c r="AB10" s="227">
        <f t="shared" si="1"/>
        <v>-0.19589508627624261</v>
      </c>
      <c r="AC10" s="227">
        <f t="shared" si="1"/>
        <v>0.78525109210945865</v>
      </c>
      <c r="AD10" s="227">
        <f t="shared" si="1"/>
        <v>1.7835224272911638</v>
      </c>
      <c r="AE10" s="227">
        <f t="shared" si="1"/>
        <v>2.2137397809468777</v>
      </c>
    </row>
    <row r="11" spans="1:31" ht="12.75" customHeight="1" x14ac:dyDescent="0.2">
      <c r="A11" s="6">
        <v>22</v>
      </c>
      <c r="B11" s="224">
        <v>0.28599999999999998</v>
      </c>
      <c r="C11" s="18">
        <v>0.14000000000000001</v>
      </c>
      <c r="D11" s="19">
        <v>0.13100000000000001</v>
      </c>
      <c r="E11" s="19">
        <v>0.112</v>
      </c>
      <c r="F11" s="19">
        <v>9.2299999999999993E-2</v>
      </c>
      <c r="G11" s="19">
        <v>7.2499999999999995E-2</v>
      </c>
      <c r="H11" s="19">
        <v>4.2099999999999999E-2</v>
      </c>
      <c r="I11" s="19">
        <v>-3.5699999999999998E-3</v>
      </c>
      <c r="J11" s="19">
        <v>-4.9500000000000002E-2</v>
      </c>
      <c r="K11" s="19">
        <v>-6.6699999999999995E-2</v>
      </c>
      <c r="L11" s="19">
        <v>-3.5099999999999999E-2</v>
      </c>
      <c r="M11" s="19">
        <v>3.5900000000000001E-2</v>
      </c>
      <c r="N11" s="19">
        <v>0.108</v>
      </c>
      <c r="O11" s="20">
        <v>0.14000000000000001</v>
      </c>
      <c r="Q11" s="225">
        <f t="shared" si="2"/>
        <v>22</v>
      </c>
      <c r="R11" s="226">
        <f t="shared" si="2"/>
        <v>0.28599999999999998</v>
      </c>
      <c r="S11" s="227">
        <f t="shared" si="3"/>
        <v>2.9238072578543668</v>
      </c>
      <c r="T11" s="227">
        <f t="shared" si="1"/>
        <v>2.7358482198494434</v>
      </c>
      <c r="U11" s="227">
        <f t="shared" si="1"/>
        <v>2.3390458062834938</v>
      </c>
      <c r="V11" s="227">
        <f t="shared" si="1"/>
        <v>1.927624356428272</v>
      </c>
      <c r="W11" s="227">
        <f t="shared" si="1"/>
        <v>1.5141144728174403</v>
      </c>
      <c r="X11" s="227">
        <f t="shared" si="1"/>
        <v>0.87923061111192036</v>
      </c>
      <c r="Y11" s="227">
        <f t="shared" si="1"/>
        <v>-7.455708507528637E-2</v>
      </c>
      <c r="Z11" s="227">
        <f t="shared" si="1"/>
        <v>-1.0337747090270799</v>
      </c>
      <c r="AA11" s="227">
        <f t="shared" si="1"/>
        <v>-1.3929853149920446</v>
      </c>
      <c r="AB11" s="227">
        <f t="shared" si="1"/>
        <v>-0.733040248219202</v>
      </c>
      <c r="AC11" s="227">
        <f t="shared" si="1"/>
        <v>0.74974771826408415</v>
      </c>
      <c r="AD11" s="227">
        <f t="shared" si="1"/>
        <v>2.2555084560590832</v>
      </c>
      <c r="AE11" s="227">
        <f t="shared" si="1"/>
        <v>2.9238072578543668</v>
      </c>
    </row>
    <row r="12" spans="1:31" ht="12.75" customHeight="1" x14ac:dyDescent="0.2">
      <c r="A12" s="6">
        <v>21</v>
      </c>
      <c r="B12" s="224">
        <v>0.29899999999999999</v>
      </c>
      <c r="C12" s="18">
        <v>0.188</v>
      </c>
      <c r="D12" s="19">
        <v>0.182</v>
      </c>
      <c r="E12" s="19">
        <v>0.17699999999999999</v>
      </c>
      <c r="F12" s="19">
        <v>0.17199999999999999</v>
      </c>
      <c r="G12" s="19">
        <v>0.152</v>
      </c>
      <c r="H12" s="19">
        <v>9.2499999999999999E-2</v>
      </c>
      <c r="I12" s="19">
        <v>-7.1999999999999998E-3</v>
      </c>
      <c r="J12" s="19">
        <v>-0.108</v>
      </c>
      <c r="K12" s="19">
        <v>-0.151</v>
      </c>
      <c r="L12" s="19">
        <v>-0.10299999999999999</v>
      </c>
      <c r="M12" s="19">
        <v>1.41E-2</v>
      </c>
      <c r="N12" s="19">
        <v>0.13400000000000001</v>
      </c>
      <c r="O12" s="20">
        <v>0.187</v>
      </c>
      <c r="Q12" s="225">
        <f t="shared" si="2"/>
        <v>21</v>
      </c>
      <c r="R12" s="226">
        <f t="shared" si="2"/>
        <v>0.29899999999999999</v>
      </c>
      <c r="S12" s="227">
        <f t="shared" si="3"/>
        <v>3.9262554605472926</v>
      </c>
      <c r="T12" s="227">
        <f t="shared" si="1"/>
        <v>3.8009494352106774</v>
      </c>
      <c r="U12" s="227">
        <f t="shared" si="1"/>
        <v>3.6965277474301641</v>
      </c>
      <c r="V12" s="227">
        <f t="shared" si="1"/>
        <v>3.5921060596496512</v>
      </c>
      <c r="W12" s="227">
        <f t="shared" si="1"/>
        <v>3.174419308527598</v>
      </c>
      <c r="X12" s="227">
        <f t="shared" si="1"/>
        <v>1.9318012239394928</v>
      </c>
      <c r="Y12" s="227">
        <f t="shared" si="1"/>
        <v>-0.1503672304039389</v>
      </c>
      <c r="Z12" s="227">
        <f t="shared" si="1"/>
        <v>-2.2555084560590832</v>
      </c>
      <c r="AA12" s="227">
        <f t="shared" si="1"/>
        <v>-3.1535349709714962</v>
      </c>
      <c r="AB12" s="227">
        <f t="shared" si="1"/>
        <v>-2.1510867682785699</v>
      </c>
      <c r="AC12" s="227">
        <f t="shared" si="1"/>
        <v>0.29446915954104697</v>
      </c>
      <c r="AD12" s="227">
        <f t="shared" si="1"/>
        <v>2.7985012325177516</v>
      </c>
      <c r="AE12" s="227">
        <f t="shared" si="1"/>
        <v>3.9053711229911903</v>
      </c>
    </row>
    <row r="13" spans="1:31" ht="12.75" customHeight="1" x14ac:dyDescent="0.2">
      <c r="A13" s="6">
        <v>20.5</v>
      </c>
      <c r="B13" s="224">
        <v>0.30599999999999999</v>
      </c>
      <c r="C13" s="18">
        <v>0.218</v>
      </c>
      <c r="D13" s="19">
        <v>0.217</v>
      </c>
      <c r="E13" s="19">
        <v>0.22600000000000001</v>
      </c>
      <c r="F13" s="19">
        <v>0.23699999999999999</v>
      </c>
      <c r="G13" s="19">
        <v>0.219</v>
      </c>
      <c r="H13" s="19">
        <v>0.13500000000000001</v>
      </c>
      <c r="I13" s="19">
        <v>-9.8399999999999998E-3</v>
      </c>
      <c r="J13" s="19">
        <v>-0.156</v>
      </c>
      <c r="K13" s="19">
        <v>-0.221</v>
      </c>
      <c r="L13" s="19">
        <v>-0.16</v>
      </c>
      <c r="M13" s="19">
        <v>-7.2700000000000004E-3</v>
      </c>
      <c r="N13" s="19">
        <v>0.14899999999999999</v>
      </c>
      <c r="O13" s="20">
        <v>0.217</v>
      </c>
      <c r="Q13" s="225">
        <f t="shared" si="2"/>
        <v>20.5</v>
      </c>
      <c r="R13" s="226">
        <f t="shared" si="2"/>
        <v>0.30599999999999999</v>
      </c>
      <c r="S13" s="227">
        <f t="shared" si="3"/>
        <v>4.552785587230372</v>
      </c>
      <c r="T13" s="227">
        <f t="shared" si="1"/>
        <v>4.5319012496742692</v>
      </c>
      <c r="U13" s="227">
        <f t="shared" si="1"/>
        <v>4.7198602876791931</v>
      </c>
      <c r="V13" s="227">
        <f t="shared" si="1"/>
        <v>4.9495880007963216</v>
      </c>
      <c r="W13" s="227">
        <f t="shared" si="1"/>
        <v>4.5736699247864747</v>
      </c>
      <c r="X13" s="227">
        <f t="shared" si="1"/>
        <v>2.8193855700738539</v>
      </c>
      <c r="Y13" s="227">
        <f t="shared" si="1"/>
        <v>-0.20550188155204976</v>
      </c>
      <c r="Z13" s="227">
        <f t="shared" si="1"/>
        <v>-3.2579566587520095</v>
      </c>
      <c r="AA13" s="227">
        <f t="shared" si="1"/>
        <v>-4.6154385998986793</v>
      </c>
      <c r="AB13" s="227">
        <f t="shared" si="1"/>
        <v>-3.34149400897642</v>
      </c>
      <c r="AC13" s="227">
        <f t="shared" si="1"/>
        <v>-0.1518291340328661</v>
      </c>
      <c r="AD13" s="227">
        <f t="shared" si="1"/>
        <v>3.1117662958592907</v>
      </c>
      <c r="AE13" s="227">
        <f t="shared" si="1"/>
        <v>4.5319012496742692</v>
      </c>
    </row>
    <row r="14" spans="1:31" ht="12.75" customHeight="1" x14ac:dyDescent="0.2">
      <c r="A14" s="6">
        <v>20</v>
      </c>
      <c r="B14" s="224">
        <v>0.314</v>
      </c>
      <c r="C14" s="18">
        <v>0.255</v>
      </c>
      <c r="D14" s="19">
        <v>0.25600000000000001</v>
      </c>
      <c r="E14" s="19">
        <v>0.27700000000000002</v>
      </c>
      <c r="F14" s="19">
        <v>0.3</v>
      </c>
      <c r="G14" s="19">
        <v>0.28199999999999997</v>
      </c>
      <c r="H14" s="19">
        <v>0.17599999999999999</v>
      </c>
      <c r="I14" s="19">
        <v>-1.17E-2</v>
      </c>
      <c r="J14" s="19">
        <v>-0.2</v>
      </c>
      <c r="K14" s="19">
        <v>-0.28199999999999997</v>
      </c>
      <c r="L14" s="19">
        <v>-0.20699999999999999</v>
      </c>
      <c r="M14" s="19">
        <v>-1.95E-2</v>
      </c>
      <c r="N14" s="19">
        <v>0.17</v>
      </c>
      <c r="O14" s="20">
        <v>0.253</v>
      </c>
      <c r="Q14" s="225">
        <f t="shared" si="2"/>
        <v>20</v>
      </c>
      <c r="R14" s="226">
        <f t="shared" si="2"/>
        <v>0.314</v>
      </c>
      <c r="S14" s="227">
        <f t="shared" si="3"/>
        <v>5.3255060768061693</v>
      </c>
      <c r="T14" s="227">
        <f t="shared" si="1"/>
        <v>5.3463904143622711</v>
      </c>
      <c r="U14" s="227">
        <f t="shared" si="1"/>
        <v>5.7849615030404262</v>
      </c>
      <c r="V14" s="227">
        <f t="shared" si="1"/>
        <v>6.2653012668307868</v>
      </c>
      <c r="W14" s="227">
        <f t="shared" si="1"/>
        <v>5.8893831908209391</v>
      </c>
      <c r="X14" s="227">
        <f t="shared" si="1"/>
        <v>3.6756434098740618</v>
      </c>
      <c r="Y14" s="227">
        <f t="shared" si="1"/>
        <v>-0.24434674940640069</v>
      </c>
      <c r="Z14" s="227">
        <f t="shared" si="1"/>
        <v>-4.1768675112205251</v>
      </c>
      <c r="AA14" s="227">
        <f t="shared" si="1"/>
        <v>-5.8893831908209391</v>
      </c>
      <c r="AB14" s="227">
        <f t="shared" si="1"/>
        <v>-4.3230578741132426</v>
      </c>
      <c r="AC14" s="227">
        <f t="shared" si="1"/>
        <v>-0.40724458234400118</v>
      </c>
      <c r="AD14" s="227">
        <f t="shared" si="1"/>
        <v>3.5503373845374457</v>
      </c>
      <c r="AE14" s="227">
        <f t="shared" si="1"/>
        <v>5.2837374016939638</v>
      </c>
    </row>
    <row r="15" spans="1:31" ht="12.75" customHeight="1" x14ac:dyDescent="0.2">
      <c r="A15" s="6">
        <v>19.5</v>
      </c>
      <c r="B15" s="224">
        <v>0.32200000000000001</v>
      </c>
      <c r="C15" s="18">
        <v>0.29799999999999999</v>
      </c>
      <c r="D15" s="19">
        <v>0.29499999999999998</v>
      </c>
      <c r="E15" s="19">
        <v>0.30499999999999999</v>
      </c>
      <c r="F15" s="19">
        <v>0.32</v>
      </c>
      <c r="G15" s="19">
        <v>0.29599999999999999</v>
      </c>
      <c r="H15" s="19">
        <v>0.184</v>
      </c>
      <c r="I15" s="19">
        <v>-1.0699999999999999E-2</v>
      </c>
      <c r="J15" s="19">
        <v>-0.20200000000000001</v>
      </c>
      <c r="K15" s="19">
        <v>-0.28000000000000003</v>
      </c>
      <c r="L15" s="19">
        <v>-0.19400000000000001</v>
      </c>
      <c r="M15" s="19">
        <v>7.1000000000000004E-3</v>
      </c>
      <c r="N15" s="19">
        <v>0.20799999999999999</v>
      </c>
      <c r="O15" s="20">
        <v>0.29699999999999999</v>
      </c>
      <c r="Q15" s="225">
        <f t="shared" si="2"/>
        <v>19.5</v>
      </c>
      <c r="R15" s="226">
        <f t="shared" si="2"/>
        <v>0.32200000000000001</v>
      </c>
      <c r="S15" s="227">
        <f t="shared" si="3"/>
        <v>6.2235325917185813</v>
      </c>
      <c r="T15" s="227">
        <f t="shared" si="1"/>
        <v>6.1608795790502739</v>
      </c>
      <c r="U15" s="227">
        <f t="shared" si="1"/>
        <v>6.3697229546113006</v>
      </c>
      <c r="V15" s="227">
        <f t="shared" si="1"/>
        <v>6.68298801795284</v>
      </c>
      <c r="W15" s="227">
        <f t="shared" si="1"/>
        <v>6.1817639166063767</v>
      </c>
      <c r="X15" s="227">
        <f t="shared" si="1"/>
        <v>3.842718110322882</v>
      </c>
      <c r="Y15" s="227">
        <f t="shared" si="1"/>
        <v>-0.22346241185029808</v>
      </c>
      <c r="Z15" s="227">
        <f t="shared" si="1"/>
        <v>-4.2186361863327297</v>
      </c>
      <c r="AA15" s="227">
        <f t="shared" si="1"/>
        <v>-5.8476145157087336</v>
      </c>
      <c r="AB15" s="227">
        <f t="shared" si="1"/>
        <v>-4.0515614858839095</v>
      </c>
      <c r="AC15" s="227">
        <f t="shared" si="1"/>
        <v>0.14827879664832863</v>
      </c>
      <c r="AD15" s="227">
        <f t="shared" si="1"/>
        <v>4.3439422116693454</v>
      </c>
      <c r="AE15" s="227">
        <f t="shared" si="1"/>
        <v>6.2026482541624794</v>
      </c>
    </row>
    <row r="16" spans="1:31" ht="12.75" customHeight="1" x14ac:dyDescent="0.2">
      <c r="A16" s="6">
        <v>19</v>
      </c>
      <c r="B16" s="224">
        <v>0.33100000000000002</v>
      </c>
      <c r="C16" s="18">
        <v>0.35</v>
      </c>
      <c r="D16" s="19">
        <v>0.33400000000000002</v>
      </c>
      <c r="E16" s="19">
        <v>0.312</v>
      </c>
      <c r="F16" s="19">
        <v>0.29299999999999998</v>
      </c>
      <c r="G16" s="19">
        <v>0.254</v>
      </c>
      <c r="H16" s="19">
        <v>0.154</v>
      </c>
      <c r="I16" s="19">
        <v>-7.4400000000000004E-3</v>
      </c>
      <c r="J16" s="19">
        <v>-0.16300000000000001</v>
      </c>
      <c r="K16" s="19">
        <v>-0.216</v>
      </c>
      <c r="L16" s="19">
        <v>-0.124</v>
      </c>
      <c r="M16" s="19">
        <v>7.1999999999999995E-2</v>
      </c>
      <c r="N16" s="19">
        <v>0.26400000000000001</v>
      </c>
      <c r="O16" s="20">
        <v>0.34799999999999998</v>
      </c>
      <c r="Q16" s="225">
        <f t="shared" si="2"/>
        <v>19</v>
      </c>
      <c r="R16" s="226">
        <f t="shared" si="2"/>
        <v>0.33100000000000002</v>
      </c>
      <c r="S16" s="227">
        <f t="shared" si="3"/>
        <v>7.3095181446359181</v>
      </c>
      <c r="T16" s="227">
        <f t="shared" si="1"/>
        <v>6.9753687437382759</v>
      </c>
      <c r="U16" s="227">
        <f t="shared" si="1"/>
        <v>6.5159133175040189</v>
      </c>
      <c r="V16" s="227">
        <f t="shared" si="1"/>
        <v>6.1191109039380684</v>
      </c>
      <c r="W16" s="227">
        <f t="shared" si="1"/>
        <v>5.3046217392500665</v>
      </c>
      <c r="X16" s="227">
        <f t="shared" si="1"/>
        <v>3.216187983639804</v>
      </c>
      <c r="Y16" s="227">
        <f t="shared" si="1"/>
        <v>-0.15537947141740352</v>
      </c>
      <c r="Z16" s="227">
        <f t="shared" si="1"/>
        <v>-3.4041470216447274</v>
      </c>
      <c r="AA16" s="227">
        <f t="shared" si="1"/>
        <v>-4.5110169121181665</v>
      </c>
      <c r="AB16" s="227">
        <f t="shared" si="1"/>
        <v>-2.589657856956725</v>
      </c>
      <c r="AC16" s="227">
        <f t="shared" si="1"/>
        <v>1.5036723040393889</v>
      </c>
      <c r="AD16" s="227">
        <f t="shared" si="1"/>
        <v>5.5134651148110922</v>
      </c>
      <c r="AE16" s="227">
        <f t="shared" si="1"/>
        <v>7.2677494695237126</v>
      </c>
    </row>
    <row r="17" spans="1:31" ht="12.75" customHeight="1" x14ac:dyDescent="0.2">
      <c r="A17" s="6">
        <v>18.5</v>
      </c>
      <c r="B17" s="224">
        <v>0.34</v>
      </c>
      <c r="C17" s="18">
        <v>0.41299999999999998</v>
      </c>
      <c r="D17" s="19">
        <v>0.38100000000000001</v>
      </c>
      <c r="E17" s="19">
        <v>0.31900000000000001</v>
      </c>
      <c r="F17" s="19">
        <v>0.25800000000000001</v>
      </c>
      <c r="G17" s="19">
        <v>0.2</v>
      </c>
      <c r="H17" s="19">
        <v>0.11700000000000001</v>
      </c>
      <c r="I17" s="19">
        <v>-4.2100000000000002E-3</v>
      </c>
      <c r="J17" s="19">
        <v>-0.11600000000000001</v>
      </c>
      <c r="K17" s="19">
        <v>-0.14199999999999999</v>
      </c>
      <c r="L17" s="19">
        <v>-4.24E-2</v>
      </c>
      <c r="M17" s="19">
        <v>0.14699999999999999</v>
      </c>
      <c r="N17" s="19">
        <v>0.33100000000000002</v>
      </c>
      <c r="O17" s="20">
        <v>0.41099999999999998</v>
      </c>
      <c r="Q17" s="225">
        <f t="shared" si="2"/>
        <v>18.5</v>
      </c>
      <c r="R17" s="226">
        <f t="shared" si="2"/>
        <v>0.34</v>
      </c>
      <c r="S17" s="227">
        <f t="shared" si="3"/>
        <v>8.6252314106703825</v>
      </c>
      <c r="T17" s="227">
        <f t="shared" si="1"/>
        <v>7.9569326088750989</v>
      </c>
      <c r="U17" s="227">
        <f t="shared" si="1"/>
        <v>6.6621036803967355</v>
      </c>
      <c r="V17" s="227">
        <f t="shared" si="1"/>
        <v>5.3881590894744757</v>
      </c>
      <c r="W17" s="227">
        <f t="shared" si="1"/>
        <v>4.1768675112205251</v>
      </c>
      <c r="X17" s="227">
        <f t="shared" si="1"/>
        <v>2.4434674940640067</v>
      </c>
      <c r="Y17" s="227">
        <f t="shared" si="1"/>
        <v>-8.7923061111192038E-2</v>
      </c>
      <c r="Z17" s="227">
        <f t="shared" si="1"/>
        <v>-2.4225831565079039</v>
      </c>
      <c r="AA17" s="227">
        <f t="shared" si="1"/>
        <v>-2.9655759329665727</v>
      </c>
      <c r="AB17" s="227">
        <f t="shared" si="1"/>
        <v>-0.88549591237875125</v>
      </c>
      <c r="AC17" s="227">
        <f t="shared" si="1"/>
        <v>3.0699976207470856</v>
      </c>
      <c r="AD17" s="227">
        <f t="shared" si="1"/>
        <v>6.9127157310699694</v>
      </c>
      <c r="AE17" s="227">
        <f t="shared" si="1"/>
        <v>8.583462735558177</v>
      </c>
    </row>
    <row r="18" spans="1:31" ht="12.75" customHeight="1" x14ac:dyDescent="0.2">
      <c r="A18" s="6">
        <v>18</v>
      </c>
      <c r="B18" s="224">
        <v>0.34899999999999998</v>
      </c>
      <c r="C18" s="18">
        <v>0.48799999999999999</v>
      </c>
      <c r="D18" s="19">
        <v>0.441</v>
      </c>
      <c r="E18" s="19">
        <v>0.33900000000000002</v>
      </c>
      <c r="F18" s="19">
        <v>0.23699999999999999</v>
      </c>
      <c r="G18" s="19">
        <v>0.16</v>
      </c>
      <c r="H18" s="19">
        <v>8.6999999999999994E-2</v>
      </c>
      <c r="I18" s="19">
        <v>-1.89E-3</v>
      </c>
      <c r="J18" s="19">
        <v>-7.9000000000000001E-2</v>
      </c>
      <c r="K18" s="19">
        <v>-8.2600000000000007E-2</v>
      </c>
      <c r="L18" s="19">
        <v>2.6700000000000002E-2</v>
      </c>
      <c r="M18" s="19">
        <v>0.22</v>
      </c>
      <c r="N18" s="19">
        <v>0.40699999999999997</v>
      </c>
      <c r="O18" s="20">
        <v>0.48599999999999999</v>
      </c>
      <c r="Q18" s="225">
        <f t="shared" si="2"/>
        <v>18</v>
      </c>
      <c r="R18" s="226">
        <f t="shared" si="2"/>
        <v>0.34899999999999998</v>
      </c>
      <c r="S18" s="227">
        <f t="shared" si="3"/>
        <v>10.19155672737808</v>
      </c>
      <c r="T18" s="227">
        <f t="shared" si="1"/>
        <v>9.2099928622412559</v>
      </c>
      <c r="U18" s="227">
        <f t="shared" si="1"/>
        <v>7.0797904315187896</v>
      </c>
      <c r="V18" s="227">
        <f t="shared" si="1"/>
        <v>4.9495880007963216</v>
      </c>
      <c r="W18" s="227">
        <f t="shared" si="1"/>
        <v>3.34149400897642</v>
      </c>
      <c r="X18" s="227">
        <f t="shared" si="1"/>
        <v>1.8169373673809281</v>
      </c>
      <c r="Y18" s="227">
        <f t="shared" si="1"/>
        <v>-3.9471397981033954E-2</v>
      </c>
      <c r="Z18" s="227">
        <f t="shared" si="1"/>
        <v>-1.649862666932107</v>
      </c>
      <c r="AA18" s="227">
        <f t="shared" si="1"/>
        <v>-1.7250462821340766</v>
      </c>
      <c r="AB18" s="227">
        <f t="shared" si="1"/>
        <v>0.55761181274794003</v>
      </c>
      <c r="AC18" s="227">
        <f t="shared" si="1"/>
        <v>4.5945542623425775</v>
      </c>
      <c r="AD18" s="227">
        <f t="shared" si="1"/>
        <v>8.499925385333766</v>
      </c>
      <c r="AE18" s="227">
        <f t="shared" si="1"/>
        <v>10.149788052265874</v>
      </c>
    </row>
    <row r="19" spans="1:31" ht="12.75" customHeight="1" x14ac:dyDescent="0.2">
      <c r="A19" s="6">
        <v>17</v>
      </c>
      <c r="B19" s="224">
        <v>0.37</v>
      </c>
      <c r="C19" s="18">
        <v>0.69099999999999995</v>
      </c>
      <c r="D19" s="19">
        <v>0.61199999999999999</v>
      </c>
      <c r="E19" s="19">
        <v>0.43</v>
      </c>
      <c r="F19" s="19">
        <v>0.245</v>
      </c>
      <c r="G19" s="19">
        <v>0.123</v>
      </c>
      <c r="H19" s="19">
        <v>5.3999999999999999E-2</v>
      </c>
      <c r="I19" s="19">
        <v>7.0200000000000004E-4</v>
      </c>
      <c r="J19" s="19">
        <v>-3.5999999999999997E-2</v>
      </c>
      <c r="K19" s="19">
        <v>-5.9100000000000003E-3</v>
      </c>
      <c r="L19" s="19">
        <v>0.13700000000000001</v>
      </c>
      <c r="M19" s="19">
        <v>0.371</v>
      </c>
      <c r="N19" s="19">
        <v>0.59499999999999997</v>
      </c>
      <c r="O19" s="20">
        <v>0.68899999999999995</v>
      </c>
      <c r="Q19" s="225">
        <f t="shared" si="2"/>
        <v>17</v>
      </c>
      <c r="R19" s="226">
        <f t="shared" si="2"/>
        <v>0.37</v>
      </c>
      <c r="S19" s="227">
        <f t="shared" si="3"/>
        <v>14.431077251266911</v>
      </c>
      <c r="T19" s="227">
        <f t="shared" si="1"/>
        <v>12.781214584334803</v>
      </c>
      <c r="U19" s="227">
        <f t="shared" si="1"/>
        <v>8.9802651491241274</v>
      </c>
      <c r="V19" s="227">
        <f t="shared" si="1"/>
        <v>5.1166627012451427</v>
      </c>
      <c r="W19" s="227">
        <f t="shared" si="1"/>
        <v>2.5687735194006227</v>
      </c>
      <c r="X19" s="227">
        <f t="shared" si="1"/>
        <v>1.1277542280295416</v>
      </c>
      <c r="Y19" s="227">
        <f t="shared" si="1"/>
        <v>1.4660804964384041E-2</v>
      </c>
      <c r="Z19" s="227">
        <f t="shared" si="1"/>
        <v>-0.75183615201969445</v>
      </c>
      <c r="AA19" s="227">
        <f t="shared" si="1"/>
        <v>-0.12342643495656652</v>
      </c>
      <c r="AB19" s="227">
        <f t="shared" si="1"/>
        <v>2.8611542451860594</v>
      </c>
      <c r="AC19" s="227">
        <f t="shared" si="1"/>
        <v>7.7480892333140723</v>
      </c>
      <c r="AD19" s="227">
        <f t="shared" si="1"/>
        <v>12.42618084588106</v>
      </c>
      <c r="AE19" s="227">
        <f t="shared" si="1"/>
        <v>14.389308576154706</v>
      </c>
    </row>
    <row r="20" spans="1:31" ht="12.75" customHeight="1" x14ac:dyDescent="0.2">
      <c r="A20" s="6">
        <v>16</v>
      </c>
      <c r="B20" s="224">
        <v>0.39300000000000002</v>
      </c>
      <c r="C20" s="18">
        <v>0.99099999999999999</v>
      </c>
      <c r="D20" s="19">
        <v>0.872</v>
      </c>
      <c r="E20" s="19">
        <v>0.59199999999999997</v>
      </c>
      <c r="F20" s="19">
        <v>0.30499999999999999</v>
      </c>
      <c r="G20" s="19">
        <v>0.122</v>
      </c>
      <c r="H20" s="19">
        <v>4.0899999999999999E-2</v>
      </c>
      <c r="I20" s="19">
        <v>1.98E-3</v>
      </c>
      <c r="J20" s="19">
        <v>-1.38E-2</v>
      </c>
      <c r="K20" s="19">
        <v>4.6399999999999997E-2</v>
      </c>
      <c r="L20" s="19">
        <v>0.245</v>
      </c>
      <c r="M20" s="19">
        <v>0.56100000000000005</v>
      </c>
      <c r="N20" s="19">
        <v>0.86299999999999999</v>
      </c>
      <c r="O20" s="20">
        <v>0.98899999999999999</v>
      </c>
      <c r="Q20" s="225">
        <f t="shared" si="2"/>
        <v>16</v>
      </c>
      <c r="R20" s="226">
        <f t="shared" si="2"/>
        <v>0.39300000000000002</v>
      </c>
      <c r="S20" s="227">
        <f t="shared" si="3"/>
        <v>20.696378518097699</v>
      </c>
      <c r="T20" s="227">
        <f t="shared" si="1"/>
        <v>18.211142348921488</v>
      </c>
      <c r="U20" s="227">
        <f t="shared" si="1"/>
        <v>12.363527833212753</v>
      </c>
      <c r="V20" s="227">
        <f t="shared" si="1"/>
        <v>6.3697229546113006</v>
      </c>
      <c r="W20" s="227">
        <f t="shared" si="1"/>
        <v>2.54788918184452</v>
      </c>
      <c r="X20" s="227">
        <f t="shared" si="1"/>
        <v>0.85416940604459723</v>
      </c>
      <c r="Y20" s="227">
        <f t="shared" si="1"/>
        <v>4.1350988361083196E-2</v>
      </c>
      <c r="Z20" s="227">
        <f t="shared" si="1"/>
        <v>-0.28820385827421618</v>
      </c>
      <c r="AA20" s="227">
        <f t="shared" si="1"/>
        <v>0.96903326260316158</v>
      </c>
      <c r="AB20" s="227">
        <f t="shared" si="1"/>
        <v>5.1166627012451427</v>
      </c>
      <c r="AC20" s="227">
        <f t="shared" si="1"/>
        <v>11.716113368973572</v>
      </c>
      <c r="AD20" s="227">
        <f t="shared" si="1"/>
        <v>18.023183310916561</v>
      </c>
      <c r="AE20" s="227">
        <f t="shared" si="1"/>
        <v>20.654609842985494</v>
      </c>
    </row>
    <row r="21" spans="1:31" ht="12.75" customHeight="1" x14ac:dyDescent="0.2">
      <c r="A21" s="6">
        <v>15</v>
      </c>
      <c r="B21" s="224">
        <v>0.41899999999999998</v>
      </c>
      <c r="C21" s="18">
        <v>1.44</v>
      </c>
      <c r="D21" s="19">
        <v>1.27</v>
      </c>
      <c r="E21" s="19">
        <v>0.85299999999999998</v>
      </c>
      <c r="F21" s="19">
        <v>0.42199999999999999</v>
      </c>
      <c r="G21" s="19">
        <v>0.14799999999999999</v>
      </c>
      <c r="H21" s="19">
        <v>3.9E-2</v>
      </c>
      <c r="I21" s="19">
        <v>2.4599999999999999E-3</v>
      </c>
      <c r="J21" s="19">
        <v>-5.6099999999999998E-4</v>
      </c>
      <c r="K21" s="19">
        <v>9.6199999999999994E-2</v>
      </c>
      <c r="L21" s="19">
        <v>0.38100000000000001</v>
      </c>
      <c r="M21" s="19">
        <v>0.82799999999999996</v>
      </c>
      <c r="N21" s="19">
        <v>1.25</v>
      </c>
      <c r="O21" s="20">
        <v>1.43</v>
      </c>
      <c r="Q21" s="225">
        <f t="shared" si="2"/>
        <v>15</v>
      </c>
      <c r="R21" s="226">
        <f t="shared" si="2"/>
        <v>0.41899999999999998</v>
      </c>
      <c r="S21" s="227">
        <f t="shared" si="3"/>
        <v>30.073446080787779</v>
      </c>
      <c r="T21" s="227">
        <f t="shared" si="1"/>
        <v>26.523108696250333</v>
      </c>
      <c r="U21" s="227">
        <f t="shared" si="1"/>
        <v>17.814339935355537</v>
      </c>
      <c r="V21" s="227">
        <f t="shared" si="1"/>
        <v>8.8131904486753072</v>
      </c>
      <c r="W21" s="227">
        <f t="shared" si="1"/>
        <v>3.0908819583031883</v>
      </c>
      <c r="X21" s="227">
        <f t="shared" si="1"/>
        <v>0.81448916468800237</v>
      </c>
      <c r="Y21" s="227">
        <f t="shared" si="1"/>
        <v>5.1375470388012441E-2</v>
      </c>
      <c r="Z21" s="227">
        <f t="shared" si="1"/>
        <v>-1.1716113368973569E-2</v>
      </c>
      <c r="AA21" s="227">
        <f t="shared" si="1"/>
        <v>2.0090732728970724</v>
      </c>
      <c r="AB21" s="227">
        <f t="shared" si="1"/>
        <v>7.9569326088750989</v>
      </c>
      <c r="AC21" s="227">
        <f t="shared" si="1"/>
        <v>17.29223149645297</v>
      </c>
      <c r="AD21" s="227">
        <f t="shared" si="1"/>
        <v>26.105421945128278</v>
      </c>
      <c r="AE21" s="227">
        <f t="shared" si="1"/>
        <v>29.864602705226751</v>
      </c>
    </row>
    <row r="22" spans="1:31" ht="12.75" customHeight="1" x14ac:dyDescent="0.2">
      <c r="A22" s="6">
        <v>14</v>
      </c>
      <c r="B22" s="224">
        <v>0.44900000000000001</v>
      </c>
      <c r="C22" s="18">
        <v>2.17</v>
      </c>
      <c r="D22" s="19">
        <v>1.91</v>
      </c>
      <c r="E22" s="19">
        <v>1.29</v>
      </c>
      <c r="F22" s="19">
        <v>0.629</v>
      </c>
      <c r="G22" s="19">
        <v>0.21099999999999999</v>
      </c>
      <c r="H22" s="19">
        <v>4.7899999999999998E-2</v>
      </c>
      <c r="I22" s="19">
        <v>1.73E-3</v>
      </c>
      <c r="J22" s="19">
        <v>6.45E-3</v>
      </c>
      <c r="K22" s="19">
        <v>0.152</v>
      </c>
      <c r="L22" s="19">
        <v>0.56000000000000005</v>
      </c>
      <c r="M22" s="19">
        <v>1.19</v>
      </c>
      <c r="N22" s="19">
        <v>1.78</v>
      </c>
      <c r="O22" s="20">
        <v>2.0299999999999998</v>
      </c>
      <c r="Q22" s="225">
        <f t="shared" si="2"/>
        <v>14</v>
      </c>
      <c r="R22" s="226">
        <f t="shared" si="2"/>
        <v>0.44900000000000001</v>
      </c>
      <c r="S22" s="227">
        <f t="shared" si="3"/>
        <v>45.319012496742687</v>
      </c>
      <c r="T22" s="227">
        <f t="shared" si="3"/>
        <v>39.889084732156007</v>
      </c>
      <c r="U22" s="227">
        <f t="shared" si="3"/>
        <v>26.940795447372377</v>
      </c>
      <c r="V22" s="227">
        <f t="shared" si="3"/>
        <v>13.136248322788548</v>
      </c>
      <c r="W22" s="227">
        <f t="shared" si="3"/>
        <v>4.4065952243376536</v>
      </c>
      <c r="X22" s="227">
        <f t="shared" si="3"/>
        <v>1.0003597689373154</v>
      </c>
      <c r="Y22" s="227">
        <f t="shared" si="3"/>
        <v>3.612990397205753E-2</v>
      </c>
      <c r="Z22" s="227">
        <f t="shared" si="3"/>
        <v>0.13470397723686192</v>
      </c>
      <c r="AA22" s="227">
        <f t="shared" si="3"/>
        <v>3.174419308527598</v>
      </c>
      <c r="AB22" s="227">
        <f t="shared" si="3"/>
        <v>11.695229031417467</v>
      </c>
      <c r="AC22" s="227">
        <f t="shared" si="3"/>
        <v>24.85236169176212</v>
      </c>
      <c r="AD22" s="227">
        <f t="shared" si="3"/>
        <v>37.174120849862668</v>
      </c>
      <c r="AE22" s="227">
        <f t="shared" si="3"/>
        <v>42.395205238888316</v>
      </c>
    </row>
    <row r="23" spans="1:31" ht="12.75" customHeight="1" x14ac:dyDescent="0.2">
      <c r="A23" s="6">
        <v>13</v>
      </c>
      <c r="B23" s="224">
        <v>0.48299999999999998</v>
      </c>
      <c r="C23" s="18">
        <v>3.55</v>
      </c>
      <c r="D23" s="19">
        <v>3.15</v>
      </c>
      <c r="E23" s="19">
        <v>2.14</v>
      </c>
      <c r="F23" s="19">
        <v>1.06</v>
      </c>
      <c r="G23" s="19">
        <v>0.35599999999999998</v>
      </c>
      <c r="H23" s="19">
        <v>7.7700000000000005E-2</v>
      </c>
      <c r="I23" s="19">
        <v>-2.47E-3</v>
      </c>
      <c r="J23" s="19">
        <v>-6.3500000000000004E-4</v>
      </c>
      <c r="K23" s="19">
        <v>0.192</v>
      </c>
      <c r="L23" s="19">
        <v>0.72499999999999998</v>
      </c>
      <c r="M23" s="19">
        <v>1.53</v>
      </c>
      <c r="N23" s="19">
        <v>2.27</v>
      </c>
      <c r="O23" s="20">
        <v>2.57</v>
      </c>
      <c r="Q23" s="225">
        <f t="shared" si="2"/>
        <v>13</v>
      </c>
      <c r="R23" s="226">
        <f t="shared" si="2"/>
        <v>0.48299999999999998</v>
      </c>
      <c r="S23" s="227">
        <f t="shared" si="3"/>
        <v>74.139398324164304</v>
      </c>
      <c r="T23" s="227">
        <f t="shared" si="3"/>
        <v>65.785663301723261</v>
      </c>
      <c r="U23" s="227">
        <f t="shared" si="3"/>
        <v>44.692482370059608</v>
      </c>
      <c r="V23" s="227">
        <f t="shared" si="3"/>
        <v>22.13739780946878</v>
      </c>
      <c r="W23" s="227">
        <f t="shared" si="3"/>
        <v>7.4348241699725337</v>
      </c>
      <c r="X23" s="227">
        <f t="shared" si="3"/>
        <v>1.6227130281091739</v>
      </c>
      <c r="Y23" s="227">
        <f t="shared" si="3"/>
        <v>-5.1584313763573475E-2</v>
      </c>
      <c r="Z23" s="227">
        <f t="shared" si="3"/>
        <v>-1.3261554348125166E-2</v>
      </c>
      <c r="AA23" s="227">
        <f t="shared" si="3"/>
        <v>4.0097928107717031</v>
      </c>
      <c r="AB23" s="227">
        <f t="shared" si="3"/>
        <v>15.1411447281744</v>
      </c>
      <c r="AC23" s="227">
        <f t="shared" si="3"/>
        <v>31.953036460837012</v>
      </c>
      <c r="AD23" s="227">
        <f t="shared" si="3"/>
        <v>47.407446252352955</v>
      </c>
      <c r="AE23" s="227">
        <f t="shared" si="3"/>
        <v>53.67274751918373</v>
      </c>
    </row>
    <row r="24" spans="1:31" ht="12.75" customHeight="1" x14ac:dyDescent="0.2">
      <c r="A24" s="6">
        <v>12</v>
      </c>
      <c r="B24" s="224">
        <v>0.52400000000000002</v>
      </c>
      <c r="C24" s="18">
        <v>7</v>
      </c>
      <c r="D24" s="19">
        <v>6.28</v>
      </c>
      <c r="E24" s="19">
        <v>4.43</v>
      </c>
      <c r="F24" s="19">
        <v>2.31</v>
      </c>
      <c r="G24" s="19">
        <v>0.81499999999999995</v>
      </c>
      <c r="H24" s="19">
        <v>0.18</v>
      </c>
      <c r="I24" s="19">
        <v>-1.8700000000000001E-2</v>
      </c>
      <c r="J24" s="19">
        <v>-7.2900000000000006E-2</v>
      </c>
      <c r="K24" s="19">
        <v>3.6799999999999999E-2</v>
      </c>
      <c r="L24" s="19">
        <v>0.40300000000000002</v>
      </c>
      <c r="M24" s="19">
        <v>0.995</v>
      </c>
      <c r="N24" s="19">
        <v>1.56</v>
      </c>
      <c r="O24" s="20">
        <v>1.8</v>
      </c>
      <c r="Q24" s="225">
        <f t="shared" si="2"/>
        <v>12</v>
      </c>
      <c r="R24" s="226">
        <f t="shared" si="2"/>
        <v>0.52400000000000002</v>
      </c>
      <c r="S24" s="227">
        <f t="shared" si="3"/>
        <v>146.19036289271835</v>
      </c>
      <c r="T24" s="227">
        <f t="shared" si="3"/>
        <v>131.15363985232449</v>
      </c>
      <c r="U24" s="227">
        <f t="shared" si="3"/>
        <v>92.517615373534625</v>
      </c>
      <c r="V24" s="227">
        <f t="shared" si="3"/>
        <v>48.242819754597058</v>
      </c>
      <c r="W24" s="227">
        <f t="shared" si="3"/>
        <v>17.020735108223636</v>
      </c>
      <c r="X24" s="227">
        <f t="shared" si="3"/>
        <v>3.7591807600984724</v>
      </c>
      <c r="Y24" s="227">
        <f t="shared" si="3"/>
        <v>-0.39053711229911908</v>
      </c>
      <c r="Z24" s="227">
        <f t="shared" si="3"/>
        <v>-1.5224682078398815</v>
      </c>
      <c r="AA24" s="227">
        <f t="shared" si="3"/>
        <v>0.76854362206457638</v>
      </c>
      <c r="AB24" s="227">
        <f t="shared" si="3"/>
        <v>8.4163880351093567</v>
      </c>
      <c r="AC24" s="227">
        <f t="shared" si="3"/>
        <v>20.77991586832211</v>
      </c>
      <c r="AD24" s="227">
        <f t="shared" si="3"/>
        <v>32.579566587520091</v>
      </c>
      <c r="AE24" s="227">
        <f t="shared" si="3"/>
        <v>37.591807600984716</v>
      </c>
    </row>
    <row r="25" spans="1:31" ht="12.75" customHeight="1" x14ac:dyDescent="0.2">
      <c r="A25" s="6">
        <v>11</v>
      </c>
      <c r="B25" s="224">
        <v>0.57099999999999995</v>
      </c>
      <c r="C25" s="18">
        <v>16.600000000000001</v>
      </c>
      <c r="D25" s="19">
        <v>15.4</v>
      </c>
      <c r="E25" s="19">
        <v>11.9</v>
      </c>
      <c r="F25" s="19">
        <v>6.97</v>
      </c>
      <c r="G25" s="19">
        <v>2.82</v>
      </c>
      <c r="H25" s="19">
        <v>0.67700000000000005</v>
      </c>
      <c r="I25" s="19">
        <v>-8.3900000000000002E-2</v>
      </c>
      <c r="J25" s="19">
        <v>-0.53900000000000003</v>
      </c>
      <c r="K25" s="19">
        <v>-1.42</v>
      </c>
      <c r="L25" s="19">
        <v>-2.82</v>
      </c>
      <c r="M25" s="19">
        <v>-4.0199999999999996</v>
      </c>
      <c r="N25" s="19">
        <v>-4.5599999999999996</v>
      </c>
      <c r="O25" s="20">
        <v>-4.66</v>
      </c>
      <c r="Q25" s="225">
        <f t="shared" si="2"/>
        <v>11</v>
      </c>
      <c r="R25" s="226">
        <f t="shared" si="2"/>
        <v>0.57099999999999995</v>
      </c>
      <c r="S25" s="227">
        <f t="shared" si="3"/>
        <v>346.68000343130353</v>
      </c>
      <c r="T25" s="227">
        <f t="shared" si="3"/>
        <v>321.61879836398037</v>
      </c>
      <c r="U25" s="227">
        <f t="shared" si="3"/>
        <v>248.52361691762118</v>
      </c>
      <c r="V25" s="227">
        <f t="shared" si="3"/>
        <v>145.56383276603526</v>
      </c>
      <c r="W25" s="227">
        <f t="shared" si="3"/>
        <v>58.893831908209393</v>
      </c>
      <c r="X25" s="227">
        <f t="shared" si="3"/>
        <v>14.138696525481476</v>
      </c>
      <c r="Y25" s="227">
        <f t="shared" si="3"/>
        <v>-1.7521959209570102</v>
      </c>
      <c r="Z25" s="227">
        <f t="shared" si="3"/>
        <v>-11.256657942739313</v>
      </c>
      <c r="AA25" s="227">
        <f t="shared" si="3"/>
        <v>-29.655759329665724</v>
      </c>
      <c r="AB25" s="227">
        <f t="shared" si="3"/>
        <v>-58.893831908209393</v>
      </c>
      <c r="AC25" s="227">
        <f t="shared" si="3"/>
        <v>-83.955036975532536</v>
      </c>
      <c r="AD25" s="227">
        <f t="shared" si="3"/>
        <v>-95.232579255827957</v>
      </c>
      <c r="AE25" s="227">
        <f t="shared" si="3"/>
        <v>-97.321013011438211</v>
      </c>
    </row>
    <row r="26" spans="1:31" ht="12.75" customHeight="1" x14ac:dyDescent="0.2">
      <c r="A26" s="6">
        <v>10</v>
      </c>
      <c r="B26" s="224">
        <v>0.628</v>
      </c>
      <c r="C26" s="18">
        <v>36.299999999999997</v>
      </c>
      <c r="D26" s="19">
        <v>35.5</v>
      </c>
      <c r="E26" s="19">
        <v>32.1</v>
      </c>
      <c r="F26" s="19">
        <v>23.8</v>
      </c>
      <c r="G26" s="19">
        <v>12.7</v>
      </c>
      <c r="H26" s="19">
        <v>4.04</v>
      </c>
      <c r="I26" s="19">
        <v>-0.39100000000000001</v>
      </c>
      <c r="J26" s="19">
        <v>-3.83</v>
      </c>
      <c r="K26" s="19">
        <v>-9.94</v>
      </c>
      <c r="L26" s="19">
        <v>-17.5</v>
      </c>
      <c r="M26" s="19">
        <v>-22</v>
      </c>
      <c r="N26" s="19">
        <v>-22.8</v>
      </c>
      <c r="O26" s="20">
        <v>-22.6</v>
      </c>
      <c r="Q26" s="225">
        <f t="shared" si="2"/>
        <v>10</v>
      </c>
      <c r="R26" s="226">
        <f t="shared" si="2"/>
        <v>0.628</v>
      </c>
      <c r="S26" s="227">
        <f t="shared" si="3"/>
        <v>758.10145328652527</v>
      </c>
      <c r="T26" s="227">
        <f t="shared" si="3"/>
        <v>741.39398324164301</v>
      </c>
      <c r="U26" s="227">
        <f t="shared" si="3"/>
        <v>670.38723555089416</v>
      </c>
      <c r="V26" s="227">
        <f t="shared" si="3"/>
        <v>497.04723383524237</v>
      </c>
      <c r="W26" s="227">
        <f t="shared" si="3"/>
        <v>265.2310869625033</v>
      </c>
      <c r="X26" s="227">
        <f t="shared" si="3"/>
        <v>84.372723726654584</v>
      </c>
      <c r="Y26" s="227">
        <f t="shared" si="3"/>
        <v>-8.1657759844361255</v>
      </c>
      <c r="Z26" s="227">
        <f t="shared" si="3"/>
        <v>-79.987012839873046</v>
      </c>
      <c r="AA26" s="227">
        <f t="shared" si="3"/>
        <v>-207.59031530766006</v>
      </c>
      <c r="AB26" s="227">
        <f t="shared" si="3"/>
        <v>-365.47590723179587</v>
      </c>
      <c r="AC26" s="227">
        <f t="shared" si="3"/>
        <v>-459.45542623425769</v>
      </c>
      <c r="AD26" s="227">
        <f t="shared" si="3"/>
        <v>-476.16289627913977</v>
      </c>
      <c r="AE26" s="227">
        <f t="shared" si="3"/>
        <v>-471.98602876791927</v>
      </c>
    </row>
    <row r="27" spans="1:31" ht="12.75" customHeight="1" x14ac:dyDescent="0.2">
      <c r="A27" s="6">
        <v>9</v>
      </c>
      <c r="B27" s="224">
        <v>0.69799999999999995</v>
      </c>
      <c r="C27" s="18">
        <v>64.5</v>
      </c>
      <c r="D27" s="19">
        <v>65</v>
      </c>
      <c r="E27" s="19">
        <v>67.8</v>
      </c>
      <c r="F27" s="19">
        <v>70.5</v>
      </c>
      <c r="G27" s="19">
        <v>61.9</v>
      </c>
      <c r="H27" s="19">
        <v>34.1</v>
      </c>
      <c r="I27" s="19">
        <v>-3.04</v>
      </c>
      <c r="J27" s="19">
        <v>-33</v>
      </c>
      <c r="K27" s="19">
        <v>-52.5</v>
      </c>
      <c r="L27" s="19">
        <v>-61.1</v>
      </c>
      <c r="M27" s="19">
        <v>-59.9</v>
      </c>
      <c r="N27" s="19">
        <v>-56.6</v>
      </c>
      <c r="O27" s="20">
        <v>-55.4</v>
      </c>
      <c r="Q27" s="225">
        <f t="shared" si="2"/>
        <v>9</v>
      </c>
      <c r="R27" s="226">
        <f t="shared" si="2"/>
        <v>0.69799999999999995</v>
      </c>
      <c r="S27" s="227">
        <f t="shared" si="3"/>
        <v>1347.039772368619</v>
      </c>
      <c r="T27" s="227">
        <f t="shared" si="3"/>
        <v>1357.4819411466704</v>
      </c>
      <c r="U27" s="227">
        <f t="shared" si="3"/>
        <v>1415.9580863037577</v>
      </c>
      <c r="V27" s="227">
        <f t="shared" si="3"/>
        <v>1472.3457977052349</v>
      </c>
      <c r="W27" s="227">
        <f t="shared" si="3"/>
        <v>1292.7404947227524</v>
      </c>
      <c r="X27" s="227">
        <f t="shared" si="3"/>
        <v>712.15591066309946</v>
      </c>
      <c r="Y27" s="227">
        <f t="shared" si="3"/>
        <v>-63.488386170551969</v>
      </c>
      <c r="Z27" s="227">
        <f t="shared" si="3"/>
        <v>-689.18313935138656</v>
      </c>
      <c r="AA27" s="227">
        <f t="shared" si="3"/>
        <v>-1096.4277216953876</v>
      </c>
      <c r="AB27" s="227">
        <f t="shared" si="3"/>
        <v>-1276.0330246778701</v>
      </c>
      <c r="AC27" s="227">
        <f t="shared" si="3"/>
        <v>-1250.9718196105471</v>
      </c>
      <c r="AD27" s="227">
        <f t="shared" si="3"/>
        <v>-1182.0535056754084</v>
      </c>
      <c r="AE27" s="227">
        <f t="shared" si="3"/>
        <v>-1156.9923006080851</v>
      </c>
    </row>
    <row r="28" spans="1:31" ht="12.75" customHeight="1" x14ac:dyDescent="0.2">
      <c r="A28" s="6">
        <v>8</v>
      </c>
      <c r="B28" s="224">
        <v>0.78500000000000003</v>
      </c>
      <c r="C28" s="18">
        <v>118</v>
      </c>
      <c r="D28" s="19">
        <v>113</v>
      </c>
      <c r="E28" s="19">
        <v>113</v>
      </c>
      <c r="F28" s="19">
        <v>154</v>
      </c>
      <c r="G28" s="19">
        <v>189</v>
      </c>
      <c r="H28" s="19">
        <v>95.3</v>
      </c>
      <c r="I28" s="19">
        <v>-28.9</v>
      </c>
      <c r="J28" s="19">
        <v>-98</v>
      </c>
      <c r="K28" s="19">
        <v>-148</v>
      </c>
      <c r="L28" s="19">
        <v>-135</v>
      </c>
      <c r="M28" s="19">
        <v>-107</v>
      </c>
      <c r="N28" s="19">
        <v>-102</v>
      </c>
      <c r="O28" s="20">
        <v>-104</v>
      </c>
      <c r="Q28" s="225">
        <f t="shared" si="2"/>
        <v>8</v>
      </c>
      <c r="R28" s="226">
        <f t="shared" si="2"/>
        <v>0.78500000000000003</v>
      </c>
      <c r="S28" s="227">
        <f t="shared" si="3"/>
        <v>2464.3518316201094</v>
      </c>
      <c r="T28" s="227">
        <f t="shared" si="3"/>
        <v>2359.930143839596</v>
      </c>
      <c r="U28" s="227">
        <f t="shared" si="3"/>
        <v>2359.930143839596</v>
      </c>
      <c r="V28" s="227">
        <f t="shared" si="3"/>
        <v>3216.1879836398034</v>
      </c>
      <c r="W28" s="227">
        <f t="shared" si="3"/>
        <v>3947.1397981033961</v>
      </c>
      <c r="X28" s="227">
        <f t="shared" si="3"/>
        <v>1990.2773690965796</v>
      </c>
      <c r="Y28" s="227">
        <f t="shared" si="3"/>
        <v>-603.55735537136582</v>
      </c>
      <c r="Z28" s="227">
        <f t="shared" si="3"/>
        <v>-2046.665080498057</v>
      </c>
      <c r="AA28" s="227">
        <f t="shared" si="3"/>
        <v>-3090.8819583031882</v>
      </c>
      <c r="AB28" s="227">
        <f t="shared" si="3"/>
        <v>-2819.3855700738536</v>
      </c>
      <c r="AC28" s="227">
        <f t="shared" si="3"/>
        <v>-2234.6241185029803</v>
      </c>
      <c r="AD28" s="227">
        <f t="shared" si="3"/>
        <v>-2130.2024307224674</v>
      </c>
      <c r="AE28" s="227">
        <f t="shared" si="3"/>
        <v>-2171.9711058346729</v>
      </c>
    </row>
    <row r="29" spans="1:31" ht="12.75" customHeight="1" x14ac:dyDescent="0.2">
      <c r="A29" s="6">
        <v>7</v>
      </c>
      <c r="B29" s="224">
        <v>0.89800000000000002</v>
      </c>
      <c r="C29" s="18">
        <v>116</v>
      </c>
      <c r="D29" s="19">
        <v>123</v>
      </c>
      <c r="E29" s="19">
        <v>119</v>
      </c>
      <c r="F29" s="19">
        <v>83.1</v>
      </c>
      <c r="G29" s="19">
        <v>117</v>
      </c>
      <c r="H29" s="19">
        <v>38.200000000000003</v>
      </c>
      <c r="I29" s="19">
        <v>-33.1</v>
      </c>
      <c r="J29" s="19">
        <v>-54</v>
      </c>
      <c r="K29" s="19">
        <v>-124</v>
      </c>
      <c r="L29" s="19">
        <v>-81.099999999999994</v>
      </c>
      <c r="M29" s="19">
        <v>-85.5</v>
      </c>
      <c r="N29" s="19">
        <v>-80.900000000000006</v>
      </c>
      <c r="O29" s="20">
        <v>-73.7</v>
      </c>
      <c r="Q29" s="225">
        <f t="shared" si="2"/>
        <v>7</v>
      </c>
      <c r="R29" s="226">
        <f t="shared" si="2"/>
        <v>0.89800000000000002</v>
      </c>
      <c r="S29" s="227">
        <f t="shared" si="3"/>
        <v>2422.5831565079043</v>
      </c>
      <c r="T29" s="227">
        <f t="shared" si="3"/>
        <v>2568.7735194006223</v>
      </c>
      <c r="U29" s="227">
        <f t="shared" si="3"/>
        <v>2485.2361691762121</v>
      </c>
      <c r="V29" s="227">
        <f t="shared" si="3"/>
        <v>1735.488450912128</v>
      </c>
      <c r="W29" s="227">
        <f t="shared" si="3"/>
        <v>2443.4674940640066</v>
      </c>
      <c r="X29" s="227">
        <f t="shared" si="3"/>
        <v>797.7816946431202</v>
      </c>
      <c r="Y29" s="227">
        <f t="shared" si="3"/>
        <v>-691.27157310699681</v>
      </c>
      <c r="Z29" s="227">
        <f t="shared" si="3"/>
        <v>-1127.7542280295418</v>
      </c>
      <c r="AA29" s="227">
        <f t="shared" si="3"/>
        <v>-2589.657856956725</v>
      </c>
      <c r="AB29" s="227">
        <f t="shared" si="3"/>
        <v>-1693.7197757999224</v>
      </c>
      <c r="AC29" s="227">
        <f t="shared" si="3"/>
        <v>-1785.6108610467741</v>
      </c>
      <c r="AD29" s="227">
        <f t="shared" si="3"/>
        <v>-1689.5429082887024</v>
      </c>
      <c r="AE29" s="227">
        <f t="shared" si="3"/>
        <v>-1539.1756778847634</v>
      </c>
    </row>
    <row r="30" spans="1:31" ht="12.75" customHeight="1" x14ac:dyDescent="0.2">
      <c r="A30" s="6">
        <v>6</v>
      </c>
      <c r="B30" s="224">
        <v>1.0469999999999999</v>
      </c>
      <c r="C30" s="18">
        <v>86.1</v>
      </c>
      <c r="D30" s="19">
        <v>94.5</v>
      </c>
      <c r="E30" s="19">
        <v>118</v>
      </c>
      <c r="F30" s="19">
        <v>126</v>
      </c>
      <c r="G30" s="19">
        <v>65.2</v>
      </c>
      <c r="H30" s="19">
        <v>34.1</v>
      </c>
      <c r="I30" s="19">
        <v>-20.2</v>
      </c>
      <c r="J30" s="19">
        <v>-48.3</v>
      </c>
      <c r="K30" s="19">
        <v>-82.4</v>
      </c>
      <c r="L30" s="19">
        <v>-108</v>
      </c>
      <c r="M30" s="19">
        <v>-103</v>
      </c>
      <c r="N30" s="19">
        <v>-70.8</v>
      </c>
      <c r="O30" s="20">
        <v>-56.3</v>
      </c>
      <c r="Q30" s="225">
        <f t="shared" si="2"/>
        <v>6</v>
      </c>
      <c r="R30" s="226">
        <f t="shared" si="2"/>
        <v>1.0469999999999999</v>
      </c>
      <c r="S30" s="227">
        <f t="shared" si="3"/>
        <v>1798.1414635804356</v>
      </c>
      <c r="T30" s="227">
        <f t="shared" si="3"/>
        <v>1973.569899051698</v>
      </c>
      <c r="U30" s="227">
        <f t="shared" si="3"/>
        <v>2464.3518316201094</v>
      </c>
      <c r="V30" s="227">
        <f t="shared" si="3"/>
        <v>2631.4265320689306</v>
      </c>
      <c r="W30" s="227">
        <f t="shared" si="3"/>
        <v>1361.6588086578911</v>
      </c>
      <c r="X30" s="227">
        <f t="shared" si="3"/>
        <v>712.15591066309946</v>
      </c>
      <c r="Y30" s="227">
        <f t="shared" si="3"/>
        <v>-421.86361863327295</v>
      </c>
      <c r="Z30" s="227">
        <f t="shared" si="3"/>
        <v>-1008.7135039597565</v>
      </c>
      <c r="AA30" s="227">
        <f t="shared" si="3"/>
        <v>-1720.8694146228559</v>
      </c>
      <c r="AB30" s="227">
        <f t="shared" si="3"/>
        <v>-2255.5084560590835</v>
      </c>
      <c r="AC30" s="227">
        <f t="shared" si="3"/>
        <v>-2151.0867682785702</v>
      </c>
      <c r="AD30" s="227">
        <f t="shared" si="3"/>
        <v>-1478.6110989720657</v>
      </c>
      <c r="AE30" s="227">
        <f t="shared" si="3"/>
        <v>-1175.7882044085775</v>
      </c>
    </row>
    <row r="31" spans="1:31" ht="12.75" customHeight="1" x14ac:dyDescent="0.2">
      <c r="A31" s="6">
        <v>5</v>
      </c>
      <c r="B31" s="224">
        <v>1.2569999999999999</v>
      </c>
      <c r="C31" s="18">
        <v>120</v>
      </c>
      <c r="D31" s="19">
        <v>138</v>
      </c>
      <c r="E31" s="19">
        <v>138</v>
      </c>
      <c r="F31" s="19">
        <v>84.5</v>
      </c>
      <c r="G31" s="19">
        <v>63.1</v>
      </c>
      <c r="H31" s="19">
        <v>58.1</v>
      </c>
      <c r="I31" s="19">
        <v>-47.9</v>
      </c>
      <c r="J31" s="19">
        <v>-92.3</v>
      </c>
      <c r="K31" s="19">
        <v>-67.900000000000006</v>
      </c>
      <c r="L31" s="19">
        <v>-92.8</v>
      </c>
      <c r="M31" s="19">
        <v>-102</v>
      </c>
      <c r="N31" s="19">
        <v>-92.5</v>
      </c>
      <c r="O31" s="20">
        <v>-71.900000000000006</v>
      </c>
      <c r="Q31" s="225">
        <f t="shared" si="2"/>
        <v>5</v>
      </c>
      <c r="R31" s="226">
        <f t="shared" si="2"/>
        <v>1.2569999999999999</v>
      </c>
      <c r="S31" s="227">
        <f t="shared" si="3"/>
        <v>2506.1205067323149</v>
      </c>
      <c r="T31" s="227">
        <f t="shared" si="3"/>
        <v>2882.0385827421619</v>
      </c>
      <c r="U31" s="227">
        <f t="shared" si="3"/>
        <v>2882.0385827421619</v>
      </c>
      <c r="V31" s="227">
        <f t="shared" si="3"/>
        <v>1764.7265234906715</v>
      </c>
      <c r="W31" s="227">
        <f t="shared" si="3"/>
        <v>1317.8016997900754</v>
      </c>
      <c r="X31" s="227">
        <f t="shared" si="3"/>
        <v>1213.3800120095625</v>
      </c>
      <c r="Y31" s="227">
        <f t="shared" si="3"/>
        <v>-1000.3597689373157</v>
      </c>
      <c r="Z31" s="227">
        <f t="shared" si="3"/>
        <v>-1927.624356428272</v>
      </c>
      <c r="AA31" s="227">
        <f t="shared" si="3"/>
        <v>-1418.046520059368</v>
      </c>
      <c r="AB31" s="227">
        <f t="shared" si="3"/>
        <v>-1938.0665252063231</v>
      </c>
      <c r="AC31" s="227">
        <f t="shared" si="3"/>
        <v>-2130.2024307224674</v>
      </c>
      <c r="AD31" s="227">
        <f t="shared" si="3"/>
        <v>-1931.8012239394925</v>
      </c>
      <c r="AE31" s="227">
        <f t="shared" si="3"/>
        <v>-1501.5838702837784</v>
      </c>
    </row>
    <row r="32" spans="1:31" ht="12.75" customHeight="1" x14ac:dyDescent="0.2">
      <c r="A32" s="6">
        <v>4.5</v>
      </c>
      <c r="B32" s="224">
        <v>1.3959999999999999</v>
      </c>
      <c r="C32" s="18">
        <v>151</v>
      </c>
      <c r="D32" s="19">
        <v>164</v>
      </c>
      <c r="E32" s="19">
        <v>120</v>
      </c>
      <c r="F32" s="19">
        <v>88.2</v>
      </c>
      <c r="G32" s="19">
        <v>60</v>
      </c>
      <c r="H32" s="19">
        <v>11</v>
      </c>
      <c r="I32" s="19">
        <v>-19.100000000000001</v>
      </c>
      <c r="J32" s="19">
        <v>-78.5</v>
      </c>
      <c r="K32" s="19">
        <v>-95.6</v>
      </c>
      <c r="L32" s="19">
        <v>-90.9</v>
      </c>
      <c r="M32" s="19">
        <v>-82.8</v>
      </c>
      <c r="N32" s="19">
        <v>-99.6</v>
      </c>
      <c r="O32" s="20">
        <v>-84.2</v>
      </c>
      <c r="Q32" s="225">
        <f t="shared" si="2"/>
        <v>4.5</v>
      </c>
      <c r="R32" s="226">
        <f t="shared" si="2"/>
        <v>1.3959999999999999</v>
      </c>
      <c r="S32" s="227">
        <f t="shared" si="3"/>
        <v>3153.534970971496</v>
      </c>
      <c r="T32" s="227">
        <f t="shared" si="3"/>
        <v>3425.0313592008301</v>
      </c>
      <c r="U32" s="227">
        <f t="shared" si="3"/>
        <v>2506.1205067323149</v>
      </c>
      <c r="V32" s="227">
        <f t="shared" si="3"/>
        <v>1841.9985724482515</v>
      </c>
      <c r="W32" s="227">
        <f t="shared" si="3"/>
        <v>1253.0602533661574</v>
      </c>
      <c r="X32" s="227">
        <f t="shared" si="3"/>
        <v>229.72771311712884</v>
      </c>
      <c r="Y32" s="227">
        <f t="shared" si="3"/>
        <v>-398.8908473215601</v>
      </c>
      <c r="Z32" s="227">
        <f t="shared" si="3"/>
        <v>-1639.4204981540558</v>
      </c>
      <c r="AA32" s="227">
        <f t="shared" si="3"/>
        <v>-1996.5426703634107</v>
      </c>
      <c r="AB32" s="227">
        <f t="shared" si="3"/>
        <v>-1898.386283849728</v>
      </c>
      <c r="AC32" s="227">
        <f t="shared" si="3"/>
        <v>-1729.2231496452973</v>
      </c>
      <c r="AD32" s="227">
        <f t="shared" si="3"/>
        <v>-2080.0800205878213</v>
      </c>
      <c r="AE32" s="227">
        <f t="shared" si="3"/>
        <v>-1758.4612222238407</v>
      </c>
    </row>
    <row r="33" spans="1:31" ht="12.75" customHeight="1" x14ac:dyDescent="0.2">
      <c r="A33" s="6">
        <v>4</v>
      </c>
      <c r="B33" s="224">
        <v>1.571</v>
      </c>
      <c r="C33" s="18">
        <v>154</v>
      </c>
      <c r="D33" s="19">
        <v>166</v>
      </c>
      <c r="E33" s="19">
        <v>115</v>
      </c>
      <c r="F33" s="19">
        <v>111</v>
      </c>
      <c r="G33" s="19">
        <v>80.599999999999994</v>
      </c>
      <c r="H33" s="19">
        <v>-5.94</v>
      </c>
      <c r="I33" s="19">
        <v>-23</v>
      </c>
      <c r="J33" s="19">
        <v>-63.3</v>
      </c>
      <c r="K33" s="19">
        <v>-113</v>
      </c>
      <c r="L33" s="19">
        <v>-94.3</v>
      </c>
      <c r="M33" s="19">
        <v>-76.599999999999994</v>
      </c>
      <c r="N33" s="19">
        <v>-95</v>
      </c>
      <c r="O33" s="20">
        <v>-88.5</v>
      </c>
      <c r="Q33" s="225">
        <f t="shared" si="2"/>
        <v>4</v>
      </c>
      <c r="R33" s="226">
        <f t="shared" si="2"/>
        <v>1.571</v>
      </c>
      <c r="S33" s="227">
        <f t="shared" si="3"/>
        <v>3216.1879836398034</v>
      </c>
      <c r="T33" s="227">
        <f t="shared" si="3"/>
        <v>3466.8000343130348</v>
      </c>
      <c r="U33" s="227">
        <f t="shared" si="3"/>
        <v>2401.6988189518015</v>
      </c>
      <c r="V33" s="227">
        <f t="shared" si="3"/>
        <v>2318.1614687273914</v>
      </c>
      <c r="W33" s="227">
        <f t="shared" si="3"/>
        <v>1683.2776070218713</v>
      </c>
      <c r="X33" s="227">
        <f t="shared" si="3"/>
        <v>-124.05296508324959</v>
      </c>
      <c r="Y33" s="227">
        <f t="shared" si="3"/>
        <v>-480.33976379036034</v>
      </c>
      <c r="Z33" s="227">
        <f t="shared" si="3"/>
        <v>-1321.9785673012959</v>
      </c>
      <c r="AA33" s="227">
        <f t="shared" si="3"/>
        <v>-2359.930143839596</v>
      </c>
      <c r="AB33" s="227">
        <f t="shared" si="3"/>
        <v>-1969.3930315404773</v>
      </c>
      <c r="AC33" s="227">
        <f t="shared" si="3"/>
        <v>-1599.7402567974609</v>
      </c>
      <c r="AD33" s="227">
        <f t="shared" si="3"/>
        <v>-1984.012067829749</v>
      </c>
      <c r="AE33" s="227">
        <f t="shared" si="3"/>
        <v>-1848.2638737150821</v>
      </c>
    </row>
    <row r="34" spans="1:31" ht="12.75" customHeight="1" x14ac:dyDescent="0.2">
      <c r="A34" s="6">
        <v>3.5</v>
      </c>
      <c r="B34" s="224">
        <v>1.7949999999999999</v>
      </c>
      <c r="C34" s="18">
        <v>148</v>
      </c>
      <c r="D34" s="19">
        <v>170</v>
      </c>
      <c r="E34" s="19">
        <v>127</v>
      </c>
      <c r="F34" s="19">
        <v>111</v>
      </c>
      <c r="G34" s="19">
        <v>22.2</v>
      </c>
      <c r="H34" s="19">
        <v>21</v>
      </c>
      <c r="I34" s="19">
        <v>-48.3</v>
      </c>
      <c r="J34" s="19">
        <v>-88.5</v>
      </c>
      <c r="K34" s="19">
        <v>-80.5</v>
      </c>
      <c r="L34" s="19">
        <v>-103</v>
      </c>
      <c r="M34" s="19">
        <v>-83.5</v>
      </c>
      <c r="N34" s="19">
        <v>-97</v>
      </c>
      <c r="O34" s="20">
        <v>-86.5</v>
      </c>
      <c r="Q34" s="225">
        <f t="shared" si="2"/>
        <v>3.5</v>
      </c>
      <c r="R34" s="226">
        <f t="shared" si="2"/>
        <v>1.7949999999999999</v>
      </c>
      <c r="S34" s="227">
        <f t="shared" si="3"/>
        <v>3090.8819583031882</v>
      </c>
      <c r="T34" s="227">
        <f t="shared" si="3"/>
        <v>3550.3373845374458</v>
      </c>
      <c r="U34" s="227">
        <f t="shared" si="3"/>
        <v>2652.3108696250333</v>
      </c>
      <c r="V34" s="227">
        <f t="shared" si="3"/>
        <v>2318.1614687273914</v>
      </c>
      <c r="W34" s="227">
        <f t="shared" si="3"/>
        <v>463.63229374547825</v>
      </c>
      <c r="X34" s="227">
        <f t="shared" si="3"/>
        <v>438.57108867815504</v>
      </c>
      <c r="Y34" s="227">
        <f t="shared" si="3"/>
        <v>-1008.7135039597565</v>
      </c>
      <c r="Z34" s="227">
        <f t="shared" si="3"/>
        <v>-1848.2638737150821</v>
      </c>
      <c r="AA34" s="227">
        <f t="shared" si="3"/>
        <v>-1681.1891732662609</v>
      </c>
      <c r="AB34" s="227">
        <f t="shared" si="3"/>
        <v>-2151.0867682785702</v>
      </c>
      <c r="AC34" s="227">
        <f t="shared" si="3"/>
        <v>-1743.8421859345692</v>
      </c>
      <c r="AD34" s="227">
        <f t="shared" si="3"/>
        <v>-2025.7807429419547</v>
      </c>
      <c r="AE34" s="227">
        <f t="shared" si="3"/>
        <v>-1806.4951986028768</v>
      </c>
    </row>
    <row r="35" spans="1:31" ht="12.75" customHeight="1" x14ac:dyDescent="0.2">
      <c r="A35" s="6">
        <v>3</v>
      </c>
      <c r="B35" s="224">
        <v>2.0939999999999999</v>
      </c>
      <c r="C35" s="18">
        <v>146</v>
      </c>
      <c r="D35" s="19">
        <v>160</v>
      </c>
      <c r="E35" s="19">
        <v>140</v>
      </c>
      <c r="F35" s="19">
        <v>128</v>
      </c>
      <c r="G35" s="19">
        <v>62.8</v>
      </c>
      <c r="H35" s="19">
        <v>1.1399999999999999</v>
      </c>
      <c r="I35" s="19">
        <v>-32.9</v>
      </c>
      <c r="J35" s="19">
        <v>-72.7</v>
      </c>
      <c r="K35" s="19">
        <v>-106</v>
      </c>
      <c r="L35" s="19">
        <v>-120</v>
      </c>
      <c r="M35" s="19">
        <v>-87.6</v>
      </c>
      <c r="N35" s="19">
        <v>-89.2</v>
      </c>
      <c r="O35" s="20">
        <v>-91.1</v>
      </c>
      <c r="Q35" s="225">
        <f t="shared" si="2"/>
        <v>3</v>
      </c>
      <c r="R35" s="226">
        <f t="shared" si="2"/>
        <v>2.0939999999999999</v>
      </c>
      <c r="S35" s="227">
        <f t="shared" si="3"/>
        <v>3049.1132831909827</v>
      </c>
      <c r="T35" s="227">
        <f t="shared" si="3"/>
        <v>3341.4940089764195</v>
      </c>
      <c r="U35" s="227">
        <f t="shared" si="3"/>
        <v>2923.807257854367</v>
      </c>
      <c r="V35" s="227">
        <f t="shared" si="3"/>
        <v>2673.1952071811356</v>
      </c>
      <c r="W35" s="227">
        <f t="shared" si="3"/>
        <v>1311.5363985232445</v>
      </c>
      <c r="X35" s="227">
        <f t="shared" si="3"/>
        <v>23.808144813956989</v>
      </c>
      <c r="Y35" s="227">
        <f t="shared" si="3"/>
        <v>-687.09470559577619</v>
      </c>
      <c r="Z35" s="227">
        <f t="shared" si="3"/>
        <v>-1518.2913403286605</v>
      </c>
      <c r="AA35" s="227">
        <f t="shared" si="3"/>
        <v>-2213.739780946878</v>
      </c>
      <c r="AB35" s="227">
        <f t="shared" si="3"/>
        <v>-2506.1205067323149</v>
      </c>
      <c r="AC35" s="227">
        <f t="shared" si="3"/>
        <v>-1829.4679699145897</v>
      </c>
      <c r="AD35" s="227">
        <f t="shared" si="3"/>
        <v>-1862.8829100043538</v>
      </c>
      <c r="AE35" s="227">
        <f t="shared" si="3"/>
        <v>-1902.563151360949</v>
      </c>
    </row>
    <row r="36" spans="1:31" ht="12.75" customHeight="1" x14ac:dyDescent="0.2">
      <c r="A36" s="6">
        <v>0</v>
      </c>
      <c r="B36" s="224">
        <v>0</v>
      </c>
      <c r="C36" s="18">
        <v>0</v>
      </c>
      <c r="D36" s="19">
        <v>0</v>
      </c>
      <c r="E36" s="19">
        <v>0</v>
      </c>
      <c r="F36" s="19">
        <v>0</v>
      </c>
      <c r="G36" s="19">
        <v>0</v>
      </c>
      <c r="H36" s="19">
        <v>0</v>
      </c>
      <c r="I36" s="19">
        <v>0</v>
      </c>
      <c r="J36" s="19">
        <v>0</v>
      </c>
      <c r="K36" s="19">
        <v>0</v>
      </c>
      <c r="L36" s="19">
        <v>0</v>
      </c>
      <c r="M36" s="19">
        <v>0</v>
      </c>
      <c r="N36" s="19">
        <v>0</v>
      </c>
      <c r="O36" s="20">
        <v>0</v>
      </c>
    </row>
    <row r="37" spans="1:31" ht="12.75" customHeight="1" x14ac:dyDescent="0.2">
      <c r="A37" s="6">
        <v>0</v>
      </c>
      <c r="B37" s="224">
        <v>0</v>
      </c>
      <c r="C37" s="18">
        <v>0</v>
      </c>
      <c r="D37" s="19">
        <v>0</v>
      </c>
      <c r="E37" s="19">
        <v>0</v>
      </c>
      <c r="F37" s="19">
        <v>0</v>
      </c>
      <c r="G37" s="19">
        <v>0</v>
      </c>
      <c r="H37" s="19">
        <v>0</v>
      </c>
      <c r="I37" s="19">
        <v>0</v>
      </c>
      <c r="J37" s="19">
        <v>0</v>
      </c>
      <c r="K37" s="19">
        <v>0</v>
      </c>
      <c r="L37" s="19">
        <v>0</v>
      </c>
      <c r="M37" s="19">
        <v>0</v>
      </c>
      <c r="N37" s="19">
        <v>0</v>
      </c>
      <c r="O37" s="20">
        <v>0</v>
      </c>
    </row>
    <row r="38" spans="1:31" ht="12.75" customHeight="1" x14ac:dyDescent="0.2">
      <c r="A38" s="6">
        <v>0</v>
      </c>
      <c r="B38" s="224">
        <v>0</v>
      </c>
      <c r="C38" s="18">
        <v>0</v>
      </c>
      <c r="D38" s="19">
        <v>0</v>
      </c>
      <c r="E38" s="19">
        <v>0</v>
      </c>
      <c r="F38" s="19">
        <v>0</v>
      </c>
      <c r="G38" s="19">
        <v>0</v>
      </c>
      <c r="H38" s="19">
        <v>0</v>
      </c>
      <c r="I38" s="19">
        <v>0</v>
      </c>
      <c r="J38" s="19">
        <v>0</v>
      </c>
      <c r="K38" s="19">
        <v>0</v>
      </c>
      <c r="L38" s="19">
        <v>0</v>
      </c>
      <c r="M38" s="19">
        <v>0</v>
      </c>
      <c r="N38" s="19">
        <v>0</v>
      </c>
      <c r="O38" s="20">
        <v>0</v>
      </c>
    </row>
    <row r="39" spans="1:31" ht="12.75" customHeight="1" x14ac:dyDescent="0.2">
      <c r="A39" s="6">
        <v>0</v>
      </c>
      <c r="B39" s="224">
        <v>0</v>
      </c>
      <c r="C39" s="18">
        <v>0</v>
      </c>
      <c r="D39" s="19">
        <v>0</v>
      </c>
      <c r="E39" s="19">
        <v>0</v>
      </c>
      <c r="F39" s="19">
        <v>0</v>
      </c>
      <c r="G39" s="19">
        <v>0</v>
      </c>
      <c r="H39" s="19">
        <v>0</v>
      </c>
      <c r="I39" s="19">
        <v>0</v>
      </c>
      <c r="J39" s="19">
        <v>0</v>
      </c>
      <c r="K39" s="19">
        <v>0</v>
      </c>
      <c r="L39" s="19">
        <v>0</v>
      </c>
      <c r="M39" s="19">
        <v>0</v>
      </c>
      <c r="N39" s="19">
        <v>0</v>
      </c>
      <c r="O39" s="20">
        <v>0</v>
      </c>
    </row>
    <row r="40" spans="1:31" ht="12.75" customHeight="1" thickBot="1" x14ac:dyDescent="0.25">
      <c r="A40" s="10">
        <v>0</v>
      </c>
      <c r="B40" s="228">
        <v>0</v>
      </c>
      <c r="C40" s="21">
        <v>0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  <c r="L40" s="22">
        <v>0</v>
      </c>
      <c r="M40" s="22">
        <v>0</v>
      </c>
      <c r="N40" s="22">
        <v>0</v>
      </c>
      <c r="O40" s="23">
        <v>0</v>
      </c>
    </row>
    <row r="41" spans="1:31" ht="20.100000000000001" customHeight="1" x14ac:dyDescent="0.2">
      <c r="A41" s="412" t="s">
        <v>137</v>
      </c>
      <c r="B41" s="412"/>
      <c r="C41" s="412"/>
      <c r="D41" s="412"/>
      <c r="E41" s="412"/>
      <c r="F41" s="412"/>
      <c r="G41" s="412"/>
      <c r="H41" s="412"/>
      <c r="I41" s="412"/>
      <c r="J41" s="412"/>
      <c r="K41" s="412"/>
      <c r="L41" s="412"/>
      <c r="M41" s="412"/>
      <c r="N41" s="412"/>
      <c r="O41" s="412"/>
    </row>
    <row r="42" spans="1:31" ht="18" customHeight="1" thickBot="1" x14ac:dyDescent="0.25">
      <c r="A42" s="405" t="s">
        <v>16</v>
      </c>
      <c r="B42" s="405"/>
      <c r="C42" s="405"/>
      <c r="D42" s="405"/>
      <c r="E42" s="405"/>
      <c r="F42" s="405"/>
      <c r="G42" s="405"/>
      <c r="H42" s="405"/>
      <c r="I42" s="405"/>
      <c r="J42" s="405"/>
      <c r="K42" s="405"/>
      <c r="L42" s="405"/>
      <c r="M42" s="405"/>
      <c r="N42" s="405"/>
      <c r="O42" s="405"/>
    </row>
    <row r="43" spans="1:31" ht="12.75" customHeight="1" x14ac:dyDescent="0.2">
      <c r="A43" s="397" t="s">
        <v>12</v>
      </c>
      <c r="B43" s="399" t="s">
        <v>17</v>
      </c>
      <c r="C43" s="406" t="s">
        <v>3</v>
      </c>
      <c r="D43" s="407"/>
      <c r="E43" s="407"/>
      <c r="F43" s="407"/>
      <c r="G43" s="407"/>
      <c r="H43" s="407"/>
      <c r="I43" s="407"/>
      <c r="J43" s="407"/>
      <c r="K43" s="407"/>
      <c r="L43" s="407"/>
      <c r="M43" s="407"/>
      <c r="N43" s="407"/>
      <c r="O43" s="408"/>
    </row>
    <row r="44" spans="1:31" ht="12.75" customHeight="1" x14ac:dyDescent="0.2">
      <c r="A44" s="398"/>
      <c r="B44" s="400"/>
      <c r="C44" s="409" t="s">
        <v>21</v>
      </c>
      <c r="D44" s="410"/>
      <c r="E44" s="410"/>
      <c r="F44" s="410"/>
      <c r="G44" s="410"/>
      <c r="H44" s="410"/>
      <c r="I44" s="410"/>
      <c r="J44" s="410"/>
      <c r="K44" s="410"/>
      <c r="L44" s="410"/>
      <c r="M44" s="410"/>
      <c r="N44" s="410"/>
      <c r="O44" s="411"/>
    </row>
    <row r="45" spans="1:31" ht="12.75" customHeight="1" thickBot="1" x14ac:dyDescent="0.25">
      <c r="A45" s="2" t="s">
        <v>14</v>
      </c>
      <c r="B45" s="3" t="s">
        <v>18</v>
      </c>
      <c r="C45" s="15">
        <v>0</v>
      </c>
      <c r="D45" s="16">
        <v>15</v>
      </c>
      <c r="E45" s="16">
        <v>30</v>
      </c>
      <c r="F45" s="16">
        <v>45</v>
      </c>
      <c r="G45" s="16">
        <v>60</v>
      </c>
      <c r="H45" s="16">
        <v>75</v>
      </c>
      <c r="I45" s="16">
        <v>90</v>
      </c>
      <c r="J45" s="16">
        <v>105</v>
      </c>
      <c r="K45" s="16">
        <v>120</v>
      </c>
      <c r="L45" s="16">
        <v>135</v>
      </c>
      <c r="M45" s="16">
        <v>150</v>
      </c>
      <c r="N45" s="16">
        <v>165</v>
      </c>
      <c r="O45" s="17">
        <v>180</v>
      </c>
    </row>
    <row r="46" spans="1:31" ht="12.75" customHeight="1" x14ac:dyDescent="0.2">
      <c r="A46" s="6">
        <v>30</v>
      </c>
      <c r="B46" s="224">
        <v>0.20899999999999999</v>
      </c>
      <c r="C46" s="18">
        <v>3.6300000000000001E-5</v>
      </c>
      <c r="D46" s="19">
        <v>-9.5100000000000002E-4</v>
      </c>
      <c r="E46" s="19">
        <v>-7.3399999999999995E-4</v>
      </c>
      <c r="F46" s="19">
        <v>1.4599999999999999E-3</v>
      </c>
      <c r="G46" s="19">
        <v>4.3699999999999998E-3</v>
      </c>
      <c r="H46" s="19">
        <v>6.7600000000000004E-3</v>
      </c>
      <c r="I46" s="19">
        <v>7.7000000000000002E-3</v>
      </c>
      <c r="J46" s="19">
        <v>7.4400000000000004E-3</v>
      </c>
      <c r="K46" s="19">
        <v>6.2399999999999999E-3</v>
      </c>
      <c r="L46" s="19">
        <v>5.13E-3</v>
      </c>
      <c r="M46" s="19">
        <v>3.8800000000000002E-3</v>
      </c>
      <c r="N46" s="19">
        <v>2.0500000000000002E-3</v>
      </c>
      <c r="O46" s="20">
        <v>1.7399999999999999E-5</v>
      </c>
      <c r="Q46" s="225">
        <f>A46</f>
        <v>30</v>
      </c>
      <c r="R46" s="226">
        <f>B46</f>
        <v>0.20899999999999999</v>
      </c>
      <c r="S46" s="227">
        <f>C46*1000/9.807/0.4536*0.3048^2</f>
        <v>7.5810145328652524E-4</v>
      </c>
      <c r="T46" s="227">
        <f t="shared" ref="T46:AE67" si="4">D46*1000/9.807/0.4536*0.3048^2</f>
        <v>-1.9861005015853594E-2</v>
      </c>
      <c r="U46" s="227">
        <f t="shared" si="4"/>
        <v>-1.5329103766179323E-2</v>
      </c>
      <c r="V46" s="227">
        <f t="shared" si="4"/>
        <v>3.049113283190983E-2</v>
      </c>
      <c r="W46" s="227">
        <f t="shared" si="4"/>
        <v>9.1264555120168456E-2</v>
      </c>
      <c r="X46" s="227">
        <f t="shared" si="4"/>
        <v>0.14117812187925374</v>
      </c>
      <c r="Y46" s="227">
        <f t="shared" si="4"/>
        <v>0.16080939918199019</v>
      </c>
      <c r="Z46" s="227">
        <f t="shared" si="4"/>
        <v>0.15537947141740352</v>
      </c>
      <c r="AA46" s="227">
        <f t="shared" si="4"/>
        <v>0.1303182663500804</v>
      </c>
      <c r="AB46" s="227">
        <f t="shared" si="4"/>
        <v>0.10713665166280645</v>
      </c>
      <c r="AC46" s="227">
        <f t="shared" si="4"/>
        <v>8.1031229717678191E-2</v>
      </c>
      <c r="AD46" s="227">
        <f t="shared" si="4"/>
        <v>4.2812891990010378E-2</v>
      </c>
      <c r="AE46" s="227">
        <f t="shared" si="4"/>
        <v>3.6338747347618562E-4</v>
      </c>
    </row>
    <row r="47" spans="1:31" ht="12.75" customHeight="1" x14ac:dyDescent="0.2">
      <c r="A47" s="6">
        <v>28</v>
      </c>
      <c r="B47" s="224">
        <v>0.224</v>
      </c>
      <c r="C47" s="18">
        <v>-1.2E-4</v>
      </c>
      <c r="D47" s="19">
        <v>-1.5399999999999999E-3</v>
      </c>
      <c r="E47" s="19">
        <v>-6.4199999999999999E-4</v>
      </c>
      <c r="F47" s="19">
        <v>3.2000000000000002E-3</v>
      </c>
      <c r="G47" s="19">
        <v>8.6199999999999992E-3</v>
      </c>
      <c r="H47" s="19">
        <v>1.3100000000000001E-2</v>
      </c>
      <c r="I47" s="19">
        <v>1.49E-2</v>
      </c>
      <c r="J47" s="19">
        <v>1.4200000000000001E-2</v>
      </c>
      <c r="K47" s="19">
        <v>1.2E-2</v>
      </c>
      <c r="L47" s="19">
        <v>9.4599999999999997E-3</v>
      </c>
      <c r="M47" s="19">
        <v>6.7499999999999999E-3</v>
      </c>
      <c r="N47" s="19">
        <v>3.5799999999999998E-3</v>
      </c>
      <c r="O47" s="20">
        <v>3.1399999999999998E-5</v>
      </c>
      <c r="Q47" s="225">
        <f t="shared" ref="Q47:R75" si="5">A47</f>
        <v>28</v>
      </c>
      <c r="R47" s="226">
        <f t="shared" si="5"/>
        <v>0.224</v>
      </c>
      <c r="S47" s="227">
        <f t="shared" ref="S47:V75" si="6">C47*1000/9.807/0.4536*0.3048^2</f>
        <v>-2.5061205067323147E-3</v>
      </c>
      <c r="T47" s="227">
        <f t="shared" si="4"/>
        <v>-3.2161879836398032E-2</v>
      </c>
      <c r="U47" s="227">
        <f t="shared" si="4"/>
        <v>-1.3407744711017884E-2</v>
      </c>
      <c r="V47" s="227">
        <f t="shared" si="4"/>
        <v>6.68298801795284E-2</v>
      </c>
      <c r="W47" s="227">
        <f t="shared" si="4"/>
        <v>0.18002298973360459</v>
      </c>
      <c r="X47" s="227">
        <f t="shared" si="4"/>
        <v>0.27358482198494438</v>
      </c>
      <c r="Y47" s="227">
        <f t="shared" si="4"/>
        <v>0.31117662958592907</v>
      </c>
      <c r="Z47" s="227">
        <f t="shared" si="4"/>
        <v>0.29655759329665726</v>
      </c>
      <c r="AA47" s="227">
        <f t="shared" si="4"/>
        <v>0.25061205067323145</v>
      </c>
      <c r="AB47" s="227">
        <f t="shared" si="4"/>
        <v>0.1975658332807308</v>
      </c>
      <c r="AC47" s="227">
        <f t="shared" si="4"/>
        <v>0.1409692785036927</v>
      </c>
      <c r="AD47" s="227">
        <f t="shared" si="4"/>
        <v>7.4765928450847383E-2</v>
      </c>
      <c r="AE47" s="227">
        <f t="shared" si="4"/>
        <v>6.5576819926162233E-4</v>
      </c>
    </row>
    <row r="48" spans="1:31" ht="12.75" customHeight="1" x14ac:dyDescent="0.2">
      <c r="A48" s="6">
        <v>26</v>
      </c>
      <c r="B48" s="224">
        <v>0.24199999999999999</v>
      </c>
      <c r="C48" s="18">
        <v>-1.1800000000000001E-5</v>
      </c>
      <c r="D48" s="19">
        <v>-2.0300000000000001E-3</v>
      </c>
      <c r="E48" s="19">
        <v>1.9900000000000001E-4</v>
      </c>
      <c r="F48" s="19">
        <v>8.1300000000000001E-3</v>
      </c>
      <c r="G48" s="19">
        <v>1.9E-2</v>
      </c>
      <c r="H48" s="19">
        <v>2.8299999999999999E-2</v>
      </c>
      <c r="I48" s="19">
        <v>3.2300000000000002E-2</v>
      </c>
      <c r="J48" s="19">
        <v>3.0599999999999999E-2</v>
      </c>
      <c r="K48" s="19">
        <v>2.5600000000000001E-2</v>
      </c>
      <c r="L48" s="19">
        <v>1.9E-2</v>
      </c>
      <c r="M48" s="19">
        <v>1.29E-2</v>
      </c>
      <c r="N48" s="19">
        <v>6.4799999999999996E-3</v>
      </c>
      <c r="O48" s="20">
        <v>4.35E-5</v>
      </c>
      <c r="Q48" s="225">
        <f t="shared" si="5"/>
        <v>26</v>
      </c>
      <c r="R48" s="226">
        <f t="shared" si="5"/>
        <v>0.24199999999999999</v>
      </c>
      <c r="S48" s="227">
        <f t="shared" si="6"/>
        <v>-2.4643518316201093E-4</v>
      </c>
      <c r="T48" s="227">
        <f t="shared" si="4"/>
        <v>-4.2395205238888331E-2</v>
      </c>
      <c r="U48" s="227">
        <f t="shared" si="4"/>
        <v>4.1559831736644225E-3</v>
      </c>
      <c r="V48" s="227">
        <f t="shared" si="4"/>
        <v>0.16978966433111434</v>
      </c>
      <c r="W48" s="227">
        <f t="shared" si="4"/>
        <v>0.39680241356594975</v>
      </c>
      <c r="X48" s="227">
        <f t="shared" si="4"/>
        <v>0.59102675283770412</v>
      </c>
      <c r="Y48" s="227">
        <f t="shared" si="4"/>
        <v>0.67456410306211478</v>
      </c>
      <c r="Z48" s="227">
        <f t="shared" si="4"/>
        <v>0.63906072921674018</v>
      </c>
      <c r="AA48" s="227">
        <f t="shared" si="4"/>
        <v>0.5346390414362272</v>
      </c>
      <c r="AB48" s="227">
        <f t="shared" si="4"/>
        <v>0.39680241356594975</v>
      </c>
      <c r="AC48" s="227">
        <f t="shared" si="4"/>
        <v>0.26940795447372384</v>
      </c>
      <c r="AD48" s="227">
        <f t="shared" si="4"/>
        <v>0.13533050736354499</v>
      </c>
      <c r="AE48" s="227">
        <f t="shared" si="4"/>
        <v>9.08468683690464E-4</v>
      </c>
    </row>
    <row r="49" spans="1:31" ht="12.75" customHeight="1" x14ac:dyDescent="0.2">
      <c r="A49" s="6">
        <v>24</v>
      </c>
      <c r="B49" s="224">
        <v>0.26200000000000001</v>
      </c>
      <c r="C49" s="18">
        <v>-2.4800000000000001E-4</v>
      </c>
      <c r="D49" s="19">
        <v>-1.9599999999999999E-3</v>
      </c>
      <c r="E49" s="19">
        <v>5.0200000000000002E-3</v>
      </c>
      <c r="F49" s="19">
        <v>2.46E-2</v>
      </c>
      <c r="G49" s="19">
        <v>5.0999999999999997E-2</v>
      </c>
      <c r="H49" s="19">
        <v>7.3700000000000002E-2</v>
      </c>
      <c r="I49" s="19">
        <v>8.4199999999999997E-2</v>
      </c>
      <c r="J49" s="19">
        <v>7.9600000000000004E-2</v>
      </c>
      <c r="K49" s="19">
        <v>6.4699999999999994E-2</v>
      </c>
      <c r="L49" s="19">
        <v>4.5900000000000003E-2</v>
      </c>
      <c r="M49" s="19">
        <v>2.8500000000000001E-2</v>
      </c>
      <c r="N49" s="19">
        <v>1.37E-2</v>
      </c>
      <c r="O49" s="20">
        <v>3.3100000000000002E-4</v>
      </c>
      <c r="Q49" s="225">
        <f t="shared" si="5"/>
        <v>24</v>
      </c>
      <c r="R49" s="226">
        <f t="shared" si="5"/>
        <v>0.26200000000000001</v>
      </c>
      <c r="S49" s="227">
        <f t="shared" si="6"/>
        <v>-5.1793157139134504E-3</v>
      </c>
      <c r="T49" s="227">
        <f t="shared" si="4"/>
        <v>-4.0933301609961142E-2</v>
      </c>
      <c r="U49" s="227">
        <f t="shared" si="4"/>
        <v>0.10483937453163517</v>
      </c>
      <c r="V49" s="227">
        <f t="shared" si="4"/>
        <v>0.51375470388012456</v>
      </c>
      <c r="W49" s="227">
        <f t="shared" si="4"/>
        <v>1.0651012153612338</v>
      </c>
      <c r="X49" s="227">
        <f t="shared" si="4"/>
        <v>1.5391756778847634</v>
      </c>
      <c r="Y49" s="227">
        <f t="shared" si="4"/>
        <v>1.7584612222238407</v>
      </c>
      <c r="Z49" s="227">
        <f t="shared" si="4"/>
        <v>1.6623932694657688</v>
      </c>
      <c r="AA49" s="227">
        <f t="shared" si="4"/>
        <v>1.3512166398798395</v>
      </c>
      <c r="AB49" s="227">
        <f t="shared" si="4"/>
        <v>0.95859109382511054</v>
      </c>
      <c r="AC49" s="227">
        <f t="shared" si="4"/>
        <v>0.59520362034892471</v>
      </c>
      <c r="AD49" s="227">
        <f t="shared" si="4"/>
        <v>0.286115424518606</v>
      </c>
      <c r="AE49" s="227">
        <f t="shared" si="4"/>
        <v>6.9127157310699683E-3</v>
      </c>
    </row>
    <row r="50" spans="1:31" ht="12.75" customHeight="1" x14ac:dyDescent="0.2">
      <c r="A50" s="6">
        <v>23</v>
      </c>
      <c r="B50" s="224">
        <v>0.27300000000000002</v>
      </c>
      <c r="C50" s="18">
        <v>-5.7700000000000004E-4</v>
      </c>
      <c r="D50" s="19">
        <v>-6.7900000000000002E-4</v>
      </c>
      <c r="E50" s="19">
        <v>1.35E-2</v>
      </c>
      <c r="F50" s="19">
        <v>4.7600000000000003E-2</v>
      </c>
      <c r="G50" s="19">
        <v>9.3399999999999997E-2</v>
      </c>
      <c r="H50" s="19">
        <v>0.13300000000000001</v>
      </c>
      <c r="I50" s="19">
        <v>0.152</v>
      </c>
      <c r="J50" s="19">
        <v>0.14299999999999999</v>
      </c>
      <c r="K50" s="19">
        <v>0.114</v>
      </c>
      <c r="L50" s="19">
        <v>7.8700000000000006E-2</v>
      </c>
      <c r="M50" s="19">
        <v>4.6899999999999997E-2</v>
      </c>
      <c r="N50" s="19">
        <v>2.1600000000000001E-2</v>
      </c>
      <c r="O50" s="20">
        <v>6.7699999999999998E-4</v>
      </c>
      <c r="Q50" s="225">
        <f t="shared" si="5"/>
        <v>23</v>
      </c>
      <c r="R50" s="226">
        <f t="shared" si="5"/>
        <v>0.27300000000000002</v>
      </c>
      <c r="S50" s="227">
        <f t="shared" si="6"/>
        <v>-1.2050262769871213E-2</v>
      </c>
      <c r="T50" s="227">
        <f t="shared" si="4"/>
        <v>-1.418046520059368E-2</v>
      </c>
      <c r="U50" s="227">
        <f t="shared" si="4"/>
        <v>0.2819385570073854</v>
      </c>
      <c r="V50" s="227">
        <f t="shared" si="4"/>
        <v>0.9940944676704847</v>
      </c>
      <c r="W50" s="227">
        <f t="shared" si="4"/>
        <v>1.9505971277399845</v>
      </c>
      <c r="X50" s="227">
        <f t="shared" si="4"/>
        <v>2.7776168949616489</v>
      </c>
      <c r="Y50" s="227">
        <f t="shared" si="4"/>
        <v>3.174419308527598</v>
      </c>
      <c r="Z50" s="227">
        <f t="shared" si="4"/>
        <v>2.986460270522675</v>
      </c>
      <c r="AA50" s="227">
        <f t="shared" si="4"/>
        <v>2.3808144813956988</v>
      </c>
      <c r="AB50" s="227">
        <f t="shared" si="4"/>
        <v>1.6435973656652765</v>
      </c>
      <c r="AC50" s="227">
        <f t="shared" si="4"/>
        <v>0.97947543138121296</v>
      </c>
      <c r="AD50" s="227">
        <f t="shared" si="4"/>
        <v>0.4511016912118167</v>
      </c>
      <c r="AE50" s="227">
        <f t="shared" si="4"/>
        <v>1.4138696525481474E-2</v>
      </c>
    </row>
    <row r="51" spans="1:31" ht="12.75" customHeight="1" x14ac:dyDescent="0.2">
      <c r="A51" s="6">
        <v>22</v>
      </c>
      <c r="B51" s="224">
        <v>0.28599999999999998</v>
      </c>
      <c r="C51" s="18">
        <v>-1.01E-3</v>
      </c>
      <c r="D51" s="19">
        <v>4.0699999999999998E-3</v>
      </c>
      <c r="E51" s="19">
        <v>3.5000000000000003E-2</v>
      </c>
      <c r="F51" s="19">
        <v>0.10100000000000001</v>
      </c>
      <c r="G51" s="19">
        <v>0.189</v>
      </c>
      <c r="H51" s="19">
        <v>0.26800000000000002</v>
      </c>
      <c r="I51" s="19">
        <v>0.30399999999999999</v>
      </c>
      <c r="J51" s="19">
        <v>0.28499999999999998</v>
      </c>
      <c r="K51" s="19">
        <v>0.224</v>
      </c>
      <c r="L51" s="19">
        <v>0.14899999999999999</v>
      </c>
      <c r="M51" s="19">
        <v>8.4699999999999998E-2</v>
      </c>
      <c r="N51" s="19">
        <v>3.7199999999999997E-2</v>
      </c>
      <c r="O51" s="20">
        <v>1.4400000000000001E-3</v>
      </c>
      <c r="Q51" s="225">
        <f t="shared" si="5"/>
        <v>22</v>
      </c>
      <c r="R51" s="226">
        <f t="shared" si="5"/>
        <v>0.28599999999999998</v>
      </c>
      <c r="S51" s="227">
        <f t="shared" si="6"/>
        <v>-2.1093180931663649E-2</v>
      </c>
      <c r="T51" s="227">
        <f t="shared" si="4"/>
        <v>8.4999253853337661E-2</v>
      </c>
      <c r="U51" s="227">
        <f t="shared" si="4"/>
        <v>0.7309518144635917</v>
      </c>
      <c r="V51" s="227">
        <f t="shared" si="4"/>
        <v>2.1093180931663649</v>
      </c>
      <c r="W51" s="227">
        <f t="shared" si="4"/>
        <v>3.9471397981033953</v>
      </c>
      <c r="X51" s="227">
        <f t="shared" si="4"/>
        <v>5.5970024650355032</v>
      </c>
      <c r="Y51" s="227">
        <f t="shared" si="4"/>
        <v>6.348838617055196</v>
      </c>
      <c r="Z51" s="227">
        <f t="shared" si="4"/>
        <v>5.9520362034892473</v>
      </c>
      <c r="AA51" s="227">
        <f t="shared" si="4"/>
        <v>4.6780916125669876</v>
      </c>
      <c r="AB51" s="227">
        <f t="shared" si="4"/>
        <v>3.1117662958592907</v>
      </c>
      <c r="AC51" s="227">
        <f t="shared" si="4"/>
        <v>1.7689033910018921</v>
      </c>
      <c r="AD51" s="227">
        <f t="shared" si="4"/>
        <v>0.77689735708701746</v>
      </c>
      <c r="AE51" s="227">
        <f t="shared" si="4"/>
        <v>3.0073446080787779E-2</v>
      </c>
    </row>
    <row r="52" spans="1:31" ht="12.75" customHeight="1" x14ac:dyDescent="0.2">
      <c r="A52" s="6">
        <v>21</v>
      </c>
      <c r="B52" s="224">
        <v>0.29899999999999999</v>
      </c>
      <c r="C52" s="18">
        <v>-2.8999999999999998E-3</v>
      </c>
      <c r="D52" s="19">
        <v>2.0899999999999998E-2</v>
      </c>
      <c r="E52" s="19">
        <v>9.4500000000000001E-2</v>
      </c>
      <c r="F52" s="19">
        <v>0.24</v>
      </c>
      <c r="G52" s="19">
        <v>0.43</v>
      </c>
      <c r="H52" s="19">
        <v>0.6</v>
      </c>
      <c r="I52" s="19">
        <v>0.67700000000000005</v>
      </c>
      <c r="J52" s="19">
        <v>0.63</v>
      </c>
      <c r="K52" s="19">
        <v>0.48599999999999999</v>
      </c>
      <c r="L52" s="19">
        <v>0.314</v>
      </c>
      <c r="M52" s="19">
        <v>0.16800000000000001</v>
      </c>
      <c r="N52" s="19">
        <v>6.9599999999999995E-2</v>
      </c>
      <c r="O52" s="20">
        <v>3.5000000000000001E-3</v>
      </c>
      <c r="Q52" s="225">
        <f t="shared" si="5"/>
        <v>21</v>
      </c>
      <c r="R52" s="226">
        <f t="shared" si="5"/>
        <v>0.29899999999999999</v>
      </c>
      <c r="S52" s="227">
        <f t="shared" si="6"/>
        <v>-6.0564578912697599E-2</v>
      </c>
      <c r="T52" s="227">
        <f t="shared" si="4"/>
        <v>0.43648265492254473</v>
      </c>
      <c r="U52" s="227">
        <f t="shared" si="4"/>
        <v>1.9735698990516977</v>
      </c>
      <c r="V52" s="227">
        <f t="shared" si="4"/>
        <v>5.0122410134646298</v>
      </c>
      <c r="W52" s="227">
        <f t="shared" si="4"/>
        <v>8.9802651491241274</v>
      </c>
      <c r="X52" s="227">
        <f t="shared" si="4"/>
        <v>12.530602533661574</v>
      </c>
      <c r="Y52" s="227">
        <f t="shared" si="4"/>
        <v>14.138696525481476</v>
      </c>
      <c r="Z52" s="227">
        <f t="shared" si="4"/>
        <v>13.157132660344651</v>
      </c>
      <c r="AA52" s="227">
        <f t="shared" si="4"/>
        <v>10.149788052265874</v>
      </c>
      <c r="AB52" s="227">
        <f t="shared" si="4"/>
        <v>6.5576819926162226</v>
      </c>
      <c r="AC52" s="227">
        <f t="shared" si="4"/>
        <v>3.5085687094252402</v>
      </c>
      <c r="AD52" s="227">
        <f t="shared" si="4"/>
        <v>1.4535498939047422</v>
      </c>
      <c r="AE52" s="227">
        <f t="shared" si="4"/>
        <v>7.3095181446359181E-2</v>
      </c>
    </row>
    <row r="53" spans="1:31" ht="12.75" customHeight="1" x14ac:dyDescent="0.2">
      <c r="A53" s="6">
        <v>20.5</v>
      </c>
      <c r="B53" s="224">
        <v>0.30599999999999999</v>
      </c>
      <c r="C53" s="18">
        <v>-4.62E-3</v>
      </c>
      <c r="D53" s="19">
        <v>3.7499999999999999E-2</v>
      </c>
      <c r="E53" s="19">
        <v>0.14899999999999999</v>
      </c>
      <c r="F53" s="19">
        <v>0.36099999999999999</v>
      </c>
      <c r="G53" s="19">
        <v>0.63800000000000001</v>
      </c>
      <c r="H53" s="19">
        <v>0.88400000000000001</v>
      </c>
      <c r="I53" s="19">
        <v>0.995</v>
      </c>
      <c r="J53" s="19">
        <v>0.91900000000000004</v>
      </c>
      <c r="K53" s="19">
        <v>0.70299999999999996</v>
      </c>
      <c r="L53" s="19">
        <v>0.44600000000000001</v>
      </c>
      <c r="M53" s="19">
        <v>0.23300000000000001</v>
      </c>
      <c r="N53" s="19">
        <v>9.3700000000000006E-2</v>
      </c>
      <c r="O53" s="20">
        <v>5.4900000000000001E-3</v>
      </c>
      <c r="Q53" s="225">
        <f t="shared" si="5"/>
        <v>20.5</v>
      </c>
      <c r="R53" s="226">
        <f t="shared" si="5"/>
        <v>0.30599999999999999</v>
      </c>
      <c r="S53" s="227">
        <f t="shared" si="6"/>
        <v>-9.6485639509194115E-2</v>
      </c>
      <c r="T53" s="227">
        <f t="shared" si="4"/>
        <v>0.78316265835384835</v>
      </c>
      <c r="U53" s="227">
        <f t="shared" si="4"/>
        <v>3.1117662958592907</v>
      </c>
      <c r="V53" s="227">
        <f t="shared" si="4"/>
        <v>7.5392458577530475</v>
      </c>
      <c r="W53" s="227">
        <f t="shared" si="4"/>
        <v>13.324207360793471</v>
      </c>
      <c r="X53" s="227">
        <f t="shared" si="4"/>
        <v>18.461754399594717</v>
      </c>
      <c r="Y53" s="227">
        <f t="shared" si="4"/>
        <v>20.77991586832211</v>
      </c>
      <c r="Z53" s="227">
        <f t="shared" si="4"/>
        <v>19.192706214058308</v>
      </c>
      <c r="AA53" s="227">
        <f t="shared" si="4"/>
        <v>14.681689301940143</v>
      </c>
      <c r="AB53" s="227">
        <f t="shared" si="4"/>
        <v>9.3144145500217679</v>
      </c>
      <c r="AC53" s="227">
        <f t="shared" si="4"/>
        <v>4.8660506505719106</v>
      </c>
      <c r="AD53" s="227">
        <f t="shared" si="4"/>
        <v>1.956862429006816</v>
      </c>
      <c r="AE53" s="227">
        <f t="shared" si="4"/>
        <v>0.11465501318300342</v>
      </c>
    </row>
    <row r="54" spans="1:31" ht="12.75" customHeight="1" x14ac:dyDescent="0.2">
      <c r="A54" s="6">
        <v>20</v>
      </c>
      <c r="B54" s="224">
        <v>0.314</v>
      </c>
      <c r="C54" s="18">
        <v>-7.0299999999999998E-3</v>
      </c>
      <c r="D54" s="19">
        <v>5.62E-2</v>
      </c>
      <c r="E54" s="19">
        <v>0.20499999999999999</v>
      </c>
      <c r="F54" s="19">
        <v>0.48199999999999998</v>
      </c>
      <c r="G54" s="19">
        <v>0.84099999999999997</v>
      </c>
      <c r="H54" s="19">
        <v>1.1599999999999999</v>
      </c>
      <c r="I54" s="19">
        <v>1.29</v>
      </c>
      <c r="J54" s="19">
        <v>1.19</v>
      </c>
      <c r="K54" s="19">
        <v>0.9</v>
      </c>
      <c r="L54" s="19">
        <v>0.56200000000000006</v>
      </c>
      <c r="M54" s="19">
        <v>0.28699999999999998</v>
      </c>
      <c r="N54" s="19">
        <v>0.113</v>
      </c>
      <c r="O54" s="20">
        <v>7.3200000000000001E-3</v>
      </c>
      <c r="Q54" s="225">
        <f t="shared" si="5"/>
        <v>20</v>
      </c>
      <c r="R54" s="226">
        <f t="shared" si="5"/>
        <v>0.314</v>
      </c>
      <c r="S54" s="227">
        <f t="shared" si="6"/>
        <v>-0.14681689301940143</v>
      </c>
      <c r="T54" s="227">
        <f t="shared" si="4"/>
        <v>1.1736997706529675</v>
      </c>
      <c r="U54" s="227">
        <f t="shared" si="4"/>
        <v>4.281289199001038</v>
      </c>
      <c r="V54" s="227">
        <f t="shared" si="4"/>
        <v>10.066250702041463</v>
      </c>
      <c r="W54" s="227">
        <f t="shared" si="4"/>
        <v>17.563727884682304</v>
      </c>
      <c r="X54" s="227">
        <f t="shared" si="4"/>
        <v>24.225831565079044</v>
      </c>
      <c r="Y54" s="227">
        <f t="shared" si="4"/>
        <v>26.940795447372377</v>
      </c>
      <c r="Z54" s="227">
        <f t="shared" si="4"/>
        <v>24.85236169176212</v>
      </c>
      <c r="AA54" s="227">
        <f t="shared" si="4"/>
        <v>18.795903800492358</v>
      </c>
      <c r="AB54" s="227">
        <f t="shared" si="4"/>
        <v>11.736997706529674</v>
      </c>
      <c r="AC54" s="227">
        <f t="shared" si="4"/>
        <v>5.9938048786014528</v>
      </c>
      <c r="AD54" s="227">
        <f t="shared" si="4"/>
        <v>2.3599301438395965</v>
      </c>
      <c r="AE54" s="227">
        <f t="shared" si="4"/>
        <v>0.1528733509106712</v>
      </c>
    </row>
    <row r="55" spans="1:31" ht="12.75" customHeight="1" x14ac:dyDescent="0.2">
      <c r="A55" s="6">
        <v>19.5</v>
      </c>
      <c r="B55" s="224">
        <v>0.32200000000000001</v>
      </c>
      <c r="C55" s="18">
        <v>-8.4100000000000008E-3</v>
      </c>
      <c r="D55" s="19">
        <v>6.2199999999999998E-2</v>
      </c>
      <c r="E55" s="19">
        <v>0.221</v>
      </c>
      <c r="F55" s="19">
        <v>0.51</v>
      </c>
      <c r="G55" s="19">
        <v>0.88500000000000001</v>
      </c>
      <c r="H55" s="19">
        <v>1.21</v>
      </c>
      <c r="I55" s="19">
        <v>1.35</v>
      </c>
      <c r="J55" s="19">
        <v>1.22</v>
      </c>
      <c r="K55" s="19">
        <v>0.91600000000000004</v>
      </c>
      <c r="L55" s="19">
        <v>0.56399999999999995</v>
      </c>
      <c r="M55" s="19">
        <v>0.28399999999999997</v>
      </c>
      <c r="N55" s="19">
        <v>0.111</v>
      </c>
      <c r="O55" s="20">
        <v>8.0000000000000002E-3</v>
      </c>
      <c r="Q55" s="225">
        <f t="shared" si="5"/>
        <v>19.5</v>
      </c>
      <c r="R55" s="226">
        <f t="shared" si="5"/>
        <v>0.32200000000000001</v>
      </c>
      <c r="S55" s="227">
        <f t="shared" si="6"/>
        <v>-0.17563727884682306</v>
      </c>
      <c r="T55" s="227">
        <f t="shared" si="4"/>
        <v>1.2990057959895831</v>
      </c>
      <c r="U55" s="227">
        <f t="shared" si="4"/>
        <v>4.6154385998986793</v>
      </c>
      <c r="V55" s="227">
        <f t="shared" si="4"/>
        <v>10.651012153612339</v>
      </c>
      <c r="W55" s="227">
        <f t="shared" si="4"/>
        <v>18.482638737150822</v>
      </c>
      <c r="X55" s="227">
        <f t="shared" si="4"/>
        <v>25.270048442884171</v>
      </c>
      <c r="Y55" s="227">
        <f t="shared" si="4"/>
        <v>28.193855700738542</v>
      </c>
      <c r="Z55" s="227">
        <f t="shared" si="4"/>
        <v>25.478891818445202</v>
      </c>
      <c r="AA55" s="227">
        <f t="shared" si="4"/>
        <v>19.130053201390005</v>
      </c>
      <c r="AB55" s="227">
        <f t="shared" si="4"/>
        <v>11.778766381641878</v>
      </c>
      <c r="AC55" s="227">
        <f t="shared" si="4"/>
        <v>5.9311518659331455</v>
      </c>
      <c r="AD55" s="227">
        <f t="shared" si="4"/>
        <v>2.318161468727391</v>
      </c>
      <c r="AE55" s="227">
        <f t="shared" si="4"/>
        <v>0.16707470044882097</v>
      </c>
    </row>
    <row r="56" spans="1:31" ht="12.75" customHeight="1" x14ac:dyDescent="0.2">
      <c r="A56" s="6">
        <v>19</v>
      </c>
      <c r="B56" s="224">
        <v>0.33100000000000002</v>
      </c>
      <c r="C56" s="18">
        <v>-8.1200000000000005E-3</v>
      </c>
      <c r="D56" s="19">
        <v>5.0799999999999998E-2</v>
      </c>
      <c r="E56" s="19">
        <v>0.186</v>
      </c>
      <c r="F56" s="19">
        <v>0.43099999999999999</v>
      </c>
      <c r="G56" s="19">
        <v>0.747</v>
      </c>
      <c r="H56" s="19">
        <v>1.02</v>
      </c>
      <c r="I56" s="19">
        <v>1.1200000000000001</v>
      </c>
      <c r="J56" s="19">
        <v>1.01</v>
      </c>
      <c r="K56" s="19">
        <v>0.74399999999999999</v>
      </c>
      <c r="L56" s="19">
        <v>0.45300000000000001</v>
      </c>
      <c r="M56" s="19">
        <v>0.22800000000000001</v>
      </c>
      <c r="N56" s="19">
        <v>8.9300000000000004E-2</v>
      </c>
      <c r="O56" s="20">
        <v>7.1000000000000004E-3</v>
      </c>
      <c r="Q56" s="225">
        <f t="shared" si="5"/>
        <v>19</v>
      </c>
      <c r="R56" s="226">
        <f t="shared" si="5"/>
        <v>0.33100000000000002</v>
      </c>
      <c r="S56" s="227">
        <f t="shared" si="6"/>
        <v>-0.16958082095555332</v>
      </c>
      <c r="T56" s="227">
        <f t="shared" si="4"/>
        <v>1.0609243478500132</v>
      </c>
      <c r="U56" s="227">
        <f t="shared" si="4"/>
        <v>3.8844867854350875</v>
      </c>
      <c r="V56" s="227">
        <f t="shared" si="4"/>
        <v>9.0011494866802302</v>
      </c>
      <c r="W56" s="227">
        <f t="shared" si="4"/>
        <v>15.60060015440866</v>
      </c>
      <c r="X56" s="227">
        <f t="shared" si="4"/>
        <v>21.302024307224677</v>
      </c>
      <c r="Y56" s="227">
        <f t="shared" si="4"/>
        <v>23.390458062834934</v>
      </c>
      <c r="Z56" s="227">
        <f t="shared" si="4"/>
        <v>21.093180931663646</v>
      </c>
      <c r="AA56" s="227">
        <f t="shared" si="4"/>
        <v>15.53794714174035</v>
      </c>
      <c r="AB56" s="227">
        <f t="shared" si="4"/>
        <v>9.4606049129144889</v>
      </c>
      <c r="AC56" s="227">
        <f t="shared" si="4"/>
        <v>4.7616289627913977</v>
      </c>
      <c r="AD56" s="227">
        <f t="shared" si="4"/>
        <v>1.8649713437599644</v>
      </c>
      <c r="AE56" s="227">
        <f t="shared" si="4"/>
        <v>0.14827879664832863</v>
      </c>
    </row>
    <row r="57" spans="1:31" ht="12.75" customHeight="1" x14ac:dyDescent="0.2">
      <c r="A57" s="6">
        <v>18.5</v>
      </c>
      <c r="B57" s="224">
        <v>0.34</v>
      </c>
      <c r="C57" s="18">
        <v>-7.1000000000000004E-3</v>
      </c>
      <c r="D57" s="19">
        <v>3.27E-2</v>
      </c>
      <c r="E57" s="19">
        <v>0.13400000000000001</v>
      </c>
      <c r="F57" s="19">
        <v>0.32400000000000001</v>
      </c>
      <c r="G57" s="19">
        <v>0.56599999999999995</v>
      </c>
      <c r="H57" s="19">
        <v>0.76600000000000001</v>
      </c>
      <c r="I57" s="19">
        <v>0.83499999999999996</v>
      </c>
      <c r="J57" s="19">
        <v>0.73899999999999999</v>
      </c>
      <c r="K57" s="19">
        <v>0.53700000000000003</v>
      </c>
      <c r="L57" s="19">
        <v>0.32600000000000001</v>
      </c>
      <c r="M57" s="19">
        <v>0.16700000000000001</v>
      </c>
      <c r="N57" s="19">
        <v>6.8400000000000002E-2</v>
      </c>
      <c r="O57" s="20">
        <v>5.4000000000000003E-3</v>
      </c>
      <c r="Q57" s="225">
        <f t="shared" si="5"/>
        <v>18.5</v>
      </c>
      <c r="R57" s="226">
        <f t="shared" si="5"/>
        <v>0.34</v>
      </c>
      <c r="S57" s="227">
        <f t="shared" si="6"/>
        <v>-0.14827879664832863</v>
      </c>
      <c r="T57" s="227">
        <f t="shared" si="4"/>
        <v>0.68291783808455575</v>
      </c>
      <c r="U57" s="227">
        <f t="shared" si="4"/>
        <v>2.7985012325177516</v>
      </c>
      <c r="V57" s="227">
        <f t="shared" si="4"/>
        <v>6.7665253681772493</v>
      </c>
      <c r="W57" s="227">
        <f t="shared" si="4"/>
        <v>11.820535056754085</v>
      </c>
      <c r="X57" s="227">
        <f t="shared" si="4"/>
        <v>15.997402567974609</v>
      </c>
      <c r="Y57" s="227">
        <f t="shared" si="4"/>
        <v>17.438421859345691</v>
      </c>
      <c r="Z57" s="227">
        <f t="shared" si="4"/>
        <v>15.433525453959838</v>
      </c>
      <c r="AA57" s="227">
        <f t="shared" si="4"/>
        <v>11.214889267627109</v>
      </c>
      <c r="AB57" s="227">
        <f t="shared" si="4"/>
        <v>6.8082940432894548</v>
      </c>
      <c r="AC57" s="227">
        <f t="shared" si="4"/>
        <v>3.4876843718691379</v>
      </c>
      <c r="AD57" s="227">
        <f t="shared" si="4"/>
        <v>1.4284886888374195</v>
      </c>
      <c r="AE57" s="227">
        <f t="shared" si="4"/>
        <v>0.11277542280295418</v>
      </c>
    </row>
    <row r="58" spans="1:31" ht="12.75" customHeight="1" x14ac:dyDescent="0.2">
      <c r="A58" s="6">
        <v>18</v>
      </c>
      <c r="B58" s="224">
        <v>0.34899999999999998</v>
      </c>
      <c r="C58" s="18">
        <v>-6.0899999999999999E-3</v>
      </c>
      <c r="D58" s="19">
        <v>1.5599999999999999E-2</v>
      </c>
      <c r="E58" s="19">
        <v>8.9800000000000005E-2</v>
      </c>
      <c r="F58" s="19">
        <v>0.23499999999999999</v>
      </c>
      <c r="G58" s="19">
        <v>0.41899999999999998</v>
      </c>
      <c r="H58" s="19">
        <v>0.56699999999999995</v>
      </c>
      <c r="I58" s="19">
        <v>0.60899999999999999</v>
      </c>
      <c r="J58" s="19">
        <v>0.52900000000000003</v>
      </c>
      <c r="K58" s="19">
        <v>0.378</v>
      </c>
      <c r="L58" s="19">
        <v>0.23</v>
      </c>
      <c r="M58" s="19">
        <v>0.124</v>
      </c>
      <c r="N58" s="19">
        <v>5.5500000000000001E-2</v>
      </c>
      <c r="O58" s="20">
        <v>3.98E-3</v>
      </c>
      <c r="Q58" s="225">
        <f t="shared" si="5"/>
        <v>18</v>
      </c>
      <c r="R58" s="226">
        <f t="shared" si="5"/>
        <v>0.34899999999999998</v>
      </c>
      <c r="S58" s="227">
        <f t="shared" si="6"/>
        <v>-0.12718561571666495</v>
      </c>
      <c r="T58" s="227">
        <f t="shared" si="4"/>
        <v>0.32579566587520087</v>
      </c>
      <c r="U58" s="227">
        <f t="shared" si="4"/>
        <v>1.8754135125380158</v>
      </c>
      <c r="V58" s="227">
        <f t="shared" si="4"/>
        <v>4.9078193256841161</v>
      </c>
      <c r="W58" s="227">
        <f t="shared" si="4"/>
        <v>8.750537436006999</v>
      </c>
      <c r="X58" s="227">
        <f t="shared" si="4"/>
        <v>11.841419394310188</v>
      </c>
      <c r="Y58" s="227">
        <f t="shared" si="4"/>
        <v>12.718561571666497</v>
      </c>
      <c r="Z58" s="227">
        <f t="shared" si="4"/>
        <v>11.047814567178287</v>
      </c>
      <c r="AA58" s="227">
        <f t="shared" si="4"/>
        <v>7.8942795962067907</v>
      </c>
      <c r="AB58" s="227">
        <f t="shared" si="4"/>
        <v>4.8033976379036032</v>
      </c>
      <c r="AC58" s="227">
        <f t="shared" si="4"/>
        <v>2.589657856956725</v>
      </c>
      <c r="AD58" s="227">
        <f t="shared" si="4"/>
        <v>1.1590807343636955</v>
      </c>
      <c r="AE58" s="227">
        <f t="shared" si="4"/>
        <v>8.3119663473288433E-2</v>
      </c>
    </row>
    <row r="59" spans="1:31" ht="12.75" customHeight="1" x14ac:dyDescent="0.2">
      <c r="A59" s="6">
        <v>17</v>
      </c>
      <c r="B59" s="224">
        <v>0.37</v>
      </c>
      <c r="C59" s="18">
        <v>-4.9300000000000004E-3</v>
      </c>
      <c r="D59" s="19">
        <v>-1.37E-2</v>
      </c>
      <c r="E59" s="19">
        <v>2.5899999999999999E-2</v>
      </c>
      <c r="F59" s="19">
        <v>0.125</v>
      </c>
      <c r="G59" s="19">
        <v>0.248</v>
      </c>
      <c r="H59" s="19">
        <v>0.33500000000000002</v>
      </c>
      <c r="I59" s="19">
        <v>0.34399999999999997</v>
      </c>
      <c r="J59" s="19">
        <v>0.28199999999999997</v>
      </c>
      <c r="K59" s="19">
        <v>0.19400000000000001</v>
      </c>
      <c r="L59" s="19">
        <v>0.127</v>
      </c>
      <c r="M59" s="19">
        <v>8.6900000000000005E-2</v>
      </c>
      <c r="N59" s="19">
        <v>4.9399999999999999E-2</v>
      </c>
      <c r="O59" s="20">
        <v>2.5999999999999999E-3</v>
      </c>
      <c r="Q59" s="225">
        <f t="shared" si="5"/>
        <v>17</v>
      </c>
      <c r="R59" s="226">
        <f t="shared" si="5"/>
        <v>0.37</v>
      </c>
      <c r="S59" s="227">
        <f t="shared" si="6"/>
        <v>-0.10295978415158594</v>
      </c>
      <c r="T59" s="227">
        <f t="shared" si="4"/>
        <v>-0.286115424518606</v>
      </c>
      <c r="U59" s="227">
        <f t="shared" si="4"/>
        <v>0.54090434270305787</v>
      </c>
      <c r="V59" s="227">
        <f t="shared" si="4"/>
        <v>2.6105421945128278</v>
      </c>
      <c r="W59" s="227">
        <f t="shared" si="4"/>
        <v>5.17931571391345</v>
      </c>
      <c r="X59" s="227">
        <f t="shared" si="4"/>
        <v>6.9962530812943786</v>
      </c>
      <c r="Y59" s="227">
        <f t="shared" si="4"/>
        <v>7.1842121192993025</v>
      </c>
      <c r="Z59" s="227">
        <f t="shared" si="4"/>
        <v>5.8893831908209391</v>
      </c>
      <c r="AA59" s="227">
        <f t="shared" si="4"/>
        <v>4.0515614858839095</v>
      </c>
      <c r="AB59" s="227">
        <f t="shared" si="4"/>
        <v>2.6523108696250333</v>
      </c>
      <c r="AC59" s="227">
        <f t="shared" si="4"/>
        <v>1.8148489336253182</v>
      </c>
      <c r="AD59" s="227">
        <f t="shared" si="4"/>
        <v>1.0316862752714697</v>
      </c>
      <c r="AE59" s="227">
        <f t="shared" si="4"/>
        <v>5.4299277645866811E-2</v>
      </c>
    </row>
    <row r="60" spans="1:31" ht="12.75" customHeight="1" x14ac:dyDescent="0.2">
      <c r="A60" s="6">
        <v>16</v>
      </c>
      <c r="B60" s="224">
        <v>0.39300000000000002</v>
      </c>
      <c r="C60" s="18">
        <v>-4.3800000000000002E-3</v>
      </c>
      <c r="D60" s="19">
        <v>-4.3799999999999999E-2</v>
      </c>
      <c r="E60" s="19">
        <v>-2.46E-2</v>
      </c>
      <c r="F60" s="19">
        <v>6.1699999999999998E-2</v>
      </c>
      <c r="G60" s="19">
        <v>0.16800000000000001</v>
      </c>
      <c r="H60" s="19">
        <v>0.23100000000000001</v>
      </c>
      <c r="I60" s="19">
        <v>0.222</v>
      </c>
      <c r="J60" s="19">
        <v>0.16300000000000001</v>
      </c>
      <c r="K60" s="19">
        <v>0.106</v>
      </c>
      <c r="L60" s="19">
        <v>8.7599999999999997E-2</v>
      </c>
      <c r="M60" s="19">
        <v>8.6999999999999994E-2</v>
      </c>
      <c r="N60" s="19">
        <v>6.1699999999999998E-2</v>
      </c>
      <c r="O60" s="20">
        <v>1.2600000000000001E-3</v>
      </c>
      <c r="Q60" s="225">
        <f t="shared" si="5"/>
        <v>16</v>
      </c>
      <c r="R60" s="226">
        <f t="shared" si="5"/>
        <v>0.39300000000000002</v>
      </c>
      <c r="S60" s="227">
        <f t="shared" si="6"/>
        <v>-9.1473398495729483E-2</v>
      </c>
      <c r="T60" s="227">
        <f t="shared" si="4"/>
        <v>-0.91473398495729474</v>
      </c>
      <c r="U60" s="227">
        <f t="shared" si="4"/>
        <v>-0.51375470388012456</v>
      </c>
      <c r="V60" s="227">
        <f t="shared" si="4"/>
        <v>1.2885636272115317</v>
      </c>
      <c r="W60" s="227">
        <f t="shared" si="4"/>
        <v>3.5085687094252402</v>
      </c>
      <c r="X60" s="227">
        <f t="shared" si="4"/>
        <v>4.8242819754597059</v>
      </c>
      <c r="Y60" s="227">
        <f t="shared" si="4"/>
        <v>4.6363229374547821</v>
      </c>
      <c r="Z60" s="227">
        <f t="shared" si="4"/>
        <v>3.4041470216447274</v>
      </c>
      <c r="AA60" s="227">
        <f t="shared" si="4"/>
        <v>2.2137397809468777</v>
      </c>
      <c r="AB60" s="227">
        <f t="shared" si="4"/>
        <v>1.8294679699145895</v>
      </c>
      <c r="AC60" s="227">
        <f t="shared" si="4"/>
        <v>1.8169373673809281</v>
      </c>
      <c r="AD60" s="227">
        <f t="shared" si="4"/>
        <v>1.2885636272115317</v>
      </c>
      <c r="AE60" s="227">
        <f t="shared" si="4"/>
        <v>2.6314265320689305E-2</v>
      </c>
    </row>
    <row r="61" spans="1:31" ht="12.75" customHeight="1" x14ac:dyDescent="0.2">
      <c r="A61" s="6">
        <v>15</v>
      </c>
      <c r="B61" s="224">
        <v>0.41899999999999998</v>
      </c>
      <c r="C61" s="18">
        <v>-4.3099999999999996E-3</v>
      </c>
      <c r="D61" s="19">
        <v>-8.4699999999999998E-2</v>
      </c>
      <c r="E61" s="19">
        <v>-8.1000000000000003E-2</v>
      </c>
      <c r="F61" s="19">
        <v>1.49E-2</v>
      </c>
      <c r="G61" s="19">
        <v>0.13400000000000001</v>
      </c>
      <c r="H61" s="19">
        <v>0.19700000000000001</v>
      </c>
      <c r="I61" s="19">
        <v>0.17299999999999999</v>
      </c>
      <c r="J61" s="19">
        <v>0.106</v>
      </c>
      <c r="K61" s="19">
        <v>6.5100000000000005E-2</v>
      </c>
      <c r="L61" s="19">
        <v>8.4699999999999998E-2</v>
      </c>
      <c r="M61" s="19">
        <v>0.11700000000000001</v>
      </c>
      <c r="N61" s="19">
        <v>9.1800000000000007E-2</v>
      </c>
      <c r="O61" s="20">
        <v>2.8400000000000002E-4</v>
      </c>
      <c r="Q61" s="225">
        <f t="shared" si="5"/>
        <v>15</v>
      </c>
      <c r="R61" s="226">
        <f t="shared" si="5"/>
        <v>0.41899999999999998</v>
      </c>
      <c r="S61" s="227">
        <f t="shared" si="6"/>
        <v>-9.0011494866802294E-2</v>
      </c>
      <c r="T61" s="227">
        <f t="shared" si="4"/>
        <v>-1.7689033910018921</v>
      </c>
      <c r="U61" s="227">
        <f t="shared" si="4"/>
        <v>-1.6916313420443123</v>
      </c>
      <c r="V61" s="227">
        <f t="shared" si="4"/>
        <v>0.31117662958592907</v>
      </c>
      <c r="W61" s="227">
        <f t="shared" si="4"/>
        <v>2.7985012325177516</v>
      </c>
      <c r="X61" s="227">
        <f t="shared" si="4"/>
        <v>4.114214498552216</v>
      </c>
      <c r="Y61" s="227">
        <f t="shared" si="4"/>
        <v>3.6129903972057535</v>
      </c>
      <c r="Z61" s="227">
        <f t="shared" si="4"/>
        <v>2.2137397809468777</v>
      </c>
      <c r="AA61" s="227">
        <f t="shared" si="4"/>
        <v>1.3595703749022809</v>
      </c>
      <c r="AB61" s="227">
        <f t="shared" si="4"/>
        <v>1.7689033910018921</v>
      </c>
      <c r="AC61" s="227">
        <f t="shared" si="4"/>
        <v>2.4434674940640067</v>
      </c>
      <c r="AD61" s="227">
        <f t="shared" si="4"/>
        <v>1.9171821876502211</v>
      </c>
      <c r="AE61" s="227">
        <f t="shared" si="4"/>
        <v>5.9311518659331455E-3</v>
      </c>
    </row>
    <row r="62" spans="1:31" ht="12.75" customHeight="1" x14ac:dyDescent="0.2">
      <c r="A62" s="6">
        <v>14</v>
      </c>
      <c r="B62" s="224">
        <v>0.44900000000000001</v>
      </c>
      <c r="C62" s="18">
        <v>-4.7600000000000003E-3</v>
      </c>
      <c r="D62" s="19">
        <v>-0.14399999999999999</v>
      </c>
      <c r="E62" s="19">
        <v>-0.157</v>
      </c>
      <c r="F62" s="19">
        <v>-2.7300000000000001E-2</v>
      </c>
      <c r="G62" s="19">
        <v>0.14199999999999999</v>
      </c>
      <c r="H62" s="19">
        <v>0.23100000000000001</v>
      </c>
      <c r="I62" s="19">
        <v>0.19900000000000001</v>
      </c>
      <c r="J62" s="19">
        <v>0.107</v>
      </c>
      <c r="K62" s="19">
        <v>6.4000000000000001E-2</v>
      </c>
      <c r="L62" s="19">
        <v>0.12</v>
      </c>
      <c r="M62" s="19">
        <v>0.19</v>
      </c>
      <c r="N62" s="19">
        <v>0.152</v>
      </c>
      <c r="O62" s="20">
        <v>-5.9000000000000003E-4</v>
      </c>
      <c r="Q62" s="225">
        <f t="shared" si="5"/>
        <v>14</v>
      </c>
      <c r="R62" s="226">
        <f t="shared" si="5"/>
        <v>0.44900000000000001</v>
      </c>
      <c r="S62" s="227">
        <f t="shared" si="6"/>
        <v>-9.9409446767048493E-2</v>
      </c>
      <c r="T62" s="227">
        <f t="shared" si="4"/>
        <v>-3.0073446080787778</v>
      </c>
      <c r="U62" s="227">
        <f t="shared" si="4"/>
        <v>-3.2788409963081113</v>
      </c>
      <c r="V62" s="227">
        <f t="shared" si="4"/>
        <v>-0.57014241528160159</v>
      </c>
      <c r="W62" s="227">
        <f t="shared" si="4"/>
        <v>2.9655759329665727</v>
      </c>
      <c r="X62" s="227">
        <f t="shared" si="4"/>
        <v>4.8242819754597059</v>
      </c>
      <c r="Y62" s="227">
        <f t="shared" si="4"/>
        <v>4.1559831736644215</v>
      </c>
      <c r="Z62" s="227">
        <f t="shared" si="4"/>
        <v>2.2346241185029805</v>
      </c>
      <c r="AA62" s="227">
        <f t="shared" si="4"/>
        <v>1.3365976035905678</v>
      </c>
      <c r="AB62" s="227">
        <f t="shared" si="4"/>
        <v>2.5061205067323149</v>
      </c>
      <c r="AC62" s="227">
        <f t="shared" si="4"/>
        <v>3.9680241356594981</v>
      </c>
      <c r="AD62" s="227">
        <f t="shared" si="4"/>
        <v>3.174419308527598</v>
      </c>
      <c r="AE62" s="227">
        <f t="shared" si="4"/>
        <v>-1.232175915810055E-2</v>
      </c>
    </row>
    <row r="63" spans="1:31" ht="12.75" customHeight="1" x14ac:dyDescent="0.2">
      <c r="A63" s="6">
        <v>13</v>
      </c>
      <c r="B63" s="224">
        <v>0.48299999999999998</v>
      </c>
      <c r="C63" s="18">
        <v>-4.9399999999999999E-3</v>
      </c>
      <c r="D63" s="19">
        <v>-0.20499999999999999</v>
      </c>
      <c r="E63" s="19">
        <v>-0.23</v>
      </c>
      <c r="F63" s="19">
        <v>-4.3299999999999998E-2</v>
      </c>
      <c r="G63" s="19">
        <v>0.23100000000000001</v>
      </c>
      <c r="H63" s="19">
        <v>0.41499999999999998</v>
      </c>
      <c r="I63" s="19">
        <v>0.39800000000000002</v>
      </c>
      <c r="J63" s="19">
        <v>0.23799999999999999</v>
      </c>
      <c r="K63" s="19">
        <v>0.14699999999999999</v>
      </c>
      <c r="L63" s="19">
        <v>0.247</v>
      </c>
      <c r="M63" s="19">
        <v>0.376</v>
      </c>
      <c r="N63" s="19">
        <v>0.29599999999999999</v>
      </c>
      <c r="O63" s="20">
        <v>-2.3900000000000002E-3</v>
      </c>
      <c r="Q63" s="225">
        <f t="shared" si="5"/>
        <v>13</v>
      </c>
      <c r="R63" s="226">
        <f t="shared" si="5"/>
        <v>0.48299999999999998</v>
      </c>
      <c r="S63" s="227">
        <f t="shared" si="6"/>
        <v>-0.10316862752714695</v>
      </c>
      <c r="T63" s="227">
        <f t="shared" si="4"/>
        <v>-4.281289199001038</v>
      </c>
      <c r="U63" s="227">
        <f t="shared" si="4"/>
        <v>-4.8033976379036032</v>
      </c>
      <c r="V63" s="227">
        <f t="shared" si="4"/>
        <v>-0.90429181617924348</v>
      </c>
      <c r="W63" s="227">
        <f t="shared" si="4"/>
        <v>4.8242819754597059</v>
      </c>
      <c r="X63" s="227">
        <f t="shared" si="4"/>
        <v>8.667000085782588</v>
      </c>
      <c r="Y63" s="227">
        <f t="shared" si="4"/>
        <v>8.311966347328843</v>
      </c>
      <c r="Z63" s="227">
        <f t="shared" si="4"/>
        <v>4.9704723383524234</v>
      </c>
      <c r="AA63" s="227">
        <f t="shared" si="4"/>
        <v>3.0699976207470856</v>
      </c>
      <c r="AB63" s="227">
        <f t="shared" si="4"/>
        <v>5.1584313763573473</v>
      </c>
      <c r="AC63" s="227">
        <f t="shared" si="4"/>
        <v>7.8525109210945852</v>
      </c>
      <c r="AD63" s="227">
        <f t="shared" si="4"/>
        <v>6.1817639166063767</v>
      </c>
      <c r="AE63" s="227">
        <f t="shared" si="4"/>
        <v>-4.9913566759085273E-2</v>
      </c>
    </row>
    <row r="64" spans="1:31" ht="12.75" customHeight="1" x14ac:dyDescent="0.2">
      <c r="A64" s="6">
        <v>12</v>
      </c>
      <c r="B64" s="224">
        <v>0.52400000000000002</v>
      </c>
      <c r="C64" s="18">
        <v>-5.94E-3</v>
      </c>
      <c r="D64" s="19">
        <v>-8.4500000000000006E-2</v>
      </c>
      <c r="E64" s="19">
        <v>-4.0599999999999997E-2</v>
      </c>
      <c r="F64" s="19">
        <v>0.19500000000000001</v>
      </c>
      <c r="G64" s="19">
        <v>0.626</v>
      </c>
      <c r="H64" s="19">
        <v>1.0900000000000001</v>
      </c>
      <c r="I64" s="19">
        <v>1.21</v>
      </c>
      <c r="J64" s="19">
        <v>0.83499999999999996</v>
      </c>
      <c r="K64" s="19">
        <v>0.54700000000000004</v>
      </c>
      <c r="L64" s="19">
        <v>0.75900000000000001</v>
      </c>
      <c r="M64" s="19">
        <v>1.03</v>
      </c>
      <c r="N64" s="19">
        <v>0.76900000000000002</v>
      </c>
      <c r="O64" s="20">
        <v>-4.5700000000000003E-3</v>
      </c>
      <c r="Q64" s="225">
        <f t="shared" si="5"/>
        <v>12</v>
      </c>
      <c r="R64" s="226">
        <f t="shared" si="5"/>
        <v>0.52400000000000002</v>
      </c>
      <c r="S64" s="227">
        <f t="shared" si="6"/>
        <v>-0.12405296508324958</v>
      </c>
      <c r="T64" s="227">
        <f t="shared" si="4"/>
        <v>-1.7647265234906715</v>
      </c>
      <c r="U64" s="227">
        <f t="shared" si="4"/>
        <v>-0.84790410477776634</v>
      </c>
      <c r="V64" s="227">
        <f t="shared" si="4"/>
        <v>4.0724458234400114</v>
      </c>
      <c r="W64" s="227">
        <f t="shared" si="4"/>
        <v>13.07359531012024</v>
      </c>
      <c r="X64" s="227">
        <f t="shared" si="4"/>
        <v>22.763927936151859</v>
      </c>
      <c r="Y64" s="227">
        <f t="shared" si="4"/>
        <v>25.270048442884171</v>
      </c>
      <c r="Z64" s="227">
        <f t="shared" si="4"/>
        <v>17.438421859345691</v>
      </c>
      <c r="AA64" s="227">
        <f t="shared" si="4"/>
        <v>11.423732643188135</v>
      </c>
      <c r="AB64" s="227">
        <f t="shared" si="4"/>
        <v>15.85121220508189</v>
      </c>
      <c r="AC64" s="227">
        <f t="shared" si="4"/>
        <v>21.510867682785701</v>
      </c>
      <c r="AD64" s="227">
        <f t="shared" si="4"/>
        <v>16.060055580642917</v>
      </c>
      <c r="AE64" s="227">
        <f t="shared" si="4"/>
        <v>-9.5441422631388981E-2</v>
      </c>
    </row>
    <row r="65" spans="1:31" ht="12.75" customHeight="1" x14ac:dyDescent="0.2">
      <c r="A65" s="6">
        <v>11</v>
      </c>
      <c r="B65" s="224">
        <v>0.57099999999999995</v>
      </c>
      <c r="C65" s="18">
        <v>-8.2100000000000003E-3</v>
      </c>
      <c r="D65" s="19">
        <v>1.18</v>
      </c>
      <c r="E65" s="19">
        <v>1.92</v>
      </c>
      <c r="F65" s="19">
        <v>2.11</v>
      </c>
      <c r="G65" s="19">
        <v>2.56</v>
      </c>
      <c r="H65" s="19">
        <v>3.96</v>
      </c>
      <c r="I65" s="19">
        <v>4.76</v>
      </c>
      <c r="J65" s="19">
        <v>3.59</v>
      </c>
      <c r="K65" s="19">
        <v>2.54</v>
      </c>
      <c r="L65" s="19">
        <v>3.22</v>
      </c>
      <c r="M65" s="19">
        <v>3.83</v>
      </c>
      <c r="N65" s="19">
        <v>2.64</v>
      </c>
      <c r="O65" s="20">
        <v>-5.7299999999999999E-3</v>
      </c>
      <c r="Q65" s="225">
        <f t="shared" si="5"/>
        <v>11</v>
      </c>
      <c r="R65" s="226">
        <f t="shared" si="5"/>
        <v>0.57099999999999995</v>
      </c>
      <c r="S65" s="227">
        <f t="shared" si="6"/>
        <v>-0.17146041133560255</v>
      </c>
      <c r="T65" s="227">
        <f t="shared" si="4"/>
        <v>24.643518316201096</v>
      </c>
      <c r="U65" s="227">
        <f t="shared" si="4"/>
        <v>40.097928107717038</v>
      </c>
      <c r="V65" s="227">
        <f t="shared" si="4"/>
        <v>44.065952243376536</v>
      </c>
      <c r="W65" s="227">
        <f t="shared" si="4"/>
        <v>53.46390414362272</v>
      </c>
      <c r="X65" s="227">
        <f t="shared" si="4"/>
        <v>82.701976722166378</v>
      </c>
      <c r="Y65" s="227">
        <f t="shared" si="4"/>
        <v>99.409446767048479</v>
      </c>
      <c r="Z65" s="227">
        <f t="shared" si="4"/>
        <v>74.974771826408414</v>
      </c>
      <c r="AA65" s="227">
        <f t="shared" si="4"/>
        <v>53.046217392500665</v>
      </c>
      <c r="AB65" s="227">
        <f t="shared" si="4"/>
        <v>67.247566930650436</v>
      </c>
      <c r="AC65" s="227">
        <f t="shared" si="4"/>
        <v>79.987012839873046</v>
      </c>
      <c r="AD65" s="227">
        <f t="shared" si="4"/>
        <v>55.134651148110926</v>
      </c>
      <c r="AE65" s="227">
        <f t="shared" si="4"/>
        <v>-0.11966725419646802</v>
      </c>
    </row>
    <row r="66" spans="1:31" ht="12.75" customHeight="1" x14ac:dyDescent="0.2">
      <c r="A66" s="6">
        <v>10</v>
      </c>
      <c r="B66" s="224">
        <v>0.628</v>
      </c>
      <c r="C66" s="18">
        <v>-1.8200000000000001E-2</v>
      </c>
      <c r="D66" s="19">
        <v>7.19</v>
      </c>
      <c r="E66" s="19">
        <v>12.1</v>
      </c>
      <c r="F66" s="19">
        <v>13</v>
      </c>
      <c r="G66" s="19">
        <v>13.7</v>
      </c>
      <c r="H66" s="19">
        <v>20.399999999999999</v>
      </c>
      <c r="I66" s="19">
        <v>25.7</v>
      </c>
      <c r="J66" s="19">
        <v>20</v>
      </c>
      <c r="K66" s="19">
        <v>14</v>
      </c>
      <c r="L66" s="19">
        <v>15.3</v>
      </c>
      <c r="M66" s="19">
        <v>15.7</v>
      </c>
      <c r="N66" s="19">
        <v>9.8000000000000007</v>
      </c>
      <c r="O66" s="20">
        <v>2.7899999999999999E-3</v>
      </c>
      <c r="Q66" s="225">
        <f t="shared" si="5"/>
        <v>10</v>
      </c>
      <c r="R66" s="226">
        <f t="shared" si="5"/>
        <v>0.628</v>
      </c>
      <c r="S66" s="227">
        <f t="shared" si="6"/>
        <v>-0.38009494352106776</v>
      </c>
      <c r="T66" s="227">
        <f t="shared" si="4"/>
        <v>150.15838702837786</v>
      </c>
      <c r="U66" s="227">
        <f t="shared" si="4"/>
        <v>252.70048442884172</v>
      </c>
      <c r="V66" s="227">
        <f t="shared" si="4"/>
        <v>271.49638822933412</v>
      </c>
      <c r="W66" s="227">
        <f t="shared" si="4"/>
        <v>286.11542451860595</v>
      </c>
      <c r="X66" s="227">
        <f t="shared" si="4"/>
        <v>426.04048614449351</v>
      </c>
      <c r="Y66" s="227">
        <f t="shared" si="4"/>
        <v>536.72747519183736</v>
      </c>
      <c r="Z66" s="227">
        <f t="shared" si="4"/>
        <v>417.68675112205244</v>
      </c>
      <c r="AA66" s="227">
        <f t="shared" si="4"/>
        <v>292.38072578543671</v>
      </c>
      <c r="AB66" s="227">
        <f t="shared" si="4"/>
        <v>319.53036460837012</v>
      </c>
      <c r="AC66" s="227">
        <f t="shared" si="4"/>
        <v>327.88409963081114</v>
      </c>
      <c r="AD66" s="227">
        <f t="shared" si="4"/>
        <v>204.66650804980569</v>
      </c>
      <c r="AE66" s="227">
        <f t="shared" si="4"/>
        <v>5.8267301781526309E-2</v>
      </c>
    </row>
    <row r="67" spans="1:31" ht="12.75" customHeight="1" x14ac:dyDescent="0.2">
      <c r="A67" s="6">
        <v>9</v>
      </c>
      <c r="B67" s="224">
        <v>0.69799999999999995</v>
      </c>
      <c r="C67" s="18">
        <v>-3.5499999999999997E-2</v>
      </c>
      <c r="D67" s="19">
        <v>30.3</v>
      </c>
      <c r="E67" s="19">
        <v>53.3</v>
      </c>
      <c r="F67" s="19">
        <v>64.099999999999994</v>
      </c>
      <c r="G67" s="19">
        <v>87.4</v>
      </c>
      <c r="H67" s="19">
        <v>162</v>
      </c>
      <c r="I67" s="19">
        <v>219</v>
      </c>
      <c r="J67" s="19">
        <v>165</v>
      </c>
      <c r="K67" s="19">
        <v>91.1</v>
      </c>
      <c r="L67" s="19">
        <v>71.3</v>
      </c>
      <c r="M67" s="19">
        <v>62.5</v>
      </c>
      <c r="N67" s="19">
        <v>36.5</v>
      </c>
      <c r="O67" s="20">
        <v>3.1300000000000001E-2</v>
      </c>
      <c r="Q67" s="225">
        <f t="shared" si="5"/>
        <v>9</v>
      </c>
      <c r="R67" s="226">
        <f t="shared" si="5"/>
        <v>0.69799999999999995</v>
      </c>
      <c r="S67" s="227">
        <f t="shared" si="6"/>
        <v>-0.74139398324164318</v>
      </c>
      <c r="T67" s="227">
        <f t="shared" si="4"/>
        <v>632.79542794990937</v>
      </c>
      <c r="U67" s="227">
        <f t="shared" si="4"/>
        <v>1113.1351917402699</v>
      </c>
      <c r="V67" s="227">
        <f t="shared" si="4"/>
        <v>1338.686037346178</v>
      </c>
      <c r="W67" s="227">
        <f t="shared" ref="W67:AE75" si="7">G67*1000/9.807/0.4536*0.3048^2</f>
        <v>1825.291102403369</v>
      </c>
      <c r="X67" s="227">
        <f t="shared" si="7"/>
        <v>3383.2626840886251</v>
      </c>
      <c r="Y67" s="227">
        <f t="shared" si="7"/>
        <v>4573.6699247864735</v>
      </c>
      <c r="Z67" s="227">
        <f t="shared" si="7"/>
        <v>3445.9156967569329</v>
      </c>
      <c r="AA67" s="227">
        <f t="shared" si="7"/>
        <v>1902.563151360949</v>
      </c>
      <c r="AB67" s="227">
        <f t="shared" si="7"/>
        <v>1489.0532677501169</v>
      </c>
      <c r="AC67" s="227">
        <f t="shared" si="7"/>
        <v>1305.2710972564141</v>
      </c>
      <c r="AD67" s="227">
        <f t="shared" si="7"/>
        <v>762.27832079774566</v>
      </c>
      <c r="AE67" s="227">
        <f t="shared" si="7"/>
        <v>0.65367976550601214</v>
      </c>
    </row>
    <row r="68" spans="1:31" ht="12.75" customHeight="1" x14ac:dyDescent="0.2">
      <c r="A68" s="6">
        <v>8</v>
      </c>
      <c r="B68" s="224">
        <v>0.78500000000000003</v>
      </c>
      <c r="C68" s="18">
        <v>-4.7999999999999996E-3</v>
      </c>
      <c r="D68" s="19">
        <v>73.400000000000006</v>
      </c>
      <c r="E68" s="19">
        <v>157</v>
      </c>
      <c r="F68" s="19">
        <v>244</v>
      </c>
      <c r="G68" s="19">
        <v>339</v>
      </c>
      <c r="H68" s="19">
        <v>498</v>
      </c>
      <c r="I68" s="19">
        <v>615</v>
      </c>
      <c r="J68" s="19">
        <v>505</v>
      </c>
      <c r="K68" s="19">
        <v>346</v>
      </c>
      <c r="L68" s="19">
        <v>260</v>
      </c>
      <c r="M68" s="19">
        <v>176</v>
      </c>
      <c r="N68" s="19">
        <v>84</v>
      </c>
      <c r="O68" s="20">
        <v>8.5599999999999999E-3</v>
      </c>
      <c r="Q68" s="225">
        <f t="shared" si="5"/>
        <v>8</v>
      </c>
      <c r="R68" s="226">
        <f t="shared" si="5"/>
        <v>0.78500000000000003</v>
      </c>
      <c r="S68" s="227">
        <f t="shared" si="6"/>
        <v>-0.1002448202692926</v>
      </c>
      <c r="T68" s="227">
        <f t="shared" si="6"/>
        <v>1532.9103766179326</v>
      </c>
      <c r="U68" s="227">
        <f t="shared" si="6"/>
        <v>3278.8409963081117</v>
      </c>
      <c r="V68" s="227">
        <f t="shared" si="6"/>
        <v>5095.7783636890399</v>
      </c>
      <c r="W68" s="227">
        <f t="shared" si="7"/>
        <v>7079.7904315187889</v>
      </c>
      <c r="X68" s="227">
        <f t="shared" si="7"/>
        <v>10400.400102939106</v>
      </c>
      <c r="Y68" s="227">
        <f t="shared" si="7"/>
        <v>12843.867597003113</v>
      </c>
      <c r="Z68" s="227">
        <f t="shared" si="7"/>
        <v>10546.590465831823</v>
      </c>
      <c r="AA68" s="227">
        <f t="shared" si="7"/>
        <v>7225.9807944115073</v>
      </c>
      <c r="AB68" s="227">
        <f t="shared" si="7"/>
        <v>5429.9277645866814</v>
      </c>
      <c r="AC68" s="227">
        <f t="shared" si="7"/>
        <v>3675.6434098740615</v>
      </c>
      <c r="AD68" s="227">
        <f t="shared" si="7"/>
        <v>1754.2843547126201</v>
      </c>
      <c r="AE68" s="227">
        <f t="shared" si="7"/>
        <v>0.17876992948023845</v>
      </c>
    </row>
    <row r="69" spans="1:31" ht="12.75" customHeight="1" x14ac:dyDescent="0.2">
      <c r="A69" s="6">
        <v>7</v>
      </c>
      <c r="B69" s="224">
        <v>0.89800000000000002</v>
      </c>
      <c r="C69" s="18">
        <v>2.4899999999999999E-2</v>
      </c>
      <c r="D69" s="19">
        <v>63.2</v>
      </c>
      <c r="E69" s="19">
        <v>208</v>
      </c>
      <c r="F69" s="19">
        <v>404</v>
      </c>
      <c r="G69" s="19">
        <v>535</v>
      </c>
      <c r="H69" s="19">
        <v>612</v>
      </c>
      <c r="I69" s="19">
        <v>569</v>
      </c>
      <c r="J69" s="19">
        <v>589</v>
      </c>
      <c r="K69" s="19">
        <v>537</v>
      </c>
      <c r="L69" s="19">
        <v>426</v>
      </c>
      <c r="M69" s="19">
        <v>237</v>
      </c>
      <c r="N69" s="19">
        <v>83.5</v>
      </c>
      <c r="O69" s="20">
        <v>-1.67E-2</v>
      </c>
      <c r="Q69" s="225">
        <f t="shared" si="5"/>
        <v>7</v>
      </c>
      <c r="R69" s="226">
        <f t="shared" si="5"/>
        <v>0.89800000000000002</v>
      </c>
      <c r="S69" s="227">
        <f t="shared" si="6"/>
        <v>0.52002000514695523</v>
      </c>
      <c r="T69" s="227">
        <f t="shared" si="6"/>
        <v>1319.8901335456858</v>
      </c>
      <c r="U69" s="227">
        <f t="shared" si="6"/>
        <v>4343.9422116693459</v>
      </c>
      <c r="V69" s="227">
        <f t="shared" si="6"/>
        <v>8437.2723726654585</v>
      </c>
      <c r="W69" s="227">
        <f t="shared" si="7"/>
        <v>11173.120592514902</v>
      </c>
      <c r="X69" s="227">
        <f t="shared" si="7"/>
        <v>12781.214584334806</v>
      </c>
      <c r="Y69" s="227">
        <f t="shared" si="7"/>
        <v>11883.188069422393</v>
      </c>
      <c r="Z69" s="227">
        <f t="shared" si="7"/>
        <v>12300.874820544444</v>
      </c>
      <c r="AA69" s="227">
        <f t="shared" si="7"/>
        <v>11214.889267627108</v>
      </c>
      <c r="AB69" s="227">
        <f t="shared" si="7"/>
        <v>8896.7277988997175</v>
      </c>
      <c r="AC69" s="227">
        <f t="shared" si="7"/>
        <v>4949.5880007963215</v>
      </c>
      <c r="AD69" s="227">
        <f t="shared" si="7"/>
        <v>1743.8421859345692</v>
      </c>
      <c r="AE69" s="227">
        <f t="shared" si="7"/>
        <v>-0.34876843718691375</v>
      </c>
    </row>
    <row r="70" spans="1:31" ht="12.75" customHeight="1" x14ac:dyDescent="0.2">
      <c r="A70" s="6">
        <v>6</v>
      </c>
      <c r="B70" s="224">
        <v>1.0469999999999999</v>
      </c>
      <c r="C70" s="18">
        <v>-1.6000000000000001E-3</v>
      </c>
      <c r="D70" s="19">
        <v>70.599999999999994</v>
      </c>
      <c r="E70" s="19">
        <v>231</v>
      </c>
      <c r="F70" s="19">
        <v>398</v>
      </c>
      <c r="G70" s="19">
        <v>511</v>
      </c>
      <c r="H70" s="19">
        <v>681</v>
      </c>
      <c r="I70" s="19">
        <v>600</v>
      </c>
      <c r="J70" s="19">
        <v>654</v>
      </c>
      <c r="K70" s="19">
        <v>551</v>
      </c>
      <c r="L70" s="19">
        <v>408</v>
      </c>
      <c r="M70" s="19">
        <v>260</v>
      </c>
      <c r="N70" s="19">
        <v>95.7</v>
      </c>
      <c r="O70" s="20">
        <v>2.5000000000000001E-3</v>
      </c>
      <c r="Q70" s="225">
        <f t="shared" si="5"/>
        <v>6</v>
      </c>
      <c r="R70" s="226">
        <f t="shared" si="5"/>
        <v>1.0469999999999999</v>
      </c>
      <c r="S70" s="227">
        <f t="shared" si="6"/>
        <v>-3.34149400897642E-2</v>
      </c>
      <c r="T70" s="227">
        <f t="shared" si="6"/>
        <v>1474.434231460845</v>
      </c>
      <c r="U70" s="227">
        <f t="shared" si="6"/>
        <v>4824.2819754597049</v>
      </c>
      <c r="V70" s="227">
        <f t="shared" si="6"/>
        <v>8311.9663473288438</v>
      </c>
      <c r="W70" s="227">
        <f t="shared" si="7"/>
        <v>10671.89649116844</v>
      </c>
      <c r="X70" s="227">
        <f t="shared" si="7"/>
        <v>14222.233875705886</v>
      </c>
      <c r="Y70" s="227">
        <f t="shared" si="7"/>
        <v>12530.602533661573</v>
      </c>
      <c r="Z70" s="227">
        <f t="shared" si="7"/>
        <v>13658.356761691115</v>
      </c>
      <c r="AA70" s="227">
        <f t="shared" si="7"/>
        <v>11507.269993412543</v>
      </c>
      <c r="AB70" s="227">
        <f t="shared" si="7"/>
        <v>8520.8097228898696</v>
      </c>
      <c r="AC70" s="227">
        <f t="shared" si="7"/>
        <v>5429.9277645866814</v>
      </c>
      <c r="AD70" s="227">
        <f t="shared" si="7"/>
        <v>1998.6311041190213</v>
      </c>
      <c r="AE70" s="227">
        <f t="shared" si="7"/>
        <v>5.2210843890256563E-2</v>
      </c>
    </row>
    <row r="71" spans="1:31" ht="12.75" customHeight="1" x14ac:dyDescent="0.2">
      <c r="A71" s="6">
        <v>5</v>
      </c>
      <c r="B71" s="224">
        <v>1.2569999999999999</v>
      </c>
      <c r="C71" s="18">
        <v>-5.2700000000000004E-3</v>
      </c>
      <c r="D71" s="19">
        <v>113</v>
      </c>
      <c r="E71" s="19">
        <v>289</v>
      </c>
      <c r="F71" s="19">
        <v>358</v>
      </c>
      <c r="G71" s="19">
        <v>530</v>
      </c>
      <c r="H71" s="19">
        <v>676</v>
      </c>
      <c r="I71" s="19">
        <v>671</v>
      </c>
      <c r="J71" s="19">
        <v>674</v>
      </c>
      <c r="K71" s="19">
        <v>582</v>
      </c>
      <c r="L71" s="19">
        <v>404</v>
      </c>
      <c r="M71" s="19">
        <v>306</v>
      </c>
      <c r="N71" s="19">
        <v>145</v>
      </c>
      <c r="O71" s="20">
        <v>-9.6199999999999996E-4</v>
      </c>
      <c r="Q71" s="225">
        <f t="shared" si="5"/>
        <v>5</v>
      </c>
      <c r="R71" s="226">
        <f t="shared" si="5"/>
        <v>1.2569999999999999</v>
      </c>
      <c r="S71" s="227">
        <f t="shared" si="6"/>
        <v>-0.11006045892066084</v>
      </c>
      <c r="T71" s="227">
        <f t="shared" si="6"/>
        <v>2359.930143839596</v>
      </c>
      <c r="U71" s="227">
        <f t="shared" si="6"/>
        <v>6035.5735537136579</v>
      </c>
      <c r="V71" s="227">
        <f t="shared" si="6"/>
        <v>7476.5928450847396</v>
      </c>
      <c r="W71" s="227">
        <f t="shared" si="7"/>
        <v>11068.69890473439</v>
      </c>
      <c r="X71" s="227">
        <f t="shared" si="7"/>
        <v>14117.812187925372</v>
      </c>
      <c r="Y71" s="227">
        <f t="shared" si="7"/>
        <v>14013.39050014486</v>
      </c>
      <c r="Z71" s="227">
        <f t="shared" si="7"/>
        <v>14076.043512813168</v>
      </c>
      <c r="AA71" s="227">
        <f t="shared" si="7"/>
        <v>12154.684457651727</v>
      </c>
      <c r="AB71" s="227">
        <f t="shared" si="7"/>
        <v>8437.2723726654585</v>
      </c>
      <c r="AC71" s="227">
        <f t="shared" si="7"/>
        <v>6390.6072921674031</v>
      </c>
      <c r="AD71" s="227">
        <f t="shared" si="7"/>
        <v>3028.2289456348803</v>
      </c>
      <c r="AE71" s="227">
        <f t="shared" si="7"/>
        <v>-2.0090732728970724E-2</v>
      </c>
    </row>
    <row r="72" spans="1:31" ht="12.75" customHeight="1" x14ac:dyDescent="0.2">
      <c r="A72" s="6">
        <v>4.5</v>
      </c>
      <c r="B72" s="224">
        <v>1.3959999999999999</v>
      </c>
      <c r="C72" s="18">
        <v>3.14E-3</v>
      </c>
      <c r="D72" s="19">
        <v>127</v>
      </c>
      <c r="E72" s="19">
        <v>264</v>
      </c>
      <c r="F72" s="19">
        <v>353</v>
      </c>
      <c r="G72" s="19">
        <v>544</v>
      </c>
      <c r="H72" s="19">
        <v>681</v>
      </c>
      <c r="I72" s="19">
        <v>685</v>
      </c>
      <c r="J72" s="19">
        <v>708</v>
      </c>
      <c r="K72" s="19">
        <v>607</v>
      </c>
      <c r="L72" s="19">
        <v>423</v>
      </c>
      <c r="M72" s="19">
        <v>280</v>
      </c>
      <c r="N72" s="19">
        <v>169</v>
      </c>
      <c r="O72" s="20">
        <v>-3.5599999999999998E-3</v>
      </c>
      <c r="Q72" s="225">
        <f t="shared" si="5"/>
        <v>4.5</v>
      </c>
      <c r="R72" s="226">
        <f t="shared" si="5"/>
        <v>1.3959999999999999</v>
      </c>
      <c r="S72" s="227">
        <f t="shared" si="6"/>
        <v>6.5576819926162225E-2</v>
      </c>
      <c r="T72" s="227">
        <f t="shared" si="6"/>
        <v>2652.3108696250333</v>
      </c>
      <c r="U72" s="227">
        <f t="shared" si="6"/>
        <v>5513.4651148110925</v>
      </c>
      <c r="V72" s="227">
        <f t="shared" si="6"/>
        <v>7372.1711573042248</v>
      </c>
      <c r="W72" s="227">
        <f t="shared" si="7"/>
        <v>11361.079630519826</v>
      </c>
      <c r="X72" s="227">
        <f t="shared" si="7"/>
        <v>14222.233875705886</v>
      </c>
      <c r="Y72" s="227">
        <f t="shared" si="7"/>
        <v>14305.771225930297</v>
      </c>
      <c r="Z72" s="227">
        <f t="shared" si="7"/>
        <v>14786.110989720657</v>
      </c>
      <c r="AA72" s="227">
        <f t="shared" si="7"/>
        <v>12676.792896554292</v>
      </c>
      <c r="AB72" s="227">
        <f t="shared" si="7"/>
        <v>8834.0747862314092</v>
      </c>
      <c r="AC72" s="227">
        <f t="shared" si="7"/>
        <v>5847.614515708734</v>
      </c>
      <c r="AD72" s="227">
        <f t="shared" si="7"/>
        <v>3529.453046981343</v>
      </c>
      <c r="AE72" s="227">
        <f t="shared" si="7"/>
        <v>-7.4348241699725329E-2</v>
      </c>
    </row>
    <row r="73" spans="1:31" ht="12.75" customHeight="1" x14ac:dyDescent="0.2">
      <c r="A73" s="6">
        <v>4</v>
      </c>
      <c r="B73" s="224">
        <v>1.571</v>
      </c>
      <c r="C73" s="18">
        <v>5.4799999999999998E-4</v>
      </c>
      <c r="D73" s="19">
        <v>143</v>
      </c>
      <c r="E73" s="19">
        <v>230</v>
      </c>
      <c r="F73" s="19">
        <v>374</v>
      </c>
      <c r="G73" s="19">
        <v>559</v>
      </c>
      <c r="H73" s="19">
        <v>667</v>
      </c>
      <c r="I73" s="19">
        <v>718</v>
      </c>
      <c r="J73" s="19">
        <v>689</v>
      </c>
      <c r="K73" s="19">
        <v>620</v>
      </c>
      <c r="L73" s="19">
        <v>445</v>
      </c>
      <c r="M73" s="19">
        <v>262</v>
      </c>
      <c r="N73" s="19">
        <v>172</v>
      </c>
      <c r="O73" s="20">
        <v>8.7900000000000001E-4</v>
      </c>
      <c r="Q73" s="225">
        <f t="shared" si="5"/>
        <v>4</v>
      </c>
      <c r="R73" s="226">
        <f t="shared" si="5"/>
        <v>1.571</v>
      </c>
      <c r="S73" s="227">
        <f t="shared" si="6"/>
        <v>1.1444616980744235E-2</v>
      </c>
      <c r="T73" s="227">
        <f t="shared" si="6"/>
        <v>2986.4602705226748</v>
      </c>
      <c r="U73" s="227">
        <f t="shared" si="6"/>
        <v>4803.397637903603</v>
      </c>
      <c r="V73" s="227">
        <f t="shared" si="6"/>
        <v>7810.7422459823811</v>
      </c>
      <c r="W73" s="227">
        <f t="shared" si="7"/>
        <v>11674.344693861365</v>
      </c>
      <c r="X73" s="227">
        <f t="shared" si="7"/>
        <v>13929.853149920449</v>
      </c>
      <c r="Y73" s="227">
        <f t="shared" si="7"/>
        <v>14994.954365281683</v>
      </c>
      <c r="Z73" s="227">
        <f t="shared" si="7"/>
        <v>14389.308576154706</v>
      </c>
      <c r="AA73" s="227">
        <f t="shared" si="7"/>
        <v>12948.289284783625</v>
      </c>
      <c r="AB73" s="227">
        <f t="shared" si="7"/>
        <v>9293.5302124656664</v>
      </c>
      <c r="AC73" s="227">
        <f t="shared" si="7"/>
        <v>5471.6964396988869</v>
      </c>
      <c r="AD73" s="227">
        <f t="shared" si="7"/>
        <v>3592.1060596496513</v>
      </c>
      <c r="AE73" s="227">
        <f t="shared" si="7"/>
        <v>1.8357332711814205E-2</v>
      </c>
    </row>
    <row r="74" spans="1:31" ht="12.75" customHeight="1" x14ac:dyDescent="0.2">
      <c r="A74" s="6">
        <v>3.5</v>
      </c>
      <c r="B74" s="224">
        <v>1.7949999999999999</v>
      </c>
      <c r="C74" s="18">
        <v>-1.5299999999999999E-3</v>
      </c>
      <c r="D74" s="19">
        <v>128</v>
      </c>
      <c r="E74" s="19">
        <v>206</v>
      </c>
      <c r="F74" s="19">
        <v>367</v>
      </c>
      <c r="G74" s="19">
        <v>535</v>
      </c>
      <c r="H74" s="19">
        <v>673</v>
      </c>
      <c r="I74" s="19">
        <v>731</v>
      </c>
      <c r="J74" s="19">
        <v>715</v>
      </c>
      <c r="K74" s="19">
        <v>603</v>
      </c>
      <c r="L74" s="19">
        <v>449</v>
      </c>
      <c r="M74" s="19">
        <v>255</v>
      </c>
      <c r="N74" s="19">
        <v>147</v>
      </c>
      <c r="O74" s="20">
        <v>-2.4099999999999998E-3</v>
      </c>
      <c r="Q74" s="225">
        <f t="shared" si="5"/>
        <v>3.5</v>
      </c>
      <c r="R74" s="226">
        <f t="shared" si="5"/>
        <v>1.7949999999999999</v>
      </c>
      <c r="S74" s="227">
        <f t="shared" si="6"/>
        <v>-3.1953036460837012E-2</v>
      </c>
      <c r="T74" s="227">
        <f t="shared" si="6"/>
        <v>2673.1952071811356</v>
      </c>
      <c r="U74" s="227">
        <f t="shared" si="6"/>
        <v>4302.1735365571403</v>
      </c>
      <c r="V74" s="227">
        <f t="shared" si="6"/>
        <v>7664.5518830896635</v>
      </c>
      <c r="W74" s="227">
        <f t="shared" si="7"/>
        <v>11173.120592514902</v>
      </c>
      <c r="X74" s="227">
        <f t="shared" si="7"/>
        <v>14055.159175257064</v>
      </c>
      <c r="Y74" s="227">
        <f t="shared" si="7"/>
        <v>15266.450753511019</v>
      </c>
      <c r="Z74" s="227">
        <f t="shared" si="7"/>
        <v>14932.301352613373</v>
      </c>
      <c r="AA74" s="227">
        <f t="shared" si="7"/>
        <v>12593.255546329881</v>
      </c>
      <c r="AB74" s="227">
        <f t="shared" si="7"/>
        <v>9377.0675626900775</v>
      </c>
      <c r="AC74" s="227">
        <f t="shared" si="7"/>
        <v>5325.5060768061685</v>
      </c>
      <c r="AD74" s="227">
        <f t="shared" si="7"/>
        <v>3069.9976207470854</v>
      </c>
      <c r="AE74" s="227">
        <f t="shared" si="7"/>
        <v>-5.0331253510207313E-2</v>
      </c>
    </row>
    <row r="75" spans="1:31" ht="12.75" customHeight="1" x14ac:dyDescent="0.2">
      <c r="A75" s="6">
        <v>3</v>
      </c>
      <c r="B75" s="224">
        <v>2.0939999999999999</v>
      </c>
      <c r="C75" s="18">
        <v>-3.7399999999999998E-4</v>
      </c>
      <c r="D75" s="19">
        <v>115</v>
      </c>
      <c r="E75" s="19">
        <v>206</v>
      </c>
      <c r="F75" s="19">
        <v>365</v>
      </c>
      <c r="G75" s="19">
        <v>530</v>
      </c>
      <c r="H75" s="19">
        <v>655</v>
      </c>
      <c r="I75" s="19">
        <v>724</v>
      </c>
      <c r="J75" s="19">
        <v>702</v>
      </c>
      <c r="K75" s="19">
        <v>594</v>
      </c>
      <c r="L75" s="19">
        <v>452</v>
      </c>
      <c r="M75" s="19">
        <v>251</v>
      </c>
      <c r="N75" s="19">
        <v>133</v>
      </c>
      <c r="O75" s="20">
        <v>1.48E-3</v>
      </c>
      <c r="Q75" s="225">
        <f t="shared" si="5"/>
        <v>3</v>
      </c>
      <c r="R75" s="226">
        <f t="shared" si="5"/>
        <v>2.0939999999999999</v>
      </c>
      <c r="S75" s="227">
        <f t="shared" si="6"/>
        <v>-7.8107422459823802E-3</v>
      </c>
      <c r="T75" s="227">
        <f t="shared" si="6"/>
        <v>2401.6988189518015</v>
      </c>
      <c r="U75" s="227">
        <f t="shared" si="6"/>
        <v>4302.1735365571403</v>
      </c>
      <c r="V75" s="227">
        <f t="shared" si="6"/>
        <v>7622.7832079774562</v>
      </c>
      <c r="W75" s="227">
        <f t="shared" si="7"/>
        <v>11068.69890473439</v>
      </c>
      <c r="X75" s="227">
        <f t="shared" si="7"/>
        <v>13679.241099247214</v>
      </c>
      <c r="Y75" s="227">
        <f t="shared" si="7"/>
        <v>15120.260390618298</v>
      </c>
      <c r="Z75" s="227">
        <f t="shared" si="7"/>
        <v>14660.80496438404</v>
      </c>
      <c r="AA75" s="227">
        <f t="shared" si="7"/>
        <v>12405.296508324956</v>
      </c>
      <c r="AB75" s="227">
        <f t="shared" si="7"/>
        <v>9439.7205753583839</v>
      </c>
      <c r="AC75" s="227">
        <f t="shared" si="7"/>
        <v>5241.9687265817583</v>
      </c>
      <c r="AD75" s="227">
        <f t="shared" si="7"/>
        <v>2777.616894961649</v>
      </c>
      <c r="AE75" s="227">
        <f t="shared" si="7"/>
        <v>3.0908819583031884E-2</v>
      </c>
    </row>
    <row r="76" spans="1:31" ht="12.75" customHeight="1" x14ac:dyDescent="0.2">
      <c r="A76" s="6">
        <v>0</v>
      </c>
      <c r="B76" s="224">
        <v>0</v>
      </c>
      <c r="C76" s="18">
        <v>0</v>
      </c>
      <c r="D76" s="19">
        <v>0</v>
      </c>
      <c r="E76" s="19">
        <v>0</v>
      </c>
      <c r="F76" s="19">
        <v>0</v>
      </c>
      <c r="G76" s="19">
        <v>0</v>
      </c>
      <c r="H76" s="19">
        <v>0</v>
      </c>
      <c r="I76" s="19">
        <v>0</v>
      </c>
      <c r="J76" s="19">
        <v>0</v>
      </c>
      <c r="K76" s="19">
        <v>0</v>
      </c>
      <c r="L76" s="19">
        <v>0</v>
      </c>
      <c r="M76" s="19">
        <v>0</v>
      </c>
      <c r="N76" s="19">
        <v>0</v>
      </c>
      <c r="O76" s="20">
        <v>0</v>
      </c>
    </row>
    <row r="77" spans="1:31" ht="12.75" customHeight="1" x14ac:dyDescent="0.2">
      <c r="A77" s="6">
        <v>0</v>
      </c>
      <c r="B77" s="224">
        <v>0</v>
      </c>
      <c r="C77" s="18">
        <v>0</v>
      </c>
      <c r="D77" s="19">
        <v>0</v>
      </c>
      <c r="E77" s="19">
        <v>0</v>
      </c>
      <c r="F77" s="19">
        <v>0</v>
      </c>
      <c r="G77" s="19">
        <v>0</v>
      </c>
      <c r="H77" s="19">
        <v>0</v>
      </c>
      <c r="I77" s="19">
        <v>0</v>
      </c>
      <c r="J77" s="19">
        <v>0</v>
      </c>
      <c r="K77" s="19">
        <v>0</v>
      </c>
      <c r="L77" s="19">
        <v>0</v>
      </c>
      <c r="M77" s="19">
        <v>0</v>
      </c>
      <c r="N77" s="19">
        <v>0</v>
      </c>
      <c r="O77" s="20">
        <v>0</v>
      </c>
    </row>
    <row r="78" spans="1:31" ht="12.75" customHeight="1" x14ac:dyDescent="0.2">
      <c r="A78" s="6">
        <v>0</v>
      </c>
      <c r="B78" s="224">
        <v>0</v>
      </c>
      <c r="C78" s="18">
        <v>0</v>
      </c>
      <c r="D78" s="19">
        <v>0</v>
      </c>
      <c r="E78" s="19">
        <v>0</v>
      </c>
      <c r="F78" s="19">
        <v>0</v>
      </c>
      <c r="G78" s="19">
        <v>0</v>
      </c>
      <c r="H78" s="19">
        <v>0</v>
      </c>
      <c r="I78" s="19">
        <v>0</v>
      </c>
      <c r="J78" s="19">
        <v>0</v>
      </c>
      <c r="K78" s="19">
        <v>0</v>
      </c>
      <c r="L78" s="19">
        <v>0</v>
      </c>
      <c r="M78" s="19">
        <v>0</v>
      </c>
      <c r="N78" s="19">
        <v>0</v>
      </c>
      <c r="O78" s="20">
        <v>0</v>
      </c>
    </row>
    <row r="79" spans="1:31" ht="12.75" customHeight="1" x14ac:dyDescent="0.2">
      <c r="A79" s="6">
        <v>0</v>
      </c>
      <c r="B79" s="224">
        <v>0</v>
      </c>
      <c r="C79" s="18">
        <v>0</v>
      </c>
      <c r="D79" s="19">
        <v>0</v>
      </c>
      <c r="E79" s="19">
        <v>0</v>
      </c>
      <c r="F79" s="19">
        <v>0</v>
      </c>
      <c r="G79" s="19">
        <v>0</v>
      </c>
      <c r="H79" s="19">
        <v>0</v>
      </c>
      <c r="I79" s="19">
        <v>0</v>
      </c>
      <c r="J79" s="19">
        <v>0</v>
      </c>
      <c r="K79" s="19">
        <v>0</v>
      </c>
      <c r="L79" s="19">
        <v>0</v>
      </c>
      <c r="M79" s="19">
        <v>0</v>
      </c>
      <c r="N79" s="19">
        <v>0</v>
      </c>
      <c r="O79" s="20">
        <v>0</v>
      </c>
    </row>
    <row r="80" spans="1:31" ht="12.75" customHeight="1" thickBot="1" x14ac:dyDescent="0.25">
      <c r="A80" s="10">
        <v>0</v>
      </c>
      <c r="B80" s="228">
        <v>0</v>
      </c>
      <c r="C80" s="21">
        <v>0</v>
      </c>
      <c r="D80" s="22">
        <v>0</v>
      </c>
      <c r="E80" s="22">
        <v>0</v>
      </c>
      <c r="F80" s="22">
        <v>0</v>
      </c>
      <c r="G80" s="22">
        <v>0</v>
      </c>
      <c r="H80" s="22">
        <v>0</v>
      </c>
      <c r="I80" s="22">
        <v>0</v>
      </c>
      <c r="J80" s="22">
        <v>0</v>
      </c>
      <c r="K80" s="22">
        <v>0</v>
      </c>
      <c r="L80" s="22">
        <v>0</v>
      </c>
      <c r="M80" s="22">
        <v>0</v>
      </c>
      <c r="N80" s="22">
        <v>0</v>
      </c>
      <c r="O80" s="23">
        <v>0</v>
      </c>
    </row>
    <row r="81" spans="1:31" ht="20.100000000000001" customHeight="1" x14ac:dyDescent="0.2">
      <c r="A81" s="412" t="s">
        <v>137</v>
      </c>
      <c r="B81" s="412"/>
      <c r="C81" s="412"/>
      <c r="D81" s="412"/>
      <c r="E81" s="412"/>
      <c r="F81" s="412"/>
      <c r="G81" s="412"/>
      <c r="H81" s="412"/>
      <c r="I81" s="412"/>
      <c r="J81" s="412"/>
      <c r="K81" s="412"/>
      <c r="L81" s="412"/>
      <c r="M81" s="412"/>
      <c r="N81" s="412"/>
      <c r="O81" s="412"/>
    </row>
    <row r="82" spans="1:31" ht="18" customHeight="1" thickBot="1" x14ac:dyDescent="0.25">
      <c r="A82" s="405" t="s">
        <v>16</v>
      </c>
      <c r="B82" s="405"/>
      <c r="C82" s="405"/>
      <c r="D82" s="405"/>
      <c r="E82" s="405"/>
      <c r="F82" s="405"/>
      <c r="G82" s="405"/>
      <c r="H82" s="405"/>
      <c r="I82" s="405"/>
      <c r="J82" s="405"/>
      <c r="K82" s="405"/>
      <c r="L82" s="405"/>
      <c r="M82" s="405"/>
      <c r="N82" s="405"/>
      <c r="O82" s="405"/>
    </row>
    <row r="83" spans="1:31" ht="12.75" customHeight="1" x14ac:dyDescent="0.2">
      <c r="A83" s="397" t="s">
        <v>12</v>
      </c>
      <c r="B83" s="399" t="s">
        <v>17</v>
      </c>
      <c r="C83" s="406" t="s">
        <v>4</v>
      </c>
      <c r="D83" s="407"/>
      <c r="E83" s="407"/>
      <c r="F83" s="407"/>
      <c r="G83" s="407"/>
      <c r="H83" s="407"/>
      <c r="I83" s="407"/>
      <c r="J83" s="407"/>
      <c r="K83" s="407"/>
      <c r="L83" s="407"/>
      <c r="M83" s="407"/>
      <c r="N83" s="407"/>
      <c r="O83" s="408"/>
    </row>
    <row r="84" spans="1:31" ht="12.75" customHeight="1" x14ac:dyDescent="0.2">
      <c r="A84" s="398"/>
      <c r="B84" s="400"/>
      <c r="C84" s="409" t="s">
        <v>22</v>
      </c>
      <c r="D84" s="410"/>
      <c r="E84" s="410"/>
      <c r="F84" s="410"/>
      <c r="G84" s="410"/>
      <c r="H84" s="410"/>
      <c r="I84" s="410"/>
      <c r="J84" s="410"/>
      <c r="K84" s="410"/>
      <c r="L84" s="410"/>
      <c r="M84" s="410"/>
      <c r="N84" s="410"/>
      <c r="O84" s="411"/>
    </row>
    <row r="85" spans="1:31" ht="12.75" customHeight="1" thickBot="1" x14ac:dyDescent="0.25">
      <c r="A85" s="2" t="s">
        <v>14</v>
      </c>
      <c r="B85" s="3" t="s">
        <v>18</v>
      </c>
      <c r="C85" s="15">
        <v>0</v>
      </c>
      <c r="D85" s="16">
        <v>15</v>
      </c>
      <c r="E85" s="16">
        <v>30</v>
      </c>
      <c r="F85" s="16">
        <v>45</v>
      </c>
      <c r="G85" s="16">
        <v>60</v>
      </c>
      <c r="H85" s="16">
        <v>75</v>
      </c>
      <c r="I85" s="16">
        <v>90</v>
      </c>
      <c r="J85" s="16">
        <v>105</v>
      </c>
      <c r="K85" s="16">
        <v>120</v>
      </c>
      <c r="L85" s="16">
        <v>135</v>
      </c>
      <c r="M85" s="16">
        <v>150</v>
      </c>
      <c r="N85" s="16">
        <v>165</v>
      </c>
      <c r="O85" s="17">
        <v>180</v>
      </c>
    </row>
    <row r="86" spans="1:31" ht="12.75" customHeight="1" x14ac:dyDescent="0.2">
      <c r="A86" s="6">
        <v>30</v>
      </c>
      <c r="B86" s="224">
        <v>0.20899999999999999</v>
      </c>
      <c r="C86" s="18">
        <v>4.9200000000000001E-2</v>
      </c>
      <c r="D86" s="19">
        <v>6.18</v>
      </c>
      <c r="E86" s="19">
        <v>9.07</v>
      </c>
      <c r="F86" s="19">
        <v>7.89</v>
      </c>
      <c r="G86" s="19">
        <v>4.53</v>
      </c>
      <c r="H86" s="19">
        <v>1.57</v>
      </c>
      <c r="I86" s="19">
        <v>-0.14099999999999999</v>
      </c>
      <c r="J86" s="19">
        <v>-1.82</v>
      </c>
      <c r="K86" s="19">
        <v>-4.6900000000000004</v>
      </c>
      <c r="L86" s="19">
        <v>-7.94</v>
      </c>
      <c r="M86" s="19">
        <v>-9.02</v>
      </c>
      <c r="N86" s="19">
        <v>-6.09</v>
      </c>
      <c r="O86" s="20">
        <v>4.9200000000000001E-2</v>
      </c>
      <c r="Q86" s="225">
        <f>A86</f>
        <v>30</v>
      </c>
      <c r="R86" s="226">
        <f>B86</f>
        <v>0.20899999999999999</v>
      </c>
      <c r="S86" s="227">
        <f>C86*1000/9.807/0.4536*0.3048</f>
        <v>3.371093857481132</v>
      </c>
      <c r="T86" s="227">
        <f t="shared" ref="T86:AE101" si="8">D86*1000/9.807/0.4536*0.3048</f>
        <v>423.44227722019093</v>
      </c>
      <c r="U86" s="227">
        <f t="shared" si="8"/>
        <v>621.45978226328998</v>
      </c>
      <c r="V86" s="227">
        <f t="shared" si="8"/>
        <v>540.60834421801087</v>
      </c>
      <c r="W86" s="227">
        <f t="shared" si="8"/>
        <v>310.38730029247006</v>
      </c>
      <c r="X86" s="227">
        <f t="shared" si="8"/>
        <v>107.57352350092232</v>
      </c>
      <c r="Y86" s="227">
        <f t="shared" si="8"/>
        <v>-9.6610616647325109</v>
      </c>
      <c r="Z86" s="227">
        <f t="shared" si="8"/>
        <v>-124.70306545966788</v>
      </c>
      <c r="AA86" s="227">
        <f t="shared" si="8"/>
        <v>-321.35020714606725</v>
      </c>
      <c r="AB86" s="227">
        <f t="shared" si="8"/>
        <v>-544.03425260975985</v>
      </c>
      <c r="AC86" s="227">
        <f t="shared" si="8"/>
        <v>-618.03387387154089</v>
      </c>
      <c r="AD86" s="227">
        <f t="shared" si="8"/>
        <v>-417.27564211504256</v>
      </c>
      <c r="AE86" s="227">
        <f t="shared" si="8"/>
        <v>3.371093857481132</v>
      </c>
    </row>
    <row r="87" spans="1:31" ht="12.75" customHeight="1" x14ac:dyDescent="0.2">
      <c r="A87" s="6">
        <v>28</v>
      </c>
      <c r="B87" s="224">
        <v>0.224</v>
      </c>
      <c r="C87" s="18">
        <v>7.9899999999999999E-2</v>
      </c>
      <c r="D87" s="19">
        <v>8.7200000000000006</v>
      </c>
      <c r="E87" s="19">
        <v>12.8</v>
      </c>
      <c r="F87" s="19">
        <v>11.2</v>
      </c>
      <c r="G87" s="19">
        <v>6.43</v>
      </c>
      <c r="H87" s="19">
        <v>2.2000000000000002</v>
      </c>
      <c r="I87" s="19">
        <v>-0.26</v>
      </c>
      <c r="J87" s="19">
        <v>-2.66</v>
      </c>
      <c r="K87" s="19">
        <v>-6.72</v>
      </c>
      <c r="L87" s="19">
        <v>-11.3</v>
      </c>
      <c r="M87" s="19">
        <v>-12.7</v>
      </c>
      <c r="N87" s="19">
        <v>-8.56</v>
      </c>
      <c r="O87" s="20">
        <v>8.3400000000000002E-2</v>
      </c>
      <c r="Q87" s="225">
        <f t="shared" ref="Q87:R115" si="9">A87</f>
        <v>28</v>
      </c>
      <c r="R87" s="226">
        <f t="shared" si="9"/>
        <v>0.224</v>
      </c>
      <c r="S87" s="227">
        <f t="shared" ref="S87:AE115" si="10">C87*1000/9.807/0.4536*0.3048</f>
        <v>5.4746016100150907</v>
      </c>
      <c r="T87" s="227">
        <f t="shared" si="8"/>
        <v>597.47842352104612</v>
      </c>
      <c r="U87" s="227">
        <f t="shared" si="8"/>
        <v>877.03254828777426</v>
      </c>
      <c r="V87" s="227">
        <f t="shared" si="8"/>
        <v>767.40347975180237</v>
      </c>
      <c r="W87" s="227">
        <f t="shared" si="8"/>
        <v>440.57181917893655</v>
      </c>
      <c r="X87" s="227">
        <f t="shared" si="8"/>
        <v>150.7399692369612</v>
      </c>
      <c r="Y87" s="227">
        <f t="shared" si="8"/>
        <v>-17.814723637095412</v>
      </c>
      <c r="Z87" s="227">
        <f t="shared" si="8"/>
        <v>-182.25832644105304</v>
      </c>
      <c r="AA87" s="227">
        <f t="shared" si="8"/>
        <v>-460.44208785108145</v>
      </c>
      <c r="AB87" s="227">
        <f t="shared" si="8"/>
        <v>-774.25529653530066</v>
      </c>
      <c r="AC87" s="227">
        <f t="shared" si="8"/>
        <v>-870.18073150427585</v>
      </c>
      <c r="AD87" s="227">
        <f t="shared" si="8"/>
        <v>-586.51551666744888</v>
      </c>
      <c r="AE87" s="227">
        <f t="shared" si="8"/>
        <v>5.7144151974375283</v>
      </c>
    </row>
    <row r="88" spans="1:31" ht="12.75" customHeight="1" x14ac:dyDescent="0.2">
      <c r="A88" s="6">
        <v>26</v>
      </c>
      <c r="B88" s="224">
        <v>0.24199999999999999</v>
      </c>
      <c r="C88" s="18">
        <v>0.13400000000000001</v>
      </c>
      <c r="D88" s="19">
        <v>12.4</v>
      </c>
      <c r="E88" s="19">
        <v>18.2</v>
      </c>
      <c r="F88" s="19">
        <v>16</v>
      </c>
      <c r="G88" s="19">
        <v>9.14</v>
      </c>
      <c r="H88" s="19">
        <v>3.02</v>
      </c>
      <c r="I88" s="19">
        <v>-0.54300000000000004</v>
      </c>
      <c r="J88" s="19">
        <v>-3.96</v>
      </c>
      <c r="K88" s="19">
        <v>-9.74</v>
      </c>
      <c r="L88" s="19">
        <v>-16.100000000000001</v>
      </c>
      <c r="M88" s="19">
        <v>-18.100000000000001</v>
      </c>
      <c r="N88" s="19">
        <v>-12.1</v>
      </c>
      <c r="O88" s="20">
        <v>0.14199999999999999</v>
      </c>
      <c r="Q88" s="225">
        <f t="shared" si="9"/>
        <v>26</v>
      </c>
      <c r="R88" s="226">
        <f t="shared" si="9"/>
        <v>0.24199999999999999</v>
      </c>
      <c r="S88" s="227">
        <f t="shared" si="10"/>
        <v>9.1814344898876357</v>
      </c>
      <c r="T88" s="227">
        <f t="shared" si="8"/>
        <v>849.62528115378132</v>
      </c>
      <c r="U88" s="227">
        <f t="shared" si="8"/>
        <v>1247.0306545966789</v>
      </c>
      <c r="V88" s="227">
        <f t="shared" si="8"/>
        <v>1096.2906853597176</v>
      </c>
      <c r="W88" s="227">
        <f t="shared" si="8"/>
        <v>626.25605401173868</v>
      </c>
      <c r="X88" s="227">
        <f t="shared" si="8"/>
        <v>206.92486686164671</v>
      </c>
      <c r="Y88" s="227">
        <f t="shared" si="8"/>
        <v>-37.205365134395414</v>
      </c>
      <c r="Z88" s="227">
        <f t="shared" si="8"/>
        <v>-271.33194462653012</v>
      </c>
      <c r="AA88" s="227">
        <f t="shared" si="8"/>
        <v>-667.36695471272822</v>
      </c>
      <c r="AB88" s="227">
        <f t="shared" si="8"/>
        <v>-1103.142502143216</v>
      </c>
      <c r="AC88" s="227">
        <f t="shared" si="8"/>
        <v>-1240.1788378131805</v>
      </c>
      <c r="AD88" s="227">
        <f t="shared" si="8"/>
        <v>-829.06983080328655</v>
      </c>
      <c r="AE88" s="227">
        <f t="shared" si="8"/>
        <v>9.7295798325674951</v>
      </c>
    </row>
    <row r="89" spans="1:31" ht="12.75" customHeight="1" x14ac:dyDescent="0.2">
      <c r="A89" s="6">
        <v>24</v>
      </c>
      <c r="B89" s="224">
        <v>0.26200000000000001</v>
      </c>
      <c r="C89" s="18">
        <v>0.246</v>
      </c>
      <c r="D89" s="19">
        <v>17.5</v>
      </c>
      <c r="E89" s="19">
        <v>25.9</v>
      </c>
      <c r="F89" s="19">
        <v>22.6</v>
      </c>
      <c r="G89" s="19">
        <v>12.7</v>
      </c>
      <c r="H89" s="19">
        <v>3.78</v>
      </c>
      <c r="I89" s="19">
        <v>-1.34</v>
      </c>
      <c r="J89" s="19">
        <v>-6.13</v>
      </c>
      <c r="K89" s="19">
        <v>-14.2</v>
      </c>
      <c r="L89" s="19">
        <v>-23.1</v>
      </c>
      <c r="M89" s="19">
        <v>-25.6</v>
      </c>
      <c r="N89" s="19">
        <v>-17</v>
      </c>
      <c r="O89" s="20">
        <v>0.27200000000000002</v>
      </c>
      <c r="Q89" s="225">
        <f t="shared" si="9"/>
        <v>24</v>
      </c>
      <c r="R89" s="226">
        <f t="shared" si="9"/>
        <v>0.26200000000000001</v>
      </c>
      <c r="S89" s="227">
        <f t="shared" si="10"/>
        <v>16.855469287405661</v>
      </c>
      <c r="T89" s="227">
        <f t="shared" si="8"/>
        <v>1199.0679371121912</v>
      </c>
      <c r="U89" s="227">
        <f t="shared" si="8"/>
        <v>1774.6205469260433</v>
      </c>
      <c r="V89" s="227">
        <f t="shared" si="8"/>
        <v>1548.5105930706013</v>
      </c>
      <c r="W89" s="227">
        <f t="shared" si="8"/>
        <v>870.18073150427585</v>
      </c>
      <c r="X89" s="227">
        <f t="shared" si="8"/>
        <v>258.99867441623331</v>
      </c>
      <c r="Y89" s="227">
        <f t="shared" si="8"/>
        <v>-91.814344898876357</v>
      </c>
      <c r="Z89" s="227">
        <f t="shared" si="8"/>
        <v>-420.01636882844184</v>
      </c>
      <c r="AA89" s="227">
        <f t="shared" si="8"/>
        <v>-972.95798325674934</v>
      </c>
      <c r="AB89" s="227">
        <f t="shared" si="8"/>
        <v>-1582.7696769880924</v>
      </c>
      <c r="AC89" s="227">
        <f t="shared" si="8"/>
        <v>-1754.0650965755485</v>
      </c>
      <c r="AD89" s="227">
        <f t="shared" si="8"/>
        <v>-1164.8088531947001</v>
      </c>
      <c r="AE89" s="227">
        <f t="shared" si="8"/>
        <v>18.636941651115201</v>
      </c>
    </row>
    <row r="90" spans="1:31" ht="12.75" customHeight="1" x14ac:dyDescent="0.2">
      <c r="A90" s="6">
        <v>23</v>
      </c>
      <c r="B90" s="224">
        <v>0.27300000000000002</v>
      </c>
      <c r="C90" s="18">
        <v>0.34300000000000003</v>
      </c>
      <c r="D90" s="19">
        <v>20.7</v>
      </c>
      <c r="E90" s="19">
        <v>30.6</v>
      </c>
      <c r="F90" s="19">
        <v>26.7</v>
      </c>
      <c r="G90" s="19">
        <v>14.7</v>
      </c>
      <c r="H90" s="19">
        <v>3.76</v>
      </c>
      <c r="I90" s="19">
        <v>-2.36</v>
      </c>
      <c r="J90" s="19">
        <v>-7.89</v>
      </c>
      <c r="K90" s="19">
        <v>-17.3</v>
      </c>
      <c r="L90" s="19">
        <v>-27.6</v>
      </c>
      <c r="M90" s="19">
        <v>-30.3</v>
      </c>
      <c r="N90" s="19">
        <v>-19.899999999999999</v>
      </c>
      <c r="O90" s="20">
        <v>0.39700000000000002</v>
      </c>
      <c r="Q90" s="225">
        <f t="shared" si="9"/>
        <v>23</v>
      </c>
      <c r="R90" s="226">
        <f t="shared" si="9"/>
        <v>0.27300000000000002</v>
      </c>
      <c r="S90" s="227">
        <f t="shared" si="10"/>
        <v>23.501731567398949</v>
      </c>
      <c r="T90" s="227">
        <f t="shared" si="8"/>
        <v>1418.326074184135</v>
      </c>
      <c r="U90" s="227">
        <f t="shared" si="8"/>
        <v>2096.6559357504598</v>
      </c>
      <c r="V90" s="227">
        <f t="shared" si="8"/>
        <v>1829.4350811940292</v>
      </c>
      <c r="W90" s="227">
        <f t="shared" si="8"/>
        <v>1007.2170671742406</v>
      </c>
      <c r="X90" s="227">
        <f t="shared" si="8"/>
        <v>257.62831105953364</v>
      </c>
      <c r="Y90" s="227">
        <f t="shared" si="8"/>
        <v>-161.70287609055836</v>
      </c>
      <c r="Z90" s="227">
        <f t="shared" si="8"/>
        <v>-540.60834421801087</v>
      </c>
      <c r="AA90" s="227">
        <f t="shared" si="8"/>
        <v>-1185.3643035451948</v>
      </c>
      <c r="AB90" s="227">
        <f t="shared" si="8"/>
        <v>-1891.101432245513</v>
      </c>
      <c r="AC90" s="227">
        <f t="shared" si="8"/>
        <v>-2076.1004853999652</v>
      </c>
      <c r="AD90" s="227">
        <f t="shared" si="8"/>
        <v>-1363.5115399161486</v>
      </c>
      <c r="AE90" s="227">
        <f t="shared" si="8"/>
        <v>27.201712630487997</v>
      </c>
    </row>
    <row r="91" spans="1:31" ht="12.75" customHeight="1" x14ac:dyDescent="0.2">
      <c r="A91" s="6">
        <v>22</v>
      </c>
      <c r="B91" s="224">
        <v>0.28599999999999998</v>
      </c>
      <c r="C91" s="18">
        <v>0.46</v>
      </c>
      <c r="D91" s="19">
        <v>24.4</v>
      </c>
      <c r="E91" s="19">
        <v>36.1</v>
      </c>
      <c r="F91" s="19">
        <v>31.3</v>
      </c>
      <c r="G91" s="19">
        <v>16.5</v>
      </c>
      <c r="H91" s="19">
        <v>2.89</v>
      </c>
      <c r="I91" s="19">
        <v>-4.6100000000000003</v>
      </c>
      <c r="J91" s="19">
        <v>-11</v>
      </c>
      <c r="K91" s="19">
        <v>-21.7</v>
      </c>
      <c r="L91" s="19">
        <v>-33.299999999999997</v>
      </c>
      <c r="M91" s="19">
        <v>-35.700000000000003</v>
      </c>
      <c r="N91" s="19">
        <v>-23.1</v>
      </c>
      <c r="O91" s="20">
        <v>0.58599999999999997</v>
      </c>
      <c r="Q91" s="225">
        <f t="shared" si="9"/>
        <v>22</v>
      </c>
      <c r="R91" s="226">
        <f t="shared" si="9"/>
        <v>0.28599999999999998</v>
      </c>
      <c r="S91" s="227">
        <f t="shared" si="10"/>
        <v>31.518357204091885</v>
      </c>
      <c r="T91" s="227">
        <f t="shared" si="8"/>
        <v>1671.8432951735697</v>
      </c>
      <c r="U91" s="227">
        <f t="shared" si="8"/>
        <v>2473.5058588428628</v>
      </c>
      <c r="V91" s="227">
        <f t="shared" si="8"/>
        <v>2144.6186532349475</v>
      </c>
      <c r="W91" s="227">
        <f t="shared" si="8"/>
        <v>1130.549769277209</v>
      </c>
      <c r="X91" s="227">
        <f t="shared" si="8"/>
        <v>198.01750504309902</v>
      </c>
      <c r="Y91" s="227">
        <f t="shared" si="8"/>
        <v>-315.86875371926862</v>
      </c>
      <c r="Z91" s="227">
        <f t="shared" si="8"/>
        <v>-753.69984618480589</v>
      </c>
      <c r="AA91" s="227">
        <f t="shared" si="8"/>
        <v>-1486.844242019117</v>
      </c>
      <c r="AB91" s="227">
        <f t="shared" si="8"/>
        <v>-2281.6549889049124</v>
      </c>
      <c r="AC91" s="227">
        <f t="shared" si="8"/>
        <v>-2446.0985917088701</v>
      </c>
      <c r="AD91" s="227">
        <f t="shared" si="8"/>
        <v>-1582.7696769880924</v>
      </c>
      <c r="AE91" s="227">
        <f t="shared" si="8"/>
        <v>40.151646351299661</v>
      </c>
    </row>
    <row r="92" spans="1:31" ht="12.75" customHeight="1" x14ac:dyDescent="0.2">
      <c r="A92" s="6">
        <v>21</v>
      </c>
      <c r="B92" s="224">
        <v>0.29899999999999999</v>
      </c>
      <c r="C92" s="18">
        <v>0.49399999999999999</v>
      </c>
      <c r="D92" s="19">
        <v>29.6</v>
      </c>
      <c r="E92" s="19">
        <v>44.2</v>
      </c>
      <c r="F92" s="19">
        <v>38.5</v>
      </c>
      <c r="G92" s="19">
        <v>19.5</v>
      </c>
      <c r="H92" s="19">
        <v>1.01</v>
      </c>
      <c r="I92" s="19">
        <v>-9.98</v>
      </c>
      <c r="J92" s="19">
        <v>-18.5</v>
      </c>
      <c r="K92" s="19">
        <v>-31</v>
      </c>
      <c r="L92" s="19">
        <v>-43.2</v>
      </c>
      <c r="M92" s="19">
        <v>-44.1</v>
      </c>
      <c r="N92" s="19">
        <v>-27.7</v>
      </c>
      <c r="O92" s="20">
        <v>0.82399999999999995</v>
      </c>
      <c r="Q92" s="225">
        <f t="shared" si="9"/>
        <v>21</v>
      </c>
      <c r="R92" s="226">
        <f t="shared" si="9"/>
        <v>0.29899999999999999</v>
      </c>
      <c r="S92" s="227">
        <f t="shared" si="10"/>
        <v>33.847974910481284</v>
      </c>
      <c r="T92" s="227">
        <f t="shared" si="8"/>
        <v>2028.137767915478</v>
      </c>
      <c r="U92" s="227">
        <f t="shared" si="8"/>
        <v>3028.5030183062199</v>
      </c>
      <c r="V92" s="227">
        <f t="shared" si="8"/>
        <v>2637.9494616468205</v>
      </c>
      <c r="W92" s="227">
        <f t="shared" si="8"/>
        <v>1336.1042727821559</v>
      </c>
      <c r="X92" s="227">
        <f t="shared" si="8"/>
        <v>69.203349513332171</v>
      </c>
      <c r="Y92" s="227">
        <f t="shared" si="8"/>
        <v>-683.81131499312391</v>
      </c>
      <c r="Z92" s="227">
        <f t="shared" si="8"/>
        <v>-1267.5861049471737</v>
      </c>
      <c r="AA92" s="227">
        <f t="shared" si="8"/>
        <v>-2124.0632028844529</v>
      </c>
      <c r="AB92" s="227">
        <f t="shared" si="8"/>
        <v>-2959.9848504712377</v>
      </c>
      <c r="AC92" s="227">
        <f t="shared" si="8"/>
        <v>-3021.6512015227222</v>
      </c>
      <c r="AD92" s="227">
        <f t="shared" si="8"/>
        <v>-1897.9532490290112</v>
      </c>
      <c r="AE92" s="227">
        <f t="shared" si="8"/>
        <v>56.458970296025463</v>
      </c>
    </row>
    <row r="93" spans="1:31" ht="12.75" customHeight="1" x14ac:dyDescent="0.2">
      <c r="A93" s="6">
        <v>20.5</v>
      </c>
      <c r="B93" s="224">
        <v>0.30599999999999999</v>
      </c>
      <c r="C93" s="18">
        <v>0.307</v>
      </c>
      <c r="D93" s="19">
        <v>34</v>
      </c>
      <c r="E93" s="19">
        <v>51.9</v>
      </c>
      <c r="F93" s="19">
        <v>46.6</v>
      </c>
      <c r="G93" s="19">
        <v>24.7</v>
      </c>
      <c r="H93" s="19">
        <v>1.37</v>
      </c>
      <c r="I93" s="19">
        <v>-14.4</v>
      </c>
      <c r="J93" s="19">
        <v>-26.8</v>
      </c>
      <c r="K93" s="19">
        <v>-41.5</v>
      </c>
      <c r="L93" s="19">
        <v>-53.7</v>
      </c>
      <c r="M93" s="19">
        <v>-52.3</v>
      </c>
      <c r="N93" s="19">
        <v>-32.1</v>
      </c>
      <c r="O93" s="20">
        <v>0.83399999999999996</v>
      </c>
      <c r="Q93" s="225">
        <f t="shared" si="9"/>
        <v>20.5</v>
      </c>
      <c r="R93" s="226">
        <f t="shared" si="9"/>
        <v>0.30599999999999999</v>
      </c>
      <c r="S93" s="227">
        <f t="shared" si="10"/>
        <v>21.035077525339581</v>
      </c>
      <c r="T93" s="227">
        <f t="shared" si="8"/>
        <v>2329.6177063894002</v>
      </c>
      <c r="U93" s="227">
        <f t="shared" si="8"/>
        <v>3556.0929106355838</v>
      </c>
      <c r="V93" s="227">
        <f t="shared" si="8"/>
        <v>3192.9466211101781</v>
      </c>
      <c r="W93" s="227">
        <f t="shared" si="8"/>
        <v>1692.3987455240642</v>
      </c>
      <c r="X93" s="227">
        <f t="shared" si="8"/>
        <v>93.869889933925819</v>
      </c>
      <c r="Y93" s="227">
        <f t="shared" si="8"/>
        <v>-986.66161682374593</v>
      </c>
      <c r="Z93" s="227">
        <f t="shared" si="8"/>
        <v>-1836.2868979775271</v>
      </c>
      <c r="AA93" s="227">
        <f t="shared" si="8"/>
        <v>-2843.5039651517673</v>
      </c>
      <c r="AB93" s="227">
        <f t="shared" si="8"/>
        <v>-3679.4256127385529</v>
      </c>
      <c r="AC93" s="227">
        <f t="shared" si="8"/>
        <v>-3583.500177769577</v>
      </c>
      <c r="AD93" s="227">
        <f t="shared" si="8"/>
        <v>-2199.4331875029334</v>
      </c>
      <c r="AE93" s="227">
        <f t="shared" si="8"/>
        <v>57.144151974375283</v>
      </c>
    </row>
    <row r="94" spans="1:31" ht="12.75" customHeight="1" x14ac:dyDescent="0.2">
      <c r="A94" s="6">
        <v>20</v>
      </c>
      <c r="B94" s="224">
        <v>0.314</v>
      </c>
      <c r="C94" s="18">
        <v>-0.17399999999999999</v>
      </c>
      <c r="D94" s="19">
        <v>40.9</v>
      </c>
      <c r="E94" s="19">
        <v>64.599999999999994</v>
      </c>
      <c r="F94" s="19">
        <v>61.5</v>
      </c>
      <c r="G94" s="19">
        <v>36.700000000000003</v>
      </c>
      <c r="H94" s="19">
        <v>6.2</v>
      </c>
      <c r="I94" s="19">
        <v>-18.600000000000001</v>
      </c>
      <c r="J94" s="19">
        <v>-38.9</v>
      </c>
      <c r="K94" s="19">
        <v>-58.5</v>
      </c>
      <c r="L94" s="19">
        <v>-71.2</v>
      </c>
      <c r="M94" s="19">
        <v>-66</v>
      </c>
      <c r="N94" s="19">
        <v>-39.4</v>
      </c>
      <c r="O94" s="20">
        <v>0.58099999999999996</v>
      </c>
      <c r="Q94" s="225">
        <f t="shared" si="9"/>
        <v>20</v>
      </c>
      <c r="R94" s="226">
        <f t="shared" si="9"/>
        <v>0.314</v>
      </c>
      <c r="S94" s="227">
        <f t="shared" si="10"/>
        <v>-11.92216120328693</v>
      </c>
      <c r="T94" s="227">
        <f t="shared" si="8"/>
        <v>2802.3930644507777</v>
      </c>
      <c r="U94" s="227">
        <f t="shared" si="8"/>
        <v>4426.2736421398595</v>
      </c>
      <c r="V94" s="227">
        <f t="shared" si="8"/>
        <v>4213.867321851415</v>
      </c>
      <c r="W94" s="227">
        <f t="shared" si="8"/>
        <v>2514.6167595438524</v>
      </c>
      <c r="X94" s="227">
        <f t="shared" si="8"/>
        <v>424.81264057689066</v>
      </c>
      <c r="Y94" s="227">
        <f t="shared" si="8"/>
        <v>-1274.4379217306716</v>
      </c>
      <c r="Z94" s="227">
        <f t="shared" si="8"/>
        <v>-2665.3567287808137</v>
      </c>
      <c r="AA94" s="227">
        <f t="shared" si="8"/>
        <v>-4008.3128183464678</v>
      </c>
      <c r="AB94" s="227">
        <f t="shared" si="8"/>
        <v>-4878.4935498507439</v>
      </c>
      <c r="AC94" s="227">
        <f t="shared" si="8"/>
        <v>-4522.1990771088358</v>
      </c>
      <c r="AD94" s="227">
        <f t="shared" si="8"/>
        <v>-2699.6158126983046</v>
      </c>
      <c r="AE94" s="227">
        <f t="shared" si="8"/>
        <v>39.80905551212475</v>
      </c>
    </row>
    <row r="95" spans="1:31" ht="12.75" customHeight="1" x14ac:dyDescent="0.2">
      <c r="A95" s="6">
        <v>19.5</v>
      </c>
      <c r="B95" s="224">
        <v>0.32200000000000001</v>
      </c>
      <c r="C95" s="18">
        <v>-0.80600000000000005</v>
      </c>
      <c r="D95" s="19">
        <v>48.7</v>
      </c>
      <c r="E95" s="19">
        <v>80.099999999999994</v>
      </c>
      <c r="F95" s="19">
        <v>81.5</v>
      </c>
      <c r="G95" s="19">
        <v>55.2</v>
      </c>
      <c r="H95" s="19">
        <v>17</v>
      </c>
      <c r="I95" s="19">
        <v>-19</v>
      </c>
      <c r="J95" s="19">
        <v>-50.6</v>
      </c>
      <c r="K95" s="19">
        <v>-77.8</v>
      </c>
      <c r="L95" s="19">
        <v>-92</v>
      </c>
      <c r="M95" s="19">
        <v>-82.4</v>
      </c>
      <c r="N95" s="19">
        <v>-48.3</v>
      </c>
      <c r="O95" s="20">
        <v>6.1499999999999999E-2</v>
      </c>
      <c r="Q95" s="225">
        <f t="shared" si="9"/>
        <v>19.5</v>
      </c>
      <c r="R95" s="226">
        <f t="shared" si="9"/>
        <v>0.32200000000000001</v>
      </c>
      <c r="S95" s="227">
        <f t="shared" si="10"/>
        <v>-55.225643274995775</v>
      </c>
      <c r="T95" s="227">
        <f t="shared" si="8"/>
        <v>3336.8347735636407</v>
      </c>
      <c r="U95" s="227">
        <f t="shared" si="8"/>
        <v>5488.3052435820864</v>
      </c>
      <c r="V95" s="227">
        <f t="shared" si="8"/>
        <v>5584.2306785510627</v>
      </c>
      <c r="W95" s="227">
        <f t="shared" si="8"/>
        <v>3782.202864491026</v>
      </c>
      <c r="X95" s="227">
        <f t="shared" si="8"/>
        <v>1164.8088531947001</v>
      </c>
      <c r="Y95" s="227">
        <f t="shared" si="8"/>
        <v>-1301.8451888646648</v>
      </c>
      <c r="Z95" s="227">
        <f t="shared" si="8"/>
        <v>-3467.0192924501075</v>
      </c>
      <c r="AA95" s="227">
        <f t="shared" si="8"/>
        <v>-5330.7134575616274</v>
      </c>
      <c r="AB95" s="227">
        <f t="shared" si="8"/>
        <v>-6303.6714408183771</v>
      </c>
      <c r="AC95" s="227">
        <f t="shared" si="8"/>
        <v>-5645.8970296025454</v>
      </c>
      <c r="AD95" s="227">
        <f t="shared" si="8"/>
        <v>-3309.4275064296476</v>
      </c>
      <c r="AE95" s="227">
        <f t="shared" si="8"/>
        <v>4.2138673218514153</v>
      </c>
    </row>
    <row r="96" spans="1:31" ht="12.75" customHeight="1" x14ac:dyDescent="0.2">
      <c r="A96" s="6">
        <v>19</v>
      </c>
      <c r="B96" s="224">
        <v>0.33100000000000002</v>
      </c>
      <c r="C96" s="18">
        <v>-1.22</v>
      </c>
      <c r="D96" s="19">
        <v>54.3</v>
      </c>
      <c r="E96" s="19">
        <v>92.2</v>
      </c>
      <c r="F96" s="19">
        <v>98.5</v>
      </c>
      <c r="G96" s="19">
        <v>72.599999999999994</v>
      </c>
      <c r="H96" s="19">
        <v>29.3</v>
      </c>
      <c r="I96" s="19">
        <v>-15.5</v>
      </c>
      <c r="J96" s="19">
        <v>-56.9</v>
      </c>
      <c r="K96" s="19">
        <v>-91.5</v>
      </c>
      <c r="L96" s="19">
        <v>-108</v>
      </c>
      <c r="M96" s="19">
        <v>-94.9</v>
      </c>
      <c r="N96" s="19">
        <v>-55</v>
      </c>
      <c r="O96" s="20">
        <v>-0.41599999999999998</v>
      </c>
      <c r="Q96" s="225">
        <f t="shared" si="9"/>
        <v>19</v>
      </c>
      <c r="R96" s="226">
        <f t="shared" si="9"/>
        <v>0.33100000000000002</v>
      </c>
      <c r="S96" s="227">
        <f t="shared" si="10"/>
        <v>-83.592164758678479</v>
      </c>
      <c r="T96" s="227">
        <f t="shared" si="8"/>
        <v>3720.536513439542</v>
      </c>
      <c r="U96" s="227">
        <f t="shared" si="8"/>
        <v>6317.3750743853725</v>
      </c>
      <c r="V96" s="227">
        <f t="shared" si="8"/>
        <v>6749.0395317457615</v>
      </c>
      <c r="W96" s="227">
        <f t="shared" si="8"/>
        <v>4974.4189848197193</v>
      </c>
      <c r="X96" s="227">
        <f t="shared" si="8"/>
        <v>2007.5823175649832</v>
      </c>
      <c r="Y96" s="227">
        <f t="shared" si="8"/>
        <v>-1062.0316014422265</v>
      </c>
      <c r="Z96" s="227">
        <f t="shared" si="8"/>
        <v>-3898.683749810496</v>
      </c>
      <c r="AA96" s="227">
        <f t="shared" si="8"/>
        <v>-6269.4123569008843</v>
      </c>
      <c r="AB96" s="227">
        <f t="shared" si="8"/>
        <v>-7399.9621261780958</v>
      </c>
      <c r="AC96" s="227">
        <f t="shared" si="8"/>
        <v>-6502.3741275398252</v>
      </c>
      <c r="AD96" s="227">
        <f t="shared" si="8"/>
        <v>-3768.4992309240292</v>
      </c>
      <c r="AE96" s="227">
        <f t="shared" si="8"/>
        <v>-28.503557819352658</v>
      </c>
    </row>
    <row r="97" spans="1:31" ht="12.75" customHeight="1" x14ac:dyDescent="0.2">
      <c r="A97" s="6">
        <v>18.5</v>
      </c>
      <c r="B97" s="224">
        <v>0.34</v>
      </c>
      <c r="C97" s="18">
        <v>-1.33</v>
      </c>
      <c r="D97" s="19">
        <v>57</v>
      </c>
      <c r="E97" s="19">
        <v>99.2</v>
      </c>
      <c r="F97" s="19">
        <v>110</v>
      </c>
      <c r="G97" s="19">
        <v>85.3</v>
      </c>
      <c r="H97" s="19">
        <v>39.200000000000003</v>
      </c>
      <c r="I97" s="19">
        <v>-11.4</v>
      </c>
      <c r="J97" s="19">
        <v>-59.5</v>
      </c>
      <c r="K97" s="19">
        <v>-99.4</v>
      </c>
      <c r="L97" s="19">
        <v>-117</v>
      </c>
      <c r="M97" s="19">
        <v>-102</v>
      </c>
      <c r="N97" s="19">
        <v>-58.3</v>
      </c>
      <c r="O97" s="20">
        <v>-0.66800000000000004</v>
      </c>
      <c r="Q97" s="225">
        <f t="shared" si="9"/>
        <v>18.5</v>
      </c>
      <c r="R97" s="226">
        <f t="shared" si="9"/>
        <v>0.34</v>
      </c>
      <c r="S97" s="227">
        <f t="shared" si="10"/>
        <v>-91.129163220526522</v>
      </c>
      <c r="T97" s="227">
        <f t="shared" si="8"/>
        <v>3905.5355665939946</v>
      </c>
      <c r="U97" s="227">
        <f t="shared" si="8"/>
        <v>6797.0022492302505</v>
      </c>
      <c r="V97" s="227">
        <f t="shared" si="8"/>
        <v>7536.9984618480585</v>
      </c>
      <c r="W97" s="227">
        <f t="shared" si="8"/>
        <v>5844.5997163239954</v>
      </c>
      <c r="X97" s="227">
        <f t="shared" si="8"/>
        <v>2685.9121791313082</v>
      </c>
      <c r="Y97" s="227">
        <f t="shared" si="8"/>
        <v>-781.10711331879884</v>
      </c>
      <c r="Z97" s="227">
        <f t="shared" si="8"/>
        <v>-4076.83098618145</v>
      </c>
      <c r="AA97" s="227">
        <f t="shared" si="8"/>
        <v>-6810.705882797246</v>
      </c>
      <c r="AB97" s="227">
        <f t="shared" si="8"/>
        <v>-8016.6256366929356</v>
      </c>
      <c r="AC97" s="227">
        <f t="shared" si="8"/>
        <v>-6988.8531191682005</v>
      </c>
      <c r="AD97" s="227">
        <f t="shared" si="8"/>
        <v>-3994.6091847794719</v>
      </c>
      <c r="AE97" s="227">
        <f t="shared" si="8"/>
        <v>-45.770136113768217</v>
      </c>
    </row>
    <row r="98" spans="1:31" ht="12.75" customHeight="1" x14ac:dyDescent="0.2">
      <c r="A98" s="6">
        <v>18</v>
      </c>
      <c r="B98" s="224">
        <v>0.34899999999999998</v>
      </c>
      <c r="C98" s="18">
        <v>-1.29</v>
      </c>
      <c r="D98" s="19">
        <v>57.7</v>
      </c>
      <c r="E98" s="19">
        <v>103</v>
      </c>
      <c r="F98" s="19">
        <v>118</v>
      </c>
      <c r="G98" s="19">
        <v>95</v>
      </c>
      <c r="H98" s="19">
        <v>46.9</v>
      </c>
      <c r="I98" s="19">
        <v>-8.19</v>
      </c>
      <c r="J98" s="19">
        <v>-61.5</v>
      </c>
      <c r="K98" s="19">
        <v>-105</v>
      </c>
      <c r="L98" s="19">
        <v>-124</v>
      </c>
      <c r="M98" s="19">
        <v>-106</v>
      </c>
      <c r="N98" s="19">
        <v>-59.3</v>
      </c>
      <c r="O98" s="20">
        <v>-0.747</v>
      </c>
      <c r="Q98" s="225">
        <f t="shared" si="9"/>
        <v>18</v>
      </c>
      <c r="R98" s="226">
        <f t="shared" si="9"/>
        <v>0.34899999999999998</v>
      </c>
      <c r="S98" s="227">
        <f t="shared" si="10"/>
        <v>-88.388436507127224</v>
      </c>
      <c r="T98" s="227">
        <f t="shared" si="8"/>
        <v>3953.4982840784814</v>
      </c>
      <c r="U98" s="227">
        <f t="shared" si="8"/>
        <v>7057.3712870031832</v>
      </c>
      <c r="V98" s="227">
        <f t="shared" si="8"/>
        <v>8085.1438045279174</v>
      </c>
      <c r="W98" s="227">
        <f t="shared" si="8"/>
        <v>6509.2259443233233</v>
      </c>
      <c r="X98" s="227">
        <f t="shared" si="8"/>
        <v>3213.5020714606731</v>
      </c>
      <c r="Y98" s="227">
        <f t="shared" si="8"/>
        <v>-561.16379456850541</v>
      </c>
      <c r="Z98" s="227">
        <f t="shared" si="8"/>
        <v>-4213.867321851415</v>
      </c>
      <c r="AA98" s="227">
        <f t="shared" si="8"/>
        <v>-7194.4076226731468</v>
      </c>
      <c r="AB98" s="227">
        <f t="shared" si="8"/>
        <v>-8496.2528115378118</v>
      </c>
      <c r="AC98" s="227">
        <f t="shared" si="8"/>
        <v>-7262.9257905081295</v>
      </c>
      <c r="AD98" s="227">
        <f t="shared" si="8"/>
        <v>-4063.1273526144532</v>
      </c>
      <c r="AE98" s="227">
        <f t="shared" si="8"/>
        <v>-51.183071372731824</v>
      </c>
    </row>
    <row r="99" spans="1:31" ht="12.75" customHeight="1" x14ac:dyDescent="0.2">
      <c r="A99" s="6">
        <v>17</v>
      </c>
      <c r="B99" s="224">
        <v>0.37</v>
      </c>
      <c r="C99" s="18">
        <v>-1.1000000000000001</v>
      </c>
      <c r="D99" s="19">
        <v>53.8</v>
      </c>
      <c r="E99" s="19">
        <v>104</v>
      </c>
      <c r="F99" s="19">
        <v>130</v>
      </c>
      <c r="G99" s="19">
        <v>113</v>
      </c>
      <c r="H99" s="19">
        <v>60.9</v>
      </c>
      <c r="I99" s="19">
        <v>-4.3099999999999996</v>
      </c>
      <c r="J99" s="19">
        <v>-68.900000000000006</v>
      </c>
      <c r="K99" s="19">
        <v>-119</v>
      </c>
      <c r="L99" s="19">
        <v>-134</v>
      </c>
      <c r="M99" s="19">
        <v>-107</v>
      </c>
      <c r="N99" s="19">
        <v>-55.5</v>
      </c>
      <c r="O99" s="20">
        <v>-0.70899999999999996</v>
      </c>
      <c r="Q99" s="225">
        <f t="shared" si="9"/>
        <v>17</v>
      </c>
      <c r="R99" s="226">
        <f t="shared" si="9"/>
        <v>0.37</v>
      </c>
      <c r="S99" s="227">
        <f t="shared" si="10"/>
        <v>-75.369984618480601</v>
      </c>
      <c r="T99" s="227">
        <f t="shared" si="8"/>
        <v>3686.2774295220506</v>
      </c>
      <c r="U99" s="227">
        <f t="shared" si="8"/>
        <v>7125.889454838165</v>
      </c>
      <c r="V99" s="227">
        <f t="shared" si="8"/>
        <v>8907.3618185477062</v>
      </c>
      <c r="W99" s="227">
        <f t="shared" si="8"/>
        <v>7742.5529653530057</v>
      </c>
      <c r="X99" s="227">
        <f t="shared" si="8"/>
        <v>4172.756421150425</v>
      </c>
      <c r="Y99" s="227">
        <f t="shared" si="8"/>
        <v>-295.31330336877397</v>
      </c>
      <c r="Z99" s="227">
        <f t="shared" si="8"/>
        <v>-4720.9017638302839</v>
      </c>
      <c r="AA99" s="227">
        <f t="shared" si="8"/>
        <v>-8153.6619723629001</v>
      </c>
      <c r="AB99" s="227">
        <f t="shared" si="8"/>
        <v>-9181.4344898876352</v>
      </c>
      <c r="AC99" s="227">
        <f t="shared" si="8"/>
        <v>-7331.4439583431113</v>
      </c>
      <c r="AD99" s="227">
        <f t="shared" si="8"/>
        <v>-3802.758314841521</v>
      </c>
      <c r="AE99" s="227">
        <f t="shared" si="8"/>
        <v>-48.579380995002495</v>
      </c>
    </row>
    <row r="100" spans="1:31" ht="12.75" customHeight="1" x14ac:dyDescent="0.2">
      <c r="A100" s="6">
        <v>16</v>
      </c>
      <c r="B100" s="224">
        <v>0.39300000000000002</v>
      </c>
      <c r="C100" s="18">
        <v>-0.90100000000000002</v>
      </c>
      <c r="D100" s="19">
        <v>38.1</v>
      </c>
      <c r="E100" s="19">
        <v>92</v>
      </c>
      <c r="F100" s="19">
        <v>137</v>
      </c>
      <c r="G100" s="19">
        <v>133</v>
      </c>
      <c r="H100" s="19">
        <v>77.5</v>
      </c>
      <c r="I100" s="19">
        <v>-2.4500000000000002</v>
      </c>
      <c r="J100" s="19">
        <v>-82.1</v>
      </c>
      <c r="K100" s="19">
        <v>-137</v>
      </c>
      <c r="L100" s="19">
        <v>-140</v>
      </c>
      <c r="M100" s="19">
        <v>-94.1</v>
      </c>
      <c r="N100" s="19">
        <v>-39.700000000000003</v>
      </c>
      <c r="O100" s="20">
        <v>-0.58399999999999996</v>
      </c>
      <c r="Q100" s="225">
        <f t="shared" si="9"/>
        <v>16</v>
      </c>
      <c r="R100" s="226">
        <f t="shared" si="9"/>
        <v>0.39300000000000002</v>
      </c>
      <c r="S100" s="227">
        <f t="shared" si="10"/>
        <v>-61.734869219319094</v>
      </c>
      <c r="T100" s="227">
        <f t="shared" si="8"/>
        <v>2610.5421945128278</v>
      </c>
      <c r="U100" s="227">
        <f t="shared" si="8"/>
        <v>6303.6714408183771</v>
      </c>
      <c r="V100" s="227">
        <f t="shared" si="8"/>
        <v>9386.9889933925824</v>
      </c>
      <c r="W100" s="227">
        <f t="shared" si="8"/>
        <v>9112.9163220526534</v>
      </c>
      <c r="X100" s="227">
        <f t="shared" si="8"/>
        <v>5310.1580072111319</v>
      </c>
      <c r="Y100" s="227">
        <f t="shared" si="8"/>
        <v>-167.86951119570676</v>
      </c>
      <c r="Z100" s="227">
        <f t="shared" si="8"/>
        <v>-5625.3415792520509</v>
      </c>
      <c r="AA100" s="227">
        <f t="shared" si="8"/>
        <v>-9386.9889933925824</v>
      </c>
      <c r="AB100" s="227">
        <f t="shared" si="8"/>
        <v>-9592.5434968975296</v>
      </c>
      <c r="AC100" s="227">
        <f t="shared" si="8"/>
        <v>-6447.5595932718388</v>
      </c>
      <c r="AD100" s="227">
        <f t="shared" si="8"/>
        <v>-2720.1712630487996</v>
      </c>
      <c r="AE100" s="227">
        <f t="shared" si="8"/>
        <v>-40.014610015629692</v>
      </c>
    </row>
    <row r="101" spans="1:31" ht="12.75" customHeight="1" x14ac:dyDescent="0.2">
      <c r="A101" s="6">
        <v>15</v>
      </c>
      <c r="B101" s="224">
        <v>0.41899999999999998</v>
      </c>
      <c r="C101" s="18">
        <v>-0.67800000000000005</v>
      </c>
      <c r="D101" s="19">
        <v>-1.73</v>
      </c>
      <c r="E101" s="19">
        <v>50.2</v>
      </c>
      <c r="F101" s="19">
        <v>128</v>
      </c>
      <c r="G101" s="19">
        <v>154</v>
      </c>
      <c r="H101" s="19">
        <v>98.8</v>
      </c>
      <c r="I101" s="19">
        <v>-1.37</v>
      </c>
      <c r="J101" s="19">
        <v>-102</v>
      </c>
      <c r="K101" s="19">
        <v>-157</v>
      </c>
      <c r="L101" s="19">
        <v>-130</v>
      </c>
      <c r="M101" s="19">
        <v>-52.1</v>
      </c>
      <c r="N101" s="19">
        <v>0.49399999999999999</v>
      </c>
      <c r="O101" s="20">
        <v>-0.39600000000000002</v>
      </c>
      <c r="Q101" s="225">
        <f t="shared" si="9"/>
        <v>15</v>
      </c>
      <c r="R101" s="226">
        <f t="shared" si="9"/>
        <v>0.41899999999999998</v>
      </c>
      <c r="S101" s="227">
        <f t="shared" si="10"/>
        <v>-46.455317792118045</v>
      </c>
      <c r="T101" s="227">
        <f t="shared" si="8"/>
        <v>-118.53643035451945</v>
      </c>
      <c r="U101" s="227">
        <f t="shared" si="8"/>
        <v>3439.6120253161139</v>
      </c>
      <c r="V101" s="227">
        <f t="shared" si="8"/>
        <v>8770.3254828777408</v>
      </c>
      <c r="W101" s="227">
        <f t="shared" si="8"/>
        <v>10551.797846587282</v>
      </c>
      <c r="X101" s="227">
        <f t="shared" si="8"/>
        <v>6769.5949820962569</v>
      </c>
      <c r="Y101" s="227">
        <f t="shared" si="8"/>
        <v>-93.869889933925819</v>
      </c>
      <c r="Z101" s="227">
        <f t="shared" si="8"/>
        <v>-6988.8531191682005</v>
      </c>
      <c r="AA101" s="227">
        <f t="shared" si="8"/>
        <v>-10757.352350092231</v>
      </c>
      <c r="AB101" s="227">
        <f t="shared" si="8"/>
        <v>-8907.3618185477062</v>
      </c>
      <c r="AC101" s="227">
        <f t="shared" si="8"/>
        <v>-3569.7965442025811</v>
      </c>
      <c r="AD101" s="227">
        <f t="shared" si="8"/>
        <v>33.847974910481284</v>
      </c>
      <c r="AE101" s="227">
        <f t="shared" si="8"/>
        <v>-27.133194462653012</v>
      </c>
    </row>
    <row r="102" spans="1:31" ht="12.75" customHeight="1" x14ac:dyDescent="0.2">
      <c r="A102" s="6">
        <v>14</v>
      </c>
      <c r="B102" s="224">
        <v>0.44900000000000001</v>
      </c>
      <c r="C102" s="18">
        <v>-0.38</v>
      </c>
      <c r="D102" s="19">
        <v>-88.4</v>
      </c>
      <c r="E102" s="19">
        <v>-52.7</v>
      </c>
      <c r="F102" s="19">
        <v>80.7</v>
      </c>
      <c r="G102" s="19">
        <v>168</v>
      </c>
      <c r="H102" s="19">
        <v>126</v>
      </c>
      <c r="I102" s="19">
        <v>-0.42199999999999999</v>
      </c>
      <c r="J102" s="19">
        <v>-127</v>
      </c>
      <c r="K102" s="19">
        <v>-170</v>
      </c>
      <c r="L102" s="19">
        <v>-82.9</v>
      </c>
      <c r="M102" s="19">
        <v>51.3</v>
      </c>
      <c r="N102" s="19">
        <v>87.8</v>
      </c>
      <c r="O102" s="20">
        <v>-0.11700000000000001</v>
      </c>
      <c r="Q102" s="225">
        <f t="shared" si="9"/>
        <v>14</v>
      </c>
      <c r="R102" s="226">
        <f t="shared" si="9"/>
        <v>0.44900000000000001</v>
      </c>
      <c r="S102" s="227">
        <f t="shared" si="10"/>
        <v>-26.036903777293293</v>
      </c>
      <c r="T102" s="227">
        <f t="shared" si="10"/>
        <v>-6057.0060366124399</v>
      </c>
      <c r="U102" s="227">
        <f t="shared" si="10"/>
        <v>-3610.9074449035702</v>
      </c>
      <c r="V102" s="227">
        <f t="shared" si="10"/>
        <v>5529.4161442830755</v>
      </c>
      <c r="W102" s="227">
        <f t="shared" si="10"/>
        <v>11511.052196277034</v>
      </c>
      <c r="X102" s="227">
        <f t="shared" si="10"/>
        <v>8633.2891472077772</v>
      </c>
      <c r="Y102" s="227">
        <f t="shared" si="10"/>
        <v>-28.914666826362556</v>
      </c>
      <c r="Z102" s="227">
        <f t="shared" si="10"/>
        <v>-8701.807315042759</v>
      </c>
      <c r="AA102" s="227">
        <f t="shared" si="10"/>
        <v>-11648.088531947002</v>
      </c>
      <c r="AB102" s="227">
        <f t="shared" si="10"/>
        <v>-5680.1561135200382</v>
      </c>
      <c r="AC102" s="227">
        <f t="shared" si="10"/>
        <v>3514.9820099345943</v>
      </c>
      <c r="AD102" s="227">
        <f t="shared" si="10"/>
        <v>6015.8951359114517</v>
      </c>
      <c r="AE102" s="227">
        <f t="shared" si="10"/>
        <v>-8.016625636692936</v>
      </c>
    </row>
    <row r="103" spans="1:31" ht="12.75" customHeight="1" x14ac:dyDescent="0.2">
      <c r="A103" s="6">
        <v>13</v>
      </c>
      <c r="B103" s="224">
        <v>0.48299999999999998</v>
      </c>
      <c r="C103" s="18">
        <v>8.6800000000000002E-2</v>
      </c>
      <c r="D103" s="19">
        <v>-259</v>
      </c>
      <c r="E103" s="19">
        <v>-272</v>
      </c>
      <c r="F103" s="19">
        <v>-48.8</v>
      </c>
      <c r="G103" s="19">
        <v>157</v>
      </c>
      <c r="H103" s="19">
        <v>156</v>
      </c>
      <c r="I103" s="19">
        <v>0.99299999999999999</v>
      </c>
      <c r="J103" s="19">
        <v>-155</v>
      </c>
      <c r="K103" s="19">
        <v>-157</v>
      </c>
      <c r="L103" s="19">
        <v>48.3</v>
      </c>
      <c r="M103" s="19">
        <v>273</v>
      </c>
      <c r="N103" s="19">
        <v>260</v>
      </c>
      <c r="O103" s="20">
        <v>0.33100000000000002</v>
      </c>
      <c r="Q103" s="225">
        <f t="shared" si="9"/>
        <v>13</v>
      </c>
      <c r="R103" s="226">
        <f t="shared" si="9"/>
        <v>0.48299999999999998</v>
      </c>
      <c r="S103" s="227">
        <f t="shared" si="10"/>
        <v>5.947376968076469</v>
      </c>
      <c r="T103" s="227">
        <f t="shared" si="10"/>
        <v>-17746.205469260429</v>
      </c>
      <c r="U103" s="227">
        <f t="shared" si="10"/>
        <v>-18636.941651115201</v>
      </c>
      <c r="V103" s="227">
        <f t="shared" si="10"/>
        <v>-3343.6865903471394</v>
      </c>
      <c r="W103" s="227">
        <f t="shared" si="10"/>
        <v>10757.352350092231</v>
      </c>
      <c r="X103" s="227">
        <f t="shared" si="10"/>
        <v>10688.834182257247</v>
      </c>
      <c r="Y103" s="227">
        <f t="shared" si="10"/>
        <v>68.038540660137485</v>
      </c>
      <c r="Z103" s="227">
        <f t="shared" si="10"/>
        <v>-10620.316014422264</v>
      </c>
      <c r="AA103" s="227">
        <f t="shared" si="10"/>
        <v>-10757.352350092231</v>
      </c>
      <c r="AB103" s="227">
        <f t="shared" si="10"/>
        <v>3309.4275064296476</v>
      </c>
      <c r="AC103" s="227">
        <f t="shared" si="10"/>
        <v>18705.459818950185</v>
      </c>
      <c r="AD103" s="227">
        <f t="shared" si="10"/>
        <v>17814.723637095412</v>
      </c>
      <c r="AE103" s="227">
        <f t="shared" si="10"/>
        <v>22.679513553379163</v>
      </c>
    </row>
    <row r="104" spans="1:31" ht="12.75" customHeight="1" x14ac:dyDescent="0.2">
      <c r="A104" s="6">
        <v>12</v>
      </c>
      <c r="B104" s="224">
        <v>0.52400000000000002</v>
      </c>
      <c r="C104" s="18">
        <v>0.88200000000000001</v>
      </c>
      <c r="D104" s="19">
        <v>-569</v>
      </c>
      <c r="E104" s="19">
        <v>-702</v>
      </c>
      <c r="F104" s="19">
        <v>-347</v>
      </c>
      <c r="G104" s="19">
        <v>76.400000000000006</v>
      </c>
      <c r="H104" s="19">
        <v>177</v>
      </c>
      <c r="I104" s="19">
        <v>5.44</v>
      </c>
      <c r="J104" s="19">
        <v>-167</v>
      </c>
      <c r="K104" s="19">
        <v>-69</v>
      </c>
      <c r="L104" s="19">
        <v>352</v>
      </c>
      <c r="M104" s="19">
        <v>705</v>
      </c>
      <c r="N104" s="19">
        <v>571</v>
      </c>
      <c r="O104" s="20">
        <v>1.05</v>
      </c>
      <c r="Q104" s="225">
        <f t="shared" si="9"/>
        <v>12</v>
      </c>
      <c r="R104" s="226">
        <f t="shared" si="9"/>
        <v>0.52400000000000002</v>
      </c>
      <c r="S104" s="227">
        <f t="shared" si="10"/>
        <v>60.433024030454433</v>
      </c>
      <c r="T104" s="227">
        <f t="shared" si="10"/>
        <v>-38986.837498104964</v>
      </c>
      <c r="U104" s="227">
        <f t="shared" si="10"/>
        <v>-48099.753820157617</v>
      </c>
      <c r="V104" s="227">
        <f t="shared" si="10"/>
        <v>-23775.804238738881</v>
      </c>
      <c r="W104" s="227">
        <f t="shared" si="10"/>
        <v>5234.7880225926529</v>
      </c>
      <c r="X104" s="227">
        <f t="shared" si="10"/>
        <v>12127.715706791876</v>
      </c>
      <c r="Y104" s="227">
        <f t="shared" si="10"/>
        <v>372.73883302230399</v>
      </c>
      <c r="Z104" s="227">
        <f t="shared" si="10"/>
        <v>-11442.534028442054</v>
      </c>
      <c r="AA104" s="227">
        <f t="shared" si="10"/>
        <v>-4727.753580613783</v>
      </c>
      <c r="AB104" s="227">
        <f t="shared" si="10"/>
        <v>24118.395077913789</v>
      </c>
      <c r="AC104" s="227">
        <f t="shared" si="10"/>
        <v>48305.308323662568</v>
      </c>
      <c r="AD104" s="227">
        <f t="shared" si="10"/>
        <v>39123.873833774924</v>
      </c>
      <c r="AE104" s="227">
        <f t="shared" si="10"/>
        <v>71.944076226731468</v>
      </c>
    </row>
    <row r="105" spans="1:31" ht="12.75" customHeight="1" x14ac:dyDescent="0.2">
      <c r="A105" s="6">
        <v>11</v>
      </c>
      <c r="B105" s="224">
        <v>0.57099999999999995</v>
      </c>
      <c r="C105" s="18">
        <v>2.1800000000000002</v>
      </c>
      <c r="D105" s="19">
        <v>-1070</v>
      </c>
      <c r="E105" s="19">
        <v>-1470</v>
      </c>
      <c r="F105" s="19">
        <v>-986</v>
      </c>
      <c r="G105" s="19">
        <v>-196</v>
      </c>
      <c r="H105" s="19">
        <v>138</v>
      </c>
      <c r="I105" s="19">
        <v>26.2</v>
      </c>
      <c r="J105" s="19">
        <v>-88.6</v>
      </c>
      <c r="K105" s="19">
        <v>234</v>
      </c>
      <c r="L105" s="19">
        <v>1000</v>
      </c>
      <c r="M105" s="19">
        <v>1470</v>
      </c>
      <c r="N105" s="19">
        <v>1060</v>
      </c>
      <c r="O105" s="20">
        <v>2.12</v>
      </c>
      <c r="Q105" s="225">
        <f t="shared" si="9"/>
        <v>11</v>
      </c>
      <c r="R105" s="226">
        <f t="shared" si="9"/>
        <v>0.57099999999999995</v>
      </c>
      <c r="S105" s="227">
        <f t="shared" si="10"/>
        <v>149.36960588026153</v>
      </c>
      <c r="T105" s="227">
        <f t="shared" si="10"/>
        <v>-73314.439583431129</v>
      </c>
      <c r="U105" s="227">
        <f t="shared" si="10"/>
        <v>-100721.70671742405</v>
      </c>
      <c r="V105" s="227">
        <f t="shared" si="10"/>
        <v>-67558.913485292593</v>
      </c>
      <c r="W105" s="227">
        <f t="shared" si="10"/>
        <v>-13429.560895656543</v>
      </c>
      <c r="X105" s="227">
        <f t="shared" si="10"/>
        <v>9455.507161227566</v>
      </c>
      <c r="Y105" s="227">
        <f t="shared" si="10"/>
        <v>1795.1759972765376</v>
      </c>
      <c r="Z105" s="227">
        <f t="shared" si="10"/>
        <v>-6070.7096701794362</v>
      </c>
      <c r="AA105" s="227">
        <f t="shared" si="10"/>
        <v>16033.251273385871</v>
      </c>
      <c r="AB105" s="227">
        <f t="shared" si="10"/>
        <v>68518.167834982363</v>
      </c>
      <c r="AC105" s="227">
        <f t="shared" si="10"/>
        <v>100721.70671742405</v>
      </c>
      <c r="AD105" s="227">
        <f t="shared" si="10"/>
        <v>72629.257905081293</v>
      </c>
      <c r="AE105" s="227">
        <f t="shared" si="10"/>
        <v>145.25851581016258</v>
      </c>
    </row>
    <row r="106" spans="1:31" ht="12.75" customHeight="1" x14ac:dyDescent="0.2">
      <c r="A106" s="6">
        <v>10</v>
      </c>
      <c r="B106" s="224">
        <v>0.628</v>
      </c>
      <c r="C106" s="18">
        <v>3.86</v>
      </c>
      <c r="D106" s="19">
        <v>-1680</v>
      </c>
      <c r="E106" s="19">
        <v>-2650</v>
      </c>
      <c r="F106" s="19">
        <v>-2290</v>
      </c>
      <c r="G106" s="19">
        <v>-1050</v>
      </c>
      <c r="H106" s="19">
        <v>-179</v>
      </c>
      <c r="I106" s="19">
        <v>161</v>
      </c>
      <c r="J106" s="19">
        <v>467</v>
      </c>
      <c r="K106" s="19">
        <v>1240</v>
      </c>
      <c r="L106" s="19">
        <v>2340</v>
      </c>
      <c r="M106" s="19">
        <v>2600</v>
      </c>
      <c r="N106" s="19">
        <v>1630</v>
      </c>
      <c r="O106" s="20">
        <v>3.33</v>
      </c>
      <c r="Q106" s="225">
        <f t="shared" si="9"/>
        <v>10</v>
      </c>
      <c r="R106" s="226">
        <f t="shared" si="9"/>
        <v>0.628</v>
      </c>
      <c r="S106" s="227">
        <f t="shared" si="10"/>
        <v>264.48012784303188</v>
      </c>
      <c r="T106" s="227">
        <f t="shared" si="10"/>
        <v>-115110.52196277035</v>
      </c>
      <c r="U106" s="227">
        <f t="shared" si="10"/>
        <v>-181573.14476270328</v>
      </c>
      <c r="V106" s="227">
        <f t="shared" si="10"/>
        <v>-156906.60434210958</v>
      </c>
      <c r="W106" s="227">
        <f t="shared" si="10"/>
        <v>-71944.076226731471</v>
      </c>
      <c r="X106" s="227">
        <f t="shared" si="10"/>
        <v>-12264.752042461841</v>
      </c>
      <c r="Y106" s="227">
        <f t="shared" si="10"/>
        <v>11031.425021432158</v>
      </c>
      <c r="Z106" s="227">
        <f t="shared" si="10"/>
        <v>31997.984378936762</v>
      </c>
      <c r="AA106" s="227">
        <f t="shared" si="10"/>
        <v>84962.528115378111</v>
      </c>
      <c r="AB106" s="227">
        <f t="shared" si="10"/>
        <v>160332.51273385869</v>
      </c>
      <c r="AC106" s="227">
        <f t="shared" si="10"/>
        <v>178147.23637095414</v>
      </c>
      <c r="AD106" s="227">
        <f t="shared" si="10"/>
        <v>111684.61357102124</v>
      </c>
      <c r="AE106" s="227">
        <f t="shared" si="10"/>
        <v>228.16549889049125</v>
      </c>
    </row>
    <row r="107" spans="1:31" ht="12.75" customHeight="1" x14ac:dyDescent="0.2">
      <c r="A107" s="6">
        <v>9</v>
      </c>
      <c r="B107" s="224">
        <v>0.69799999999999995</v>
      </c>
      <c r="C107" s="18">
        <v>3.89</v>
      </c>
      <c r="D107" s="19">
        <v>-1610</v>
      </c>
      <c r="E107" s="19">
        <v>-3240</v>
      </c>
      <c r="F107" s="19">
        <v>-4040</v>
      </c>
      <c r="G107" s="19">
        <v>-3010</v>
      </c>
      <c r="H107" s="19">
        <v>-788</v>
      </c>
      <c r="I107" s="19">
        <v>1590</v>
      </c>
      <c r="J107" s="19">
        <v>3490</v>
      </c>
      <c r="K107" s="19">
        <v>4680</v>
      </c>
      <c r="L107" s="19">
        <v>4790</v>
      </c>
      <c r="M107" s="19">
        <v>3440</v>
      </c>
      <c r="N107" s="19">
        <v>1630</v>
      </c>
      <c r="O107" s="20">
        <v>3.82</v>
      </c>
      <c r="Q107" s="225">
        <f t="shared" si="9"/>
        <v>9</v>
      </c>
      <c r="R107" s="226">
        <f t="shared" si="9"/>
        <v>0.69799999999999995</v>
      </c>
      <c r="S107" s="227">
        <f t="shared" si="10"/>
        <v>266.53567287808136</v>
      </c>
      <c r="T107" s="227">
        <f t="shared" si="10"/>
        <v>-110314.25021432158</v>
      </c>
      <c r="U107" s="227">
        <f t="shared" si="10"/>
        <v>-221998.86378534284</v>
      </c>
      <c r="V107" s="227">
        <f t="shared" si="10"/>
        <v>-276813.39805332868</v>
      </c>
      <c r="W107" s="227">
        <f t="shared" si="10"/>
        <v>-206239.68518329691</v>
      </c>
      <c r="X107" s="227">
        <f t="shared" si="10"/>
        <v>-53992.316253966092</v>
      </c>
      <c r="Y107" s="227">
        <f t="shared" si="10"/>
        <v>108943.88685762195</v>
      </c>
      <c r="Z107" s="227">
        <f t="shared" si="10"/>
        <v>239128.40574408844</v>
      </c>
      <c r="AA107" s="227">
        <f t="shared" si="10"/>
        <v>320665.02546771738</v>
      </c>
      <c r="AB107" s="227">
        <f t="shared" si="10"/>
        <v>328202.0239295655</v>
      </c>
      <c r="AC107" s="227">
        <f t="shared" si="10"/>
        <v>235702.4973523393</v>
      </c>
      <c r="AD107" s="227">
        <f t="shared" si="10"/>
        <v>111684.61357102124</v>
      </c>
      <c r="AE107" s="227">
        <f t="shared" si="10"/>
        <v>261.7394011296326</v>
      </c>
    </row>
    <row r="108" spans="1:31" ht="12.75" customHeight="1" x14ac:dyDescent="0.2">
      <c r="A108" s="6">
        <v>8</v>
      </c>
      <c r="B108" s="224">
        <v>0.78500000000000003</v>
      </c>
      <c r="C108" s="18">
        <v>2.62</v>
      </c>
      <c r="D108" s="19">
        <v>-294</v>
      </c>
      <c r="E108" s="19">
        <v>-1150</v>
      </c>
      <c r="F108" s="19">
        <v>-3030</v>
      </c>
      <c r="G108" s="19">
        <v>-785</v>
      </c>
      <c r="H108" s="19">
        <v>6740</v>
      </c>
      <c r="I108" s="19">
        <v>3390</v>
      </c>
      <c r="J108" s="19">
        <v>-1520</v>
      </c>
      <c r="K108" s="19">
        <v>4880</v>
      </c>
      <c r="L108" s="19">
        <v>6210</v>
      </c>
      <c r="M108" s="19">
        <v>2530</v>
      </c>
      <c r="N108" s="19">
        <v>589</v>
      </c>
      <c r="O108" s="20">
        <v>2.0699999999999998</v>
      </c>
      <c r="Q108" s="225">
        <f t="shared" si="9"/>
        <v>8</v>
      </c>
      <c r="R108" s="226">
        <f t="shared" si="9"/>
        <v>0.78500000000000003</v>
      </c>
      <c r="S108" s="227">
        <f t="shared" si="10"/>
        <v>179.51759972765376</v>
      </c>
      <c r="T108" s="227">
        <f t="shared" si="10"/>
        <v>-20144.341343484812</v>
      </c>
      <c r="U108" s="227">
        <f t="shared" si="10"/>
        <v>-78795.893010229702</v>
      </c>
      <c r="V108" s="227">
        <f t="shared" si="10"/>
        <v>-207610.04853999653</v>
      </c>
      <c r="W108" s="227">
        <f t="shared" si="10"/>
        <v>-53786.761750461155</v>
      </c>
      <c r="X108" s="227">
        <f t="shared" si="10"/>
        <v>461812.45120778109</v>
      </c>
      <c r="Y108" s="227">
        <f t="shared" si="10"/>
        <v>232276.58896059019</v>
      </c>
      <c r="Z108" s="227">
        <f t="shared" si="10"/>
        <v>-104147.61510917317</v>
      </c>
      <c r="AA108" s="227">
        <f t="shared" si="10"/>
        <v>334368.65903471387</v>
      </c>
      <c r="AB108" s="227">
        <f t="shared" si="10"/>
        <v>425497.82225524046</v>
      </c>
      <c r="AC108" s="227">
        <f t="shared" si="10"/>
        <v>173350.96462250536</v>
      </c>
      <c r="AD108" s="227">
        <f t="shared" si="10"/>
        <v>40357.200854804607</v>
      </c>
      <c r="AE108" s="227">
        <f t="shared" si="10"/>
        <v>141.83260741841346</v>
      </c>
    </row>
    <row r="109" spans="1:31" ht="12.75" customHeight="1" x14ac:dyDescent="0.2">
      <c r="A109" s="6">
        <v>7</v>
      </c>
      <c r="B109" s="224">
        <v>0.89800000000000002</v>
      </c>
      <c r="C109" s="18">
        <v>-2.08</v>
      </c>
      <c r="D109" s="19">
        <v>-610</v>
      </c>
      <c r="E109" s="19">
        <v>765</v>
      </c>
      <c r="F109" s="19">
        <v>719</v>
      </c>
      <c r="G109" s="19">
        <v>-6170</v>
      </c>
      <c r="H109" s="19">
        <v>-4280</v>
      </c>
      <c r="I109" s="19">
        <v>-3590</v>
      </c>
      <c r="J109" s="19">
        <v>-1820</v>
      </c>
      <c r="K109" s="19">
        <v>5960</v>
      </c>
      <c r="L109" s="19">
        <v>-149</v>
      </c>
      <c r="M109" s="19">
        <v>-1300</v>
      </c>
      <c r="N109" s="19">
        <v>169</v>
      </c>
      <c r="O109" s="20">
        <v>-1.07</v>
      </c>
      <c r="Q109" s="225">
        <f t="shared" si="9"/>
        <v>7</v>
      </c>
      <c r="R109" s="226">
        <f t="shared" si="9"/>
        <v>0.89800000000000002</v>
      </c>
      <c r="S109" s="227">
        <f t="shared" si="10"/>
        <v>-142.51778909676329</v>
      </c>
      <c r="T109" s="227">
        <f t="shared" si="10"/>
        <v>-41796.082379339234</v>
      </c>
      <c r="U109" s="227">
        <f t="shared" si="10"/>
        <v>52416.398393761512</v>
      </c>
      <c r="V109" s="227">
        <f t="shared" si="10"/>
        <v>49264.56267335231</v>
      </c>
      <c r="W109" s="227">
        <f t="shared" si="10"/>
        <v>-422757.09554184106</v>
      </c>
      <c r="X109" s="227">
        <f t="shared" si="10"/>
        <v>-293257.75833372452</v>
      </c>
      <c r="Y109" s="227">
        <f t="shared" si="10"/>
        <v>-245980.22252758668</v>
      </c>
      <c r="Z109" s="227">
        <f t="shared" si="10"/>
        <v>-124703.06545966789</v>
      </c>
      <c r="AA109" s="227">
        <f t="shared" si="10"/>
        <v>408368.28029649489</v>
      </c>
      <c r="AB109" s="227">
        <f t="shared" si="10"/>
        <v>-10209.207007412371</v>
      </c>
      <c r="AC109" s="227">
        <f t="shared" si="10"/>
        <v>-89073.618185477069</v>
      </c>
      <c r="AD109" s="227">
        <f t="shared" si="10"/>
        <v>11579.570364112018</v>
      </c>
      <c r="AE109" s="227">
        <f t="shared" si="10"/>
        <v>-73.31443958343111</v>
      </c>
    </row>
    <row r="110" spans="1:31" ht="12.75" customHeight="1" x14ac:dyDescent="0.2">
      <c r="A110" s="6">
        <v>6</v>
      </c>
      <c r="B110" s="224">
        <v>1.0469999999999999</v>
      </c>
      <c r="C110" s="18">
        <v>4.8899999999999999E-2</v>
      </c>
      <c r="D110" s="19">
        <v>-102</v>
      </c>
      <c r="E110" s="19">
        <v>669</v>
      </c>
      <c r="F110" s="19">
        <v>-1220</v>
      </c>
      <c r="G110" s="19">
        <v>-3890</v>
      </c>
      <c r="H110" s="19">
        <v>-6560</v>
      </c>
      <c r="I110" s="19">
        <v>-2050</v>
      </c>
      <c r="J110" s="19">
        <v>1550</v>
      </c>
      <c r="K110" s="19">
        <v>4180</v>
      </c>
      <c r="L110" s="19">
        <v>1590</v>
      </c>
      <c r="M110" s="19">
        <v>-221</v>
      </c>
      <c r="N110" s="19">
        <v>-635</v>
      </c>
      <c r="O110" s="20">
        <v>-0.252</v>
      </c>
      <c r="Q110" s="225">
        <f t="shared" si="9"/>
        <v>6</v>
      </c>
      <c r="R110" s="226">
        <f t="shared" si="9"/>
        <v>1.0469999999999999</v>
      </c>
      <c r="S110" s="227">
        <f t="shared" si="10"/>
        <v>3.350538407130637</v>
      </c>
      <c r="T110" s="227">
        <f t="shared" si="10"/>
        <v>-6988.8531191682005</v>
      </c>
      <c r="U110" s="227">
        <f t="shared" si="10"/>
        <v>45838.654281603202</v>
      </c>
      <c r="V110" s="227">
        <f t="shared" si="10"/>
        <v>-83592.164758678467</v>
      </c>
      <c r="W110" s="227">
        <f t="shared" si="10"/>
        <v>-266535.67287808139</v>
      </c>
      <c r="X110" s="227">
        <f t="shared" si="10"/>
        <v>-449479.18099748425</v>
      </c>
      <c r="Y110" s="227">
        <f t="shared" si="10"/>
        <v>-140462.24406171383</v>
      </c>
      <c r="Z110" s="227">
        <f t="shared" si="10"/>
        <v>106203.16014422265</v>
      </c>
      <c r="AA110" s="227">
        <f t="shared" si="10"/>
        <v>286405.94155022624</v>
      </c>
      <c r="AB110" s="227">
        <f t="shared" si="10"/>
        <v>108943.88685762195</v>
      </c>
      <c r="AC110" s="227">
        <f t="shared" si="10"/>
        <v>-15142.515091531102</v>
      </c>
      <c r="AD110" s="227">
        <f t="shared" si="10"/>
        <v>-43509.036575213795</v>
      </c>
      <c r="AE110" s="227">
        <f t="shared" si="10"/>
        <v>-17.266578294415552</v>
      </c>
    </row>
    <row r="111" spans="1:31" ht="12.75" customHeight="1" x14ac:dyDescent="0.2">
      <c r="A111" s="6">
        <v>5</v>
      </c>
      <c r="B111" s="224">
        <v>1.2569999999999999</v>
      </c>
      <c r="C111" s="18">
        <v>-0.27300000000000002</v>
      </c>
      <c r="D111" s="19">
        <v>656</v>
      </c>
      <c r="E111" s="19">
        <v>-92.7</v>
      </c>
      <c r="F111" s="19">
        <v>-4780</v>
      </c>
      <c r="G111" s="19">
        <v>-4330</v>
      </c>
      <c r="H111" s="19">
        <v>-2340</v>
      </c>
      <c r="I111" s="19">
        <v>678</v>
      </c>
      <c r="J111" s="19">
        <v>2010</v>
      </c>
      <c r="K111" s="19">
        <v>2120</v>
      </c>
      <c r="L111" s="19">
        <v>4770</v>
      </c>
      <c r="M111" s="19">
        <v>2220</v>
      </c>
      <c r="N111" s="19">
        <v>-766</v>
      </c>
      <c r="O111" s="20">
        <v>-9.9000000000000005E-2</v>
      </c>
      <c r="Q111" s="225">
        <f t="shared" si="9"/>
        <v>5</v>
      </c>
      <c r="R111" s="226">
        <f t="shared" si="9"/>
        <v>1.2569999999999999</v>
      </c>
      <c r="S111" s="227">
        <f t="shared" si="10"/>
        <v>-18.705459818950185</v>
      </c>
      <c r="T111" s="227">
        <f t="shared" si="10"/>
        <v>44947.918099748422</v>
      </c>
      <c r="U111" s="227">
        <f t="shared" si="10"/>
        <v>-6351.6341583028652</v>
      </c>
      <c r="V111" s="227">
        <f t="shared" si="10"/>
        <v>-327516.84225121565</v>
      </c>
      <c r="W111" s="227">
        <f t="shared" si="10"/>
        <v>-296683.66672547359</v>
      </c>
      <c r="X111" s="227">
        <f t="shared" si="10"/>
        <v>-160332.51273385869</v>
      </c>
      <c r="Y111" s="227">
        <f t="shared" si="10"/>
        <v>46455.317792118032</v>
      </c>
      <c r="Z111" s="227">
        <f t="shared" si="10"/>
        <v>137721.51734831455</v>
      </c>
      <c r="AA111" s="227">
        <f t="shared" si="10"/>
        <v>145258.51581016259</v>
      </c>
      <c r="AB111" s="227">
        <f t="shared" si="10"/>
        <v>326831.6605728658</v>
      </c>
      <c r="AC111" s="227">
        <f t="shared" si="10"/>
        <v>152110.33259366083</v>
      </c>
      <c r="AD111" s="227">
        <f t="shared" si="10"/>
        <v>-52484.916561596481</v>
      </c>
      <c r="AE111" s="227">
        <f t="shared" si="10"/>
        <v>-6.7832986156632531</v>
      </c>
    </row>
    <row r="112" spans="1:31" ht="12.75" customHeight="1" x14ac:dyDescent="0.2">
      <c r="A112" s="6">
        <v>4.5</v>
      </c>
      <c r="B112" s="224">
        <v>1.3959999999999999</v>
      </c>
      <c r="C112" s="18">
        <v>-7.6200000000000004E-2</v>
      </c>
      <c r="D112" s="19">
        <v>1470</v>
      </c>
      <c r="E112" s="19">
        <v>-1780</v>
      </c>
      <c r="F112" s="19">
        <v>-4640</v>
      </c>
      <c r="G112" s="19">
        <v>-2860</v>
      </c>
      <c r="H112" s="19">
        <v>-1310</v>
      </c>
      <c r="I112" s="19">
        <v>103</v>
      </c>
      <c r="J112" s="19">
        <v>411</v>
      </c>
      <c r="K112" s="19">
        <v>2070</v>
      </c>
      <c r="L112" s="19">
        <v>5210</v>
      </c>
      <c r="M112" s="19">
        <v>4120</v>
      </c>
      <c r="N112" s="19">
        <v>-379</v>
      </c>
      <c r="O112" s="20">
        <v>-5.6100000000000004E-3</v>
      </c>
      <c r="Q112" s="225">
        <f t="shared" si="9"/>
        <v>4.5</v>
      </c>
      <c r="R112" s="226">
        <f t="shared" si="9"/>
        <v>1.3959999999999999</v>
      </c>
      <c r="S112" s="227">
        <f t="shared" si="10"/>
        <v>-5.2210843890256555</v>
      </c>
      <c r="T112" s="227">
        <f t="shared" si="10"/>
        <v>100721.70671742405</v>
      </c>
      <c r="U112" s="227">
        <f t="shared" si="10"/>
        <v>-121962.33874626859</v>
      </c>
      <c r="V112" s="227">
        <f t="shared" si="10"/>
        <v>-317924.29875431815</v>
      </c>
      <c r="W112" s="227">
        <f t="shared" si="10"/>
        <v>-195961.96000804953</v>
      </c>
      <c r="X112" s="227">
        <f t="shared" si="10"/>
        <v>-89758.799863826862</v>
      </c>
      <c r="Y112" s="227">
        <f t="shared" si="10"/>
        <v>7057.3712870031832</v>
      </c>
      <c r="Z112" s="227">
        <f t="shared" si="10"/>
        <v>28160.966980177749</v>
      </c>
      <c r="AA112" s="227">
        <f t="shared" si="10"/>
        <v>141832.60741841348</v>
      </c>
      <c r="AB112" s="227">
        <f t="shared" si="10"/>
        <v>356979.65442025807</v>
      </c>
      <c r="AC112" s="227">
        <f t="shared" si="10"/>
        <v>282294.85148012731</v>
      </c>
      <c r="AD112" s="227">
        <f t="shared" si="10"/>
        <v>-25968.385609458313</v>
      </c>
      <c r="AE112" s="227">
        <f t="shared" si="10"/>
        <v>-0.38438692155425103</v>
      </c>
    </row>
    <row r="113" spans="1:31" ht="12.75" customHeight="1" x14ac:dyDescent="0.2">
      <c r="A113" s="6">
        <v>4</v>
      </c>
      <c r="B113" s="224">
        <v>1.571</v>
      </c>
      <c r="C113" s="18">
        <v>0.12</v>
      </c>
      <c r="D113" s="19">
        <v>1010</v>
      </c>
      <c r="E113" s="19">
        <v>-3540</v>
      </c>
      <c r="F113" s="19">
        <v>-4390</v>
      </c>
      <c r="G113" s="19">
        <v>-2230</v>
      </c>
      <c r="H113" s="19">
        <v>-2350</v>
      </c>
      <c r="I113" s="19">
        <v>-145</v>
      </c>
      <c r="J113" s="19">
        <v>1280</v>
      </c>
      <c r="K113" s="19">
        <v>1550</v>
      </c>
      <c r="L113" s="19">
        <v>4160</v>
      </c>
      <c r="M113" s="19">
        <v>5320</v>
      </c>
      <c r="N113" s="19">
        <v>784</v>
      </c>
      <c r="O113" s="20">
        <v>-9.9299999999999996E-3</v>
      </c>
      <c r="Q113" s="225">
        <f t="shared" si="9"/>
        <v>4</v>
      </c>
      <c r="R113" s="226">
        <f t="shared" si="9"/>
        <v>1.571</v>
      </c>
      <c r="S113" s="227">
        <f t="shared" si="10"/>
        <v>8.2221801401978833</v>
      </c>
      <c r="T113" s="227">
        <f t="shared" si="10"/>
        <v>69203.34951333217</v>
      </c>
      <c r="U113" s="227">
        <f t="shared" si="10"/>
        <v>-242554.31413583754</v>
      </c>
      <c r="V113" s="227">
        <f t="shared" si="10"/>
        <v>-300794.75679557252</v>
      </c>
      <c r="W113" s="227">
        <f t="shared" si="10"/>
        <v>-152795.51427201065</v>
      </c>
      <c r="X113" s="227">
        <f t="shared" si="10"/>
        <v>-161017.69441220854</v>
      </c>
      <c r="Y113" s="227">
        <f t="shared" si="10"/>
        <v>-9935.1343360724422</v>
      </c>
      <c r="Z113" s="227">
        <f t="shared" si="10"/>
        <v>87703.254828777412</v>
      </c>
      <c r="AA113" s="227">
        <f t="shared" si="10"/>
        <v>106203.16014422265</v>
      </c>
      <c r="AB113" s="227">
        <f t="shared" si="10"/>
        <v>285035.5781935266</v>
      </c>
      <c r="AC113" s="227">
        <f t="shared" si="10"/>
        <v>364516.65288210614</v>
      </c>
      <c r="AD113" s="227">
        <f t="shared" si="10"/>
        <v>53718.243582626172</v>
      </c>
      <c r="AE113" s="227">
        <f t="shared" si="10"/>
        <v>-0.68038540660137481</v>
      </c>
    </row>
    <row r="114" spans="1:31" ht="12.75" customHeight="1" x14ac:dyDescent="0.2">
      <c r="A114" s="6">
        <v>3.5</v>
      </c>
      <c r="B114" s="224">
        <v>1.7949999999999999</v>
      </c>
      <c r="C114" s="18">
        <v>-1.2500000000000001E-2</v>
      </c>
      <c r="D114" s="19">
        <v>375</v>
      </c>
      <c r="E114" s="19">
        <v>-3690</v>
      </c>
      <c r="F114" s="19">
        <v>-3090</v>
      </c>
      <c r="G114" s="19">
        <v>-2550</v>
      </c>
      <c r="H114" s="19">
        <v>-1300</v>
      </c>
      <c r="I114" s="19">
        <v>437</v>
      </c>
      <c r="J114" s="19">
        <v>1240</v>
      </c>
      <c r="K114" s="19">
        <v>3180</v>
      </c>
      <c r="L114" s="19">
        <v>2770</v>
      </c>
      <c r="M114" s="19">
        <v>5120</v>
      </c>
      <c r="N114" s="19">
        <v>1500</v>
      </c>
      <c r="O114" s="20">
        <v>4.53E-2</v>
      </c>
      <c r="Q114" s="225">
        <f t="shared" si="9"/>
        <v>3.5</v>
      </c>
      <c r="R114" s="226">
        <f t="shared" si="9"/>
        <v>1.7949999999999999</v>
      </c>
      <c r="S114" s="227">
        <f t="shared" si="10"/>
        <v>-0.85647709793727955</v>
      </c>
      <c r="T114" s="227">
        <f t="shared" si="10"/>
        <v>25694.312938118383</v>
      </c>
      <c r="U114" s="227">
        <f t="shared" si="10"/>
        <v>-252832.03931108493</v>
      </c>
      <c r="V114" s="227">
        <f t="shared" si="10"/>
        <v>-211721.13861009548</v>
      </c>
      <c r="W114" s="227">
        <f t="shared" si="10"/>
        <v>-174721.32797920497</v>
      </c>
      <c r="X114" s="227">
        <f t="shared" si="10"/>
        <v>-89073.618185477069</v>
      </c>
      <c r="Y114" s="227">
        <f t="shared" si="10"/>
        <v>29942.43934388729</v>
      </c>
      <c r="Z114" s="227">
        <f t="shared" si="10"/>
        <v>84962.528115378111</v>
      </c>
      <c r="AA114" s="227">
        <f t="shared" si="10"/>
        <v>217887.77371524391</v>
      </c>
      <c r="AB114" s="227">
        <f t="shared" si="10"/>
        <v>189795.32490290111</v>
      </c>
      <c r="AC114" s="227">
        <f t="shared" si="10"/>
        <v>350813.01931510965</v>
      </c>
      <c r="AD114" s="227">
        <f t="shared" si="10"/>
        <v>102777.25175247353</v>
      </c>
      <c r="AE114" s="227">
        <f t="shared" si="10"/>
        <v>3.1038730029247006</v>
      </c>
    </row>
    <row r="115" spans="1:31" ht="12.75" customHeight="1" x14ac:dyDescent="0.2">
      <c r="A115" s="6">
        <v>3</v>
      </c>
      <c r="B115" s="224">
        <v>2.0939999999999999</v>
      </c>
      <c r="C115" s="18">
        <v>-1.1900000000000001E-2</v>
      </c>
      <c r="D115" s="19">
        <v>-51.5</v>
      </c>
      <c r="E115" s="19">
        <v>-3130</v>
      </c>
      <c r="F115" s="19">
        <v>-2450</v>
      </c>
      <c r="G115" s="19">
        <v>-2710</v>
      </c>
      <c r="H115" s="19">
        <v>-1430</v>
      </c>
      <c r="I115" s="19">
        <v>121</v>
      </c>
      <c r="J115" s="19">
        <v>1210</v>
      </c>
      <c r="K115" s="19">
        <v>2760</v>
      </c>
      <c r="L115" s="19">
        <v>2760</v>
      </c>
      <c r="M115" s="19">
        <v>4610</v>
      </c>
      <c r="N115" s="19">
        <v>2480</v>
      </c>
      <c r="O115" s="20">
        <v>-1.43E-2</v>
      </c>
      <c r="Q115" s="225">
        <f t="shared" si="9"/>
        <v>3</v>
      </c>
      <c r="R115" s="226">
        <f t="shared" si="9"/>
        <v>2.0939999999999999</v>
      </c>
      <c r="S115" s="227">
        <f t="shared" si="10"/>
        <v>-0.81536619723629</v>
      </c>
      <c r="T115" s="227">
        <f t="shared" si="10"/>
        <v>-3528.6856435015916</v>
      </c>
      <c r="U115" s="227">
        <f t="shared" si="10"/>
        <v>-214461.86532349474</v>
      </c>
      <c r="V115" s="227">
        <f t="shared" si="10"/>
        <v>-167869.51119570679</v>
      </c>
      <c r="W115" s="227">
        <f t="shared" si="10"/>
        <v>-185684.23483280221</v>
      </c>
      <c r="X115" s="227">
        <f t="shared" si="10"/>
        <v>-97980.980004024765</v>
      </c>
      <c r="Y115" s="227">
        <f t="shared" si="10"/>
        <v>8290.6983080328646</v>
      </c>
      <c r="Z115" s="227">
        <f t="shared" si="10"/>
        <v>82906.983080328646</v>
      </c>
      <c r="AA115" s="227">
        <f t="shared" si="10"/>
        <v>189110.14322455131</v>
      </c>
      <c r="AB115" s="227">
        <f t="shared" si="10"/>
        <v>189110.14322455131</v>
      </c>
      <c r="AC115" s="227">
        <f t="shared" si="10"/>
        <v>315868.75371926866</v>
      </c>
      <c r="AD115" s="227">
        <f t="shared" si="10"/>
        <v>169925.05623075622</v>
      </c>
      <c r="AE115" s="227">
        <f t="shared" si="10"/>
        <v>-0.97980980004024776</v>
      </c>
    </row>
    <row r="116" spans="1:31" ht="12.75" customHeight="1" x14ac:dyDescent="0.2">
      <c r="A116" s="6">
        <v>0</v>
      </c>
      <c r="B116" s="224">
        <v>0</v>
      </c>
      <c r="C116" s="18">
        <v>0</v>
      </c>
      <c r="D116" s="19">
        <v>0</v>
      </c>
      <c r="E116" s="19">
        <v>0</v>
      </c>
      <c r="F116" s="19">
        <v>0</v>
      </c>
      <c r="G116" s="19">
        <v>0</v>
      </c>
      <c r="H116" s="19">
        <v>0</v>
      </c>
      <c r="I116" s="19">
        <v>0</v>
      </c>
      <c r="J116" s="19">
        <v>0</v>
      </c>
      <c r="K116" s="19">
        <v>0</v>
      </c>
      <c r="L116" s="19">
        <v>0</v>
      </c>
      <c r="M116" s="19">
        <v>0</v>
      </c>
      <c r="N116" s="19">
        <v>0</v>
      </c>
      <c r="O116" s="20">
        <v>0</v>
      </c>
    </row>
    <row r="117" spans="1:31" ht="12.75" customHeight="1" x14ac:dyDescent="0.2">
      <c r="A117" s="6">
        <v>0</v>
      </c>
      <c r="B117" s="224">
        <v>0</v>
      </c>
      <c r="C117" s="18">
        <v>0</v>
      </c>
      <c r="D117" s="19">
        <v>0</v>
      </c>
      <c r="E117" s="19">
        <v>0</v>
      </c>
      <c r="F117" s="19">
        <v>0</v>
      </c>
      <c r="G117" s="19">
        <v>0</v>
      </c>
      <c r="H117" s="19">
        <v>0</v>
      </c>
      <c r="I117" s="19">
        <v>0</v>
      </c>
      <c r="J117" s="19">
        <v>0</v>
      </c>
      <c r="K117" s="19">
        <v>0</v>
      </c>
      <c r="L117" s="19">
        <v>0</v>
      </c>
      <c r="M117" s="19">
        <v>0</v>
      </c>
      <c r="N117" s="19">
        <v>0</v>
      </c>
      <c r="O117" s="20">
        <v>0</v>
      </c>
    </row>
    <row r="118" spans="1:31" ht="12.75" customHeight="1" x14ac:dyDescent="0.2">
      <c r="A118" s="6">
        <v>0</v>
      </c>
      <c r="B118" s="224">
        <v>0</v>
      </c>
      <c r="C118" s="18">
        <v>0</v>
      </c>
      <c r="D118" s="19">
        <v>0</v>
      </c>
      <c r="E118" s="19">
        <v>0</v>
      </c>
      <c r="F118" s="19">
        <v>0</v>
      </c>
      <c r="G118" s="19">
        <v>0</v>
      </c>
      <c r="H118" s="19">
        <v>0</v>
      </c>
      <c r="I118" s="19">
        <v>0</v>
      </c>
      <c r="J118" s="19">
        <v>0</v>
      </c>
      <c r="K118" s="19">
        <v>0</v>
      </c>
      <c r="L118" s="19">
        <v>0</v>
      </c>
      <c r="M118" s="19">
        <v>0</v>
      </c>
      <c r="N118" s="19">
        <v>0</v>
      </c>
      <c r="O118" s="20">
        <v>0</v>
      </c>
    </row>
    <row r="119" spans="1:31" ht="12.75" customHeight="1" x14ac:dyDescent="0.2">
      <c r="A119" s="6">
        <v>0</v>
      </c>
      <c r="B119" s="224">
        <v>0</v>
      </c>
      <c r="C119" s="18">
        <v>0</v>
      </c>
      <c r="D119" s="19">
        <v>0</v>
      </c>
      <c r="E119" s="19">
        <v>0</v>
      </c>
      <c r="F119" s="19">
        <v>0</v>
      </c>
      <c r="G119" s="19">
        <v>0</v>
      </c>
      <c r="H119" s="19">
        <v>0</v>
      </c>
      <c r="I119" s="19">
        <v>0</v>
      </c>
      <c r="J119" s="19">
        <v>0</v>
      </c>
      <c r="K119" s="19">
        <v>0</v>
      </c>
      <c r="L119" s="19">
        <v>0</v>
      </c>
      <c r="M119" s="19">
        <v>0</v>
      </c>
      <c r="N119" s="19">
        <v>0</v>
      </c>
      <c r="O119" s="20">
        <v>0</v>
      </c>
    </row>
    <row r="120" spans="1:31" ht="12.75" customHeight="1" thickBot="1" x14ac:dyDescent="0.25">
      <c r="A120" s="10">
        <v>0</v>
      </c>
      <c r="B120" s="228">
        <v>0</v>
      </c>
      <c r="C120" s="21">
        <v>0</v>
      </c>
      <c r="D120" s="22">
        <v>0</v>
      </c>
      <c r="E120" s="22">
        <v>0</v>
      </c>
      <c r="F120" s="22">
        <v>0</v>
      </c>
      <c r="G120" s="22">
        <v>0</v>
      </c>
      <c r="H120" s="22">
        <v>0</v>
      </c>
      <c r="I120" s="22">
        <v>0</v>
      </c>
      <c r="J120" s="22">
        <v>0</v>
      </c>
      <c r="K120" s="22">
        <v>0</v>
      </c>
      <c r="L120" s="22">
        <v>0</v>
      </c>
      <c r="M120" s="22">
        <v>0</v>
      </c>
      <c r="N120" s="22">
        <v>0</v>
      </c>
      <c r="O120" s="23">
        <v>0</v>
      </c>
    </row>
  </sheetData>
  <sheetProtection password="F3C4" sheet="1" objects="1" scenarios="1"/>
  <mergeCells count="18">
    <mergeCell ref="A81:O81"/>
    <mergeCell ref="A82:O82"/>
    <mergeCell ref="A83:A84"/>
    <mergeCell ref="B83:B84"/>
    <mergeCell ref="C83:O83"/>
    <mergeCell ref="C84:O84"/>
    <mergeCell ref="A41:O41"/>
    <mergeCell ref="A42:O42"/>
    <mergeCell ref="A43:A44"/>
    <mergeCell ref="B43:B44"/>
    <mergeCell ref="C43:O43"/>
    <mergeCell ref="C44:O44"/>
    <mergeCell ref="A1:O1"/>
    <mergeCell ref="A2:O2"/>
    <mergeCell ref="A3:A4"/>
    <mergeCell ref="B3:B4"/>
    <mergeCell ref="C3:O3"/>
    <mergeCell ref="C4:O4"/>
  </mergeCells>
  <printOptions horizontalCentered="1"/>
  <pageMargins left="0.75" right="0.75" top="0.75" bottom="0.75" header="0.5" footer="0.5"/>
  <pageSetup scale="59" fitToWidth="2" fitToHeight="2" orientation="portrait" r:id="rId1"/>
  <headerFooter alignWithMargins="0">
    <oddHeader>&amp;L&amp;"Arial,Bold"DTCEL Motion RAOs&amp;R&amp;"Arial,Bold"&amp;D</oddHeader>
  </headerFooter>
  <rowBreaks count="1" manualBreakCount="1">
    <brk id="80" max="21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DriftOff</vt:lpstr>
      <vt:lpstr>RAOs</vt:lpstr>
      <vt:lpstr>WindCurrent</vt:lpstr>
      <vt:lpstr>Drifts</vt:lpstr>
      <vt:lpstr>DriftOff!Print_Area</vt:lpstr>
      <vt:lpstr>Drifts!Print_Area</vt:lpstr>
      <vt:lpstr>RAOs!Print_Area</vt:lpstr>
      <vt:lpstr>DriftOff!Print_Titles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DTCEL</dc:creator>
  <cp:lastModifiedBy>Donghui Chen</cp:lastModifiedBy>
  <cp:lastPrinted>2015-03-20T21:32:29Z</cp:lastPrinted>
  <dcterms:created xsi:type="dcterms:W3CDTF">1999-04-02T15:14:56Z</dcterms:created>
  <dcterms:modified xsi:type="dcterms:W3CDTF">2015-04-17T19:56:38Z</dcterms:modified>
</cp:coreProperties>
</file>